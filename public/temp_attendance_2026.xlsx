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" sheetId="1" r:id="rId5"/>
    <sheet state="visible" name="May" sheetId="2" r:id="rId6"/>
    <sheet state="visible" name="June" sheetId="3" r:id="rId7"/>
    <sheet state="visible" name="July" sheetId="4" r:id="rId8"/>
    <sheet state="visible" name="August" sheetId="5" r:id="rId9"/>
    <sheet state="visible" name="September" sheetId="6" r:id="rId10"/>
    <sheet state="visible" name="Specialization September" sheetId="7" r:id="rId11"/>
    <sheet state="visible" name="October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tc={18116550-e5e8-4067-a36a-55b5828128a2}</author>
    <author>tc={18169459-c75b-4c95-b478-691727953430}</author>
    <author>tc={56854dcc-71d1-4168-a79e-e5b41cd2f482}</author>
    <author>tc={96306fd3-a8ec-4ea1-8525-0829bdeedd0b}</author>
    <author>tc={9888b0ba-7ee0-4eb3-9b5d-268609ab3013}</author>
    <author>tc={a84347b2-819d-47cb-94b1-63f9e3620183}</author>
    <author>tc={b21c6fe7-b355-44d6-af6c-db1289e859fb}</author>
    <author>tc={c8dbba7c-4c8a-44b3-8045-ef8391357b26}</author>
    <author>tc={cbb7a593-88a9-4c5e-af74-b456f596f357}</author>
    <author>tc={d1913939-e70f-47ca-8028-28c8ae3fdfef}</author>
    <author>tc={d435044a-6396-4bc7-b579-0b0a5566423f}</author>
    <author>tc={d494a5c2-6f35-4ae2-ab91-b6846ef0c2a7}</author>
  </authors>
  <commentList>
    <comment authorId="0" xr:uid="{18116550-e5e8-4067-a36a-55b5828128a2}" ref="G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days fever
</t>
      </text>
    </comment>
    <comment authorId="1" xr:uid="{18169459-c75b-4c95-b478-69172795343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Mullivaikkal ninaivu nal
</t>
      </text>
    </comment>
    <comment authorId="2" xr:uid="{56854dcc-71d1-4168-a79e-e5b41cd2f48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3" xr:uid="{96306fd3-a8ec-4ea1-8525-0829bdeedd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4" xr:uid="{9888b0ba-7ee0-4eb3-9b5d-268609ab3013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severe cough and fever
</t>
      </text>
    </comment>
    <comment authorId="5" xr:uid="{a84347b2-819d-47cb-94b1-63f9e36201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6" xr:uid="{b21c6fe7-b355-44d6-af6c-db1289e859f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1st form application
</t>
      </text>
    </comment>
    <comment authorId="7" xr:uid="{c8dbba7c-4c8a-44b3-8045-ef8391357b26}" ref="I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days fever
</t>
      </text>
    </comment>
    <comment authorId="8" xr:uid="{cbb7a593-88a9-4c5e-af74-b456f596f3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Health issue
</t>
      </text>
    </comment>
    <comment authorId="9" xr:uid="{d1913939-e70f-47ca-8028-28c8ae3fdfef}" ref="K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Wheezing
</t>
      </text>
    </comment>
    <comment authorId="10" xr:uid="{d435044a-6396-4bc7-b579-0b0a5566423f}" ref="I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My hand and leg were injured in an accident.
</t>
      </text>
    </comment>
    <comment authorId="11" xr:uid="{d494a5c2-6f35-4ae2-ab91-b6846ef0c2a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want to participate an event and I will attend the class on tuesday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tc={0209e4e0-5e4e-4dd1-bedf-57c3523e8a70}</author>
    <author>tc={04e71d86-27b8-4dd4-869f-f20a3483559b}</author>
    <author>tc={066f8520-0cee-44d2-a06c-cf4b5a7c8930}</author>
    <author>tc={06e344ce-c723-4f46-ab5a-0cf544120c4a}</author>
    <author>tc={0f423c35-3c2f-4a55-96a7-b971a49e34a1}</author>
    <author>tc={13ca3b28-1806-42ab-89df-7b3d9cce6095}</author>
    <author>tc={14e38c3d-1e62-4d48-890d-47b3b55edde4}</author>
    <author>tc={179e2027-c8ae-4b12-a21f-f6d3ec58ae4a}</author>
    <author>tc={27b093bb-fdd6-4bed-a97d-9721d453ab41}</author>
    <author>tc={284a8076-86cc-45e2-a84e-f17ed7e789b0}</author>
    <author>tc={29f2f948-f605-48e5-92eb-8774af102f62}</author>
    <author>tc={29fea92f-2443-45b2-8ee4-57a052b2f703}</author>
    <author>tc={37f9f0ec-d868-40c3-ac18-614bde279f90}</author>
    <author>tc={3bd0fd03-484d-4212-9b6d-cbda488bf01b}</author>
    <author>tc={3f270f30-951a-440f-ae1c-888907c7187e}</author>
    <author>tc={4154d274-1b4e-4f22-9847-133c48214060}</author>
    <author>tc={43831b7d-8582-4385-9cd1-1f8c59c7e2ae}</author>
    <author>tc={50c1b58b-500a-4dd4-9071-a89f481516f3}</author>
    <author>tc={5245954c-96c5-4afe-9736-e6e1ea5f87ef}</author>
    <author>tc={52ef95a3-754a-45c3-a6b0-1ccbb07c157d}</author>
    <author>tc={54fc01cf-f2e5-4076-bd6e-395692ed1021}</author>
    <author>tc={59b93812-7889-406c-b42f-8a0208cc2bbc}</author>
    <author>tc={5de0f026-f0bf-4d33-b0c2-8266fda2e7f0}</author>
    <author>tc={64083d7c-fbc4-40e2-bf74-6d86a4822733}</author>
    <author>tc={68a5d11d-d4a6-4c59-8dc1-bc6cda675286}</author>
    <author>tc={68e75039-c19c-4849-855e-075cb5096b14}</author>
    <author>tc={6caaa140-9a1f-4d7e-a9e3-2afc3498abc5}</author>
    <author>tc={6df9d8da-6936-4351-a526-a8d14871b090}</author>
    <author>tc={6f41c185-ac38-41d0-9cb2-019cfcb81775}</author>
    <author>tc={71930a81-3b61-4033-9ee4-c4c2faa34551}</author>
    <author>tc={76ee0fb3-16cc-437d-ad81-54bbb6438920}</author>
    <author>tc={7d16e208-25bf-4abc-8ac7-ca076b45247c}</author>
    <author>tc={8186b1ca-182a-4f95-b28e-ebb13ab04d0d}</author>
    <author>tc={81bf46b3-251e-4990-bfbf-2e858d61ef4a}</author>
    <author>tc={87b7c1fa-8b4d-4055-b2cb-2dc359219a4c}</author>
    <author>tc={90b83001-d772-4fd0-b743-08ede303099b}</author>
    <author>tc={99f8d3ba-cde7-4c1a-9a85-7f6d4d4b3050}</author>
    <author>tc={9de210f3-da13-40bf-a11c-7efb235d6ba4}</author>
    <author>tc={9ff1dafb-e520-4543-a778-1ffd72cb4e07}</author>
    <author>tc={a378c25e-2d50-4d38-a1a6-048e8399e9e3}</author>
    <author>tc={a54ef4da-b6b1-4197-afa2-d2ad2946dbbb}</author>
    <author>tc={a62ace88-9f4a-4765-a4d2-d2fd22c91973}</author>
    <author>tc={a78bd4e9-aa6b-446f-88e3-bca92c0b436a}</author>
    <author>tc={a9330510-a5fe-4988-a889-a22a551c5530}</author>
    <author>tc={b1fcb8eb-4874-4941-bb98-5a9c596c4d43}</author>
    <author>tc={b7bd4117-28e1-48fe-b63e-a5551f55ec6b}</author>
    <author>tc={bcb61a49-161c-4522-8937-efed87845333}</author>
    <author>tc={bcd9cb37-31cc-4834-83dd-2132068631fa}</author>
    <author>tc={be7deb51-51ad-458f-93ae-e40e71693c04}</author>
    <author>tc={c1fcf880-464f-49c0-82d0-2bf9978b46d9}</author>
    <author>tc={c51cbd0a-b5f3-479b-a76f-9ec06aa8914b}</author>
    <author>tc={c758ea35-19c6-4103-ab2d-c6a971a9e965}</author>
    <author>tc={c76f3115-af2e-4fdd-8b98-2f0cb9c51a90}</author>
    <author>tc={cd0a705c-a76b-42ed-a86c-f32bdb755687}</author>
    <author>tc={d0d7da67-c0ae-4157-8513-67f8d5ac6118}</author>
    <author>tc={d1e0a65c-56da-4afb-a0a9-6eeff6153ed8}</author>
    <author>tc={d3c3ee09-9f10-4c0e-b2fb-2406c40781cd}</author>
    <author>tc={d45a61c3-41db-46ec-b656-f19737319a63}</author>
    <author>tc={d8232edd-59bb-4f41-9adc-a5f52a02c078}</author>
    <author>tc={d90932ca-c914-4005-a828-79760331931a}</author>
    <author>tc={da263d05-1fc9-4295-a029-ba68f3abccf0}</author>
    <author>tc={db677293-f579-4e37-b909-f73b4c62804b}</author>
    <author>tc={dcd96aa6-f31b-4870-b80b-61197a61e375}</author>
    <author>tc={ddd171e9-e200-4038-be19-73e9bacc2a0d}</author>
    <author>tc={de3fa876-ed4a-4767-a0ca-c3c2354b0dd3}</author>
    <author>tc={df15dc45-4a4a-4c5c-9b40-1c70f5cb5d7e}</author>
    <author>tc={df4046fb-9520-4642-91cb-4c03db5fec73}</author>
    <author>tc={df45927c-4628-4bde-b58f-957a60635ad6}</author>
    <author>tc={e324b3d3-06a7-4e72-be16-c20bc32b1bb7}</author>
    <author>tc={e6c64e17-1733-420b-9ce0-b42bc8654ec7}</author>
    <author>tc={e84e3e15-9feb-4518-9ec8-784af5e89636}</author>
    <author>tc={ef28341f-361d-4a43-8ac4-27f7a4d80c0c}</author>
    <author>tc={f2169eb5-2050-476f-b016-076460419a8e}</author>
    <author>tc={f9b175e9-a6ce-48f2-bc4c-52b5f3995120}</author>
    <author>tc={ffdc43e6-7c09-407c-82c0-3a5b35753150}</author>
  </authors>
  <commentList>
    <comment authorId="0" xr:uid="{0209e4e0-5e4e-4dd1-bedf-57c3523e8a70}" ref="L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Because of some personal reasons
</t>
      </text>
    </comment>
    <comment authorId="1" xr:uid="{04e71d86-27b8-4dd4-869f-f20a3483559b}" ref="K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degree final exam
</t>
      </text>
    </comment>
    <comment authorId="2" xr:uid="{066f8520-0cee-44d2-a06c-cf4b5a7c8930}" ref="P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3" xr:uid="{06e344ce-c723-4f46-ab5a-0cf544120c4a}" ref="K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to going Hospital with mother
</t>
      </text>
    </comment>
    <comment authorId="4" xr:uid="{0f423c35-3c2f-4a55-96a7-b971a49e34a1}" ref="H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Viral fever
</t>
      </text>
    </comment>
    <comment authorId="5" xr:uid="{13ca3b28-1806-42ab-89df-7b3d9cce6095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am going to hospital
</t>
      </text>
    </comment>
    <comment authorId="6" xr:uid="{14e38c3d-1e62-4d48-890d-47b3b55edde4}" ref="J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 to hospital
</t>
      </text>
    </comment>
    <comment authorId="7" xr:uid="{179e2027-c8ae-4b12-a21f-f6d3ec58ae4a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8" xr:uid="{27b093bb-fdd6-4bed-a97d-9721d453ab41}" ref="K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am going to the hospital for a physical examination as part of my aptitude test.
</t>
      </text>
    </comment>
    <comment authorId="9" xr:uid="{284a8076-86cc-45e2-a84e-f17ed7e789b0}" ref="I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Funeral
</t>
      </text>
    </comment>
    <comment authorId="10" xr:uid="{29f2f948-f605-48e5-92eb-8774af102f62}" ref="O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Cold with Fever
</t>
      </text>
    </comment>
    <comment authorId="11" xr:uid="{29fea92f-2443-45b2-8ee4-57a052b2f703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tournament
</t>
      </text>
    </comment>
    <comment authorId="12" xr:uid="{37f9f0ec-d868-40c3-ac18-614bde279f90}" ref="I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Food poison
</t>
      </text>
    </comment>
    <comment authorId="13" xr:uid="{3bd0fd03-484d-4212-9b6d-cbda488bf01b}" ref="E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 and headache
</t>
      </text>
    </comment>
    <comment authorId="14" xr:uid="{3f270f30-951a-440f-ae1c-888907c7187e}" ref="J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Health issues
</t>
      </text>
    </comment>
    <comment authorId="15" xr:uid="{4154d274-1b4e-4f22-9847-133c48214060}" ref="L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kindly request leave as my friend has passed away, and I need to go home.
</t>
      </text>
    </comment>
    <comment authorId="16" xr:uid="{43831b7d-8582-4385-9cd1-1f8c59c7e2ae}" ref="H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am in Batticaloa due to a personal reason
</t>
      </text>
    </comment>
    <comment authorId="17" xr:uid="{50c1b58b-500a-4dd4-9071-a89f481516f3}" ref="N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18" xr:uid="{5245954c-96c5-4afe-9736-e6e1ea5f87ef}" ref="H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go to my school and apply university first form
</t>
      </text>
    </comment>
    <comment authorId="19" xr:uid="{52ef95a3-754a-45c3-a6b0-1ccbb07c157d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20" xr:uid="{54fc01cf-f2e5-4076-bd6e-395692ed1021}" ref="H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Health issue
</t>
      </text>
    </comment>
    <comment authorId="21" xr:uid="{59b93812-7889-406c-b42f-8a0208cc2bbc}" ref="Q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22" xr:uid="{5de0f026-f0bf-4d33-b0c2-8266fda2e7f0}" ref="E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Doing project form home
</t>
      </text>
    </comment>
    <comment authorId="23" xr:uid="{64083d7c-fbc4-40e2-bf74-6d86a4822733}" ref="O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Cold and fever
</t>
      </text>
    </comment>
    <comment authorId="24" xr:uid="{68a5d11d-d4a6-4c59-8dc1-bc6cda675286}" ref="G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health issue
</t>
      </text>
    </comment>
    <comment authorId="25" xr:uid="{68e75039-c19c-4849-855e-075cb5096b14}" ref="M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have exam
</t>
      </text>
    </comment>
    <comment authorId="26" xr:uid="{6caaa140-9a1f-4d7e-a9e3-2afc3498abc5}" ref="I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"I came to Nuwara Eliya to collect the school leaving certificate for university first form application, but it's getting delayed. Kindly grant me leave for today.
</t>
      </text>
    </comment>
    <comment authorId="27" xr:uid="{6df9d8da-6936-4351-a526-a8d14871b090}" ref="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First form application submission
</t>
      </text>
    </comment>
    <comment authorId="28" xr:uid="{6f41c185-ac38-41d0-9cb2-019cfcb81775}" ref="H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29" xr:uid="{71930a81-3b61-4033-9ee4-c4c2faa34551}" ref="D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NVQ level examination
</t>
      </text>
    </comment>
    <comment authorId="30" xr:uid="{76ee0fb3-16cc-437d-ad81-54bbb6438920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Brother's wedding
</t>
      </text>
    </comment>
    <comment authorId="31" xr:uid="{7d16e208-25bf-4abc-8ac7-ca076b45247c}" ref="D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Sports tournament
</t>
      </text>
    </comment>
    <comment authorId="32" xr:uid="{8186b1ca-182a-4f95-b28e-ebb13ab04d0d}" ref="O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My Web Development course concludes today, and we will be receiving our final project there, so I need to attend today.
</t>
      </text>
    </comment>
    <comment authorId="33" xr:uid="{81bf46b3-251e-4990-bfbf-2e858d61ef4a}" ref="H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Health issues
</t>
      </text>
    </comment>
    <comment authorId="34" xr:uid="{87b7c1fa-8b4d-4055-b2cb-2dc359219a4c}" ref="D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35" xr:uid="{90b83001-d772-4fd0-b743-08ede303099b}" ref="I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36" xr:uid="{99f8d3ba-cde7-4c1a-9a85-7f6d4d4b3050}" ref="K1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37" xr:uid="{9de210f3-da13-40bf-a11c-7efb235d6ba4}" ref="K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Visiting Colombo
</t>
      </text>
    </comment>
    <comment authorId="38" xr:uid="{9ff1dafb-e520-4543-a778-1ffd72cb4e07}" ref="L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39" xr:uid="{a378c25e-2d50-4d38-a1a6-048e8399e9e3}" ref="H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40" xr:uid="{a54ef4da-b6b1-4197-afa2-d2ad2946dbbb}" ref="K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 leave
</t>
      </text>
    </comment>
    <comment authorId="41" xr:uid="{a62ace88-9f4a-4765-a4d2-d2fd22c91973}" ref="H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Headache
</t>
      </text>
    </comment>
    <comment authorId="42" xr:uid="{a78bd4e9-aa6b-446f-88e3-bca92c0b436a}" ref="O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Medical issue ( Lump Clinic )
</t>
      </text>
    </comment>
    <comment authorId="43" xr:uid="{a9330510-a5fe-4988-a889-a22a551c5530}" ref="L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44" xr:uid="{b1fcb8eb-4874-4941-bb98-5a9c596c4d43}" ref="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45" xr:uid="{b7bd4117-28e1-48fe-b63e-a5551f55ec6b}" ref="N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46" xr:uid="{bcb61a49-161c-4522-8937-efed87845333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Relative's Wedding
</t>
      </text>
    </comment>
    <comment authorId="47" xr:uid="{bcd9cb37-31cc-4834-83dd-2132068631fa}" ref="J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Severe leg pain
</t>
      </text>
    </comment>
    <comment authorId="48" xr:uid="{be7deb51-51ad-458f-93ae-e40e71693c04}" ref="K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 to the temple
</t>
      </text>
    </comment>
    <comment authorId="49" xr:uid="{c1fcf880-464f-49c0-82d0-2bf9978b46d9}" ref="O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Funeral
</t>
      </text>
    </comment>
    <comment authorId="50" xr:uid="{c51cbd0a-b5f3-479b-a76f-9ec06aa8914b}" ref="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Clinic
</t>
      </text>
    </comment>
    <comment authorId="51" xr:uid="{c758ea35-19c6-4103-ab2d-c6a971a9e965}" ref="E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Doing project form home
</t>
      </text>
    </comment>
    <comment authorId="52" xr:uid="{c76f3115-af2e-4fdd-8b98-2f0cb9c51a90}" ref="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Basketball tournament
</t>
      </text>
    </comment>
    <comment authorId="53" xr:uid="{cd0a705c-a76b-42ed-a86c-f32bdb755687}" ref="I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have final examination for my Top-Up Degree.The exam is scheduled from 9:30 am to 11:30 am.
</t>
      </text>
    </comment>
    <comment authorId="54" xr:uid="{d0d7da67-c0ae-4157-8513-67f8d5ac6118}" ref="O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University- Batch Photoshoot
</t>
      </text>
    </comment>
    <comment authorId="55" xr:uid="{d1e0a65c-56da-4afb-a0a9-6eeff6153ed8}" ref="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56" xr:uid="{d3c3ee09-9f10-4c0e-b2fb-2406c40781cd}" ref="G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Hard Fever and sick
</t>
      </text>
    </comment>
    <comment authorId="57" xr:uid="{d45a61c3-41db-46ec-b656-f19737319a63}" ref="O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58" xr:uid="{d8232edd-59bb-4f41-9adc-a5f52a02c078}" ref="J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have lab test at open university jaffna. So I will come the day after tomorrow with group B
</t>
      </text>
    </comment>
    <comment authorId="59" xr:uid="{d90932ca-c914-4005-a828-79760331931a}" ref="N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60" xr:uid="{da263d05-1fc9-4295-a029-ba68f3abccf0}" ref="N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Medical issue ( Lump Clinic )
</t>
      </text>
    </comment>
    <comment authorId="61" xr:uid="{db677293-f579-4e37-b909-f73b4c62804b}" ref="M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Funneral
</t>
      </text>
    </comment>
    <comment authorId="62" xr:uid="{dcd96aa6-f31b-4870-b80b-61197a61e375}" ref="D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Illness
</t>
      </text>
    </comment>
    <comment authorId="63" xr:uid="{ddd171e9-e200-4038-be19-73e9bacc2a0d}" ref="K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Fevar
</t>
      </text>
    </comment>
    <comment authorId="64" xr:uid="{de3fa876-ed4a-4767-a0ca-c3c2354b0dd3}" ref="K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Fevar
</t>
      </text>
    </comment>
    <comment authorId="65" xr:uid="{df15dc45-4a4a-4c5c-9b40-1c70f5cb5d7e}" ref="K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Attending temple to perform nerthikkadan
</t>
      </text>
    </comment>
    <comment authorId="66" xr:uid="{df4046fb-9520-4642-91cb-4c03db5fec73}" ref="M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am going to Sabaragamuwa University for the aptitude exam.
</t>
      </text>
    </comment>
    <comment authorId="67" xr:uid="{df45927c-4628-4bde-b58f-957a60635ad6}" ref="K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Health issue
</t>
      </text>
    </comment>
    <comment authorId="68" xr:uid="{e324b3d3-06a7-4e72-be16-c20bc32b1bb7}" ref="O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My Web Development course concludes today, and we will be receiving our final project there, so I need to attend today.
</t>
      </text>
    </comment>
    <comment authorId="69" xr:uid="{e6c64e17-1733-420b-9ce0-b42bc8654ec7}" ref="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Doing project from home
</t>
      </text>
    </comment>
    <comment authorId="70" xr:uid="{e84e3e15-9feb-4518-9ec8-784af5e89636}" ref="L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went to the hospital to get medicine for fewer.
</t>
      </text>
    </comment>
    <comment authorId="71" xr:uid="{ef28341f-361d-4a43-8ac4-27f7a4d80c0c}" ref="G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was absent due to the demise of my grandmother.
</t>
      </text>
    </comment>
    <comment authorId="72" xr:uid="{f2169eb5-2050-476f-b016-076460419a8e}" ref="O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73" xr:uid="{f9b175e9-a6ce-48f2-bc4c-52b5f3995120}" ref="O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Sir, I have a fever, so I couldn’t come to class today. Sorry for the inconvenience.
</t>
      </text>
    </comment>
    <comment authorId="74" xr:uid="{ffdc43e6-7c09-407c-82c0-3a5b35753150}" ref="H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tc={013edc06-1f82-43a8-81df-5fbd4f00708e}</author>
    <author>tc={04fa74c9-da92-4b40-afca-aca41ec3606d}</author>
    <author>tc={07c660de-418c-49ef-acbc-3b31fdaac418}</author>
    <author>tc={094a3042-799c-44db-8a0f-e9c3e1558f98}</author>
    <author>tc={0a324d0f-3806-43af-b4d4-57aac0e9b51b}</author>
    <author>tc={0d87aae1-4464-4b18-a5ad-f77612cfbb08}</author>
    <author>tc={0d9b0514-6146-4a6a-983b-e8e4d3aed224}</author>
    <author>tc={15ade0a6-7637-46cc-b8d1-e098c92b126f}</author>
    <author>tc={1d07b009-4362-429f-bae0-dae2ec3bdaa4}</author>
    <author>tc={2e0a9185-27bc-4b31-906a-c99c3d1aad43}</author>
    <author>tc={2f92adce-ab56-41ac-9f7f-0a95b0a42375}</author>
    <author>tc={2feedac4-5c6b-4f9f-969f-eb87b6b9e3a0}</author>
    <author>tc={32e68d8d-466f-4ad8-a770-4fedb0f06d99}</author>
    <author>tc={3443d95b-6290-47fd-8291-2e05754eb751}</author>
    <author>tc={438d78ee-c0df-4244-aa7c-2a917f383b55}</author>
    <author>tc={4845c24b-2c8e-489c-aa86-e42986abaa98}</author>
    <author>tc={61e85acb-73b7-4bae-b15b-49a73bb14bfb}</author>
    <author>tc={64b99c0c-5e90-422e-9db0-7c0a9294264c}</author>
    <author>tc={730fb20c-1a49-403f-8ced-01b91b618b2d}</author>
    <author>tc={74a78ce4-0ea5-4613-a369-eb202ff34a1b}</author>
    <author>tc={74bd0eef-1f32-440a-9fee-56c5ac7a424e}</author>
    <author>tc={76d3dc04-b050-448d-bc78-7c506f64b4b6}</author>
    <author>tc={7ca44840-3da6-4b78-a6ca-e7354ca1d761}</author>
    <author>tc={7cfc46d1-202a-457b-a3a0-3367c5a38a88}</author>
    <author>tc={8766fa12-20aa-448c-a7c3-d341ad02082d}</author>
    <author>tc={8f754c89-9a94-4397-8def-224f0d36488a}</author>
    <author>tc={939abd7a-b3e1-4c3c-9b7b-05f72f21991c}</author>
    <author>tc={93c770d8-bdb6-4201-82b7-617e006a6e00}</author>
    <author>tc={94366b45-29cb-401c-8f41-f1e609a553cc}</author>
    <author>tc={a2088171-9ab7-4a95-b395-da7adfe80ed0}</author>
    <author>tc={a7733a77-10c9-48c6-b3cc-889261f1efb6}</author>
    <author>tc={ba4ff985-f7b1-46b2-8718-26949dd42532}</author>
    <author>tc={bd2826dc-5f4d-4112-b68f-6e1edde47b64}</author>
    <author>tc={c0d367f0-58e5-414f-ac4c-c80cf8cbf055}</author>
    <author>tc={c3e5ffd9-0431-400c-b1d8-e172fdc5d21c}</author>
    <author>tc={c88150b5-71a3-491c-ad64-c23c339e2c4d}</author>
    <author>tc={d1c7c3f7-d57f-4910-82bd-f5b9ea011e5e}</author>
    <author>tc={d71da53e-0617-4365-b871-7922f58d4eea}</author>
    <author>tc={d7367631-f964-4a56-b276-af94a8dbcd41}</author>
    <author>tc={d7f6bb68-6541-44b6-b92a-db566796e90a}</author>
    <author>tc={da683bf7-1e5f-4b2e-9da8-21f01c27062f}</author>
    <author>tc={dfd3acc3-31fe-4ace-9bb8-72921be57212}</author>
    <author>tc={e99312a1-41ac-4656-85c2-46a56f172d1a}</author>
    <author>tc={edef95b7-cc0b-462e-b3a1-8a1c0483fca3}</author>
    <author>tc={f4a3fde9-4a70-424f-88cc-c3fb3d497189}</author>
    <author>tc={f8013376-60e5-4589-b897-288517ba8236}</author>
  </authors>
  <commentList>
    <comment authorId="0" xr:uid="{013edc06-1f82-43a8-81df-5fbd4f00708e}" ref="D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have a presentation in the web development course I'M attending tomorrow, so I will not be able to come to class tomorrow. Instead, I will attend with Group B on Tuesday.
</t>
      </text>
    </comment>
    <comment authorId="1" xr:uid="{04fa74c9-da92-4b40-afca-aca41ec3606d}" ref="E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My Grandma passed away. Today funeral.
</t>
      </text>
    </comment>
    <comment authorId="2" xr:uid="{07c660de-418c-49ef-acbc-3b31fdaac418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Relative's funeral
</t>
      </text>
    </comment>
    <comment authorId="3" xr:uid="{094a3042-799c-44db-8a0f-e9c3e1558f98}" ref="D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Hospital
</t>
      </text>
    </comment>
    <comment authorId="4" xr:uid="{0a324d0f-3806-43af-b4d4-57aac0e9b51b}" ref="I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Emergency leave go to home in Trincomalee
</t>
      </text>
    </comment>
    <comment authorId="5" xr:uid="{0d87aae1-4464-4b18-a5ad-f77612cfbb08}" ref="I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Personal problem
</t>
      </text>
    </comment>
    <comment authorId="6" xr:uid="{0d9b0514-6146-4a6a-983b-e8e4d3aed224}" ref="M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7" xr:uid="{15ade0a6-7637-46cc-b8d1-e098c92b126f}" ref="N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8" xr:uid="{1d07b009-4362-429f-bae0-dae2ec3bdaa4}" ref="M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Some health issues iam going to hospital
</t>
      </text>
    </comment>
    <comment authorId="9" xr:uid="{2e0a9185-27bc-4b31-906a-c99c3d1aad43}" ref="N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 and fainted after becoming unwell.
</t>
      </text>
    </comment>
    <comment authorId="10" xr:uid="{2f92adce-ab56-41ac-9f7f-0a95b0a42375}" ref="I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to a family commitment, I will not be able to attend class tomorrow. Kindly excuse my absence.
</t>
      </text>
    </comment>
    <comment authorId="11" xr:uid="{2feedac4-5c6b-4f9f-969f-eb87b6b9e3a0}" ref="K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Continued Sick
</t>
      </text>
    </comment>
    <comment authorId="12" xr:uid="{32e68d8d-466f-4ad8-a770-4fedb0f06d99}" ref="D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Visit to Vatrapalai kovil
</t>
      </text>
    </comment>
    <comment authorId="13" xr:uid="{3443d95b-6290-47fd-8291-2e05754eb751}" ref="N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14" xr:uid="{438d78ee-c0df-4244-aa7c-2a917f383b55}" ref="I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Admitted to the hospital
</t>
      </text>
    </comment>
    <comment authorId="15" xr:uid="{4845c24b-2c8e-489c-aa86-e42986abaa98}" ref="J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Trayal exam
</t>
      </text>
    </comment>
    <comment authorId="16" xr:uid="{61e85acb-73b7-4bae-b15b-49a73bb14bfb}" ref="J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hand fracture and cannot attend today.
</t>
      </text>
    </comment>
    <comment authorId="17" xr:uid="{64b99c0c-5e90-422e-9db0-7c0a9294264c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Work related Meeting
</t>
      </text>
    </comment>
    <comment authorId="18" xr:uid="{730fb20c-1a49-403f-8ced-01b91b618b2d}" ref="J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need to take leave tomorrow as I have my driving license test
</t>
      </text>
    </comment>
    <comment authorId="19" xr:uid="{74a78ce4-0ea5-4613-a369-eb202ff34a1b}" ref="M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Cold and fever
</t>
      </text>
    </comment>
    <comment authorId="20" xr:uid="{74bd0eef-1f32-440a-9fee-56c5ac7a424e}" ref="M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21" xr:uid="{76d3dc04-b050-448d-bc78-7c506f64b4b6}" ref="L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Medical issues
</t>
      </text>
    </comment>
    <comment authorId="22" xr:uid="{7ca44840-3da6-4b78-a6ca-e7354ca1d761}" ref="D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Clinic
</t>
      </text>
    </comment>
    <comment authorId="23" xr:uid="{7cfc46d1-202a-457b-a3a0-3367c5a38a88}" ref="J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to a high fever and allergy
</t>
      </text>
    </comment>
    <comment authorId="24" xr:uid="{8766fa12-20aa-448c-a7c3-d341ad02082d}" ref="I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was unable to attend class because I came to Colombo to participate in a World Dance Performance.
</t>
      </text>
    </comment>
    <comment authorId="25" xr:uid="{8f754c89-9a94-4397-8def-224f0d36488a}" ref="K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Funeral
</t>
      </text>
    </comment>
    <comment authorId="26" xr:uid="{939abd7a-b3e1-4c3c-9b7b-05f72f21991c}" ref="I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am suffering from a hand fracture and cannot attend today.
Kindly grant me leave for the day.
</t>
      </text>
    </comment>
    <comment authorId="27" xr:uid="{93c770d8-bdb6-4201-82b7-617e006a6e00}" ref="E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Illness
</t>
      </text>
    </comment>
    <comment authorId="28" xr:uid="{94366b45-29cb-401c-8f41-f1e609a553cc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am unable to attend class due to transportation issues.
</t>
      </text>
    </comment>
    <comment authorId="29" xr:uid="{a2088171-9ab7-4a95-b395-da7adfe80ed0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was unable to attend class today due to breathing problems.
</t>
      </text>
    </comment>
    <comment authorId="30" xr:uid="{a7733a77-10c9-48c6-b3cc-889261f1efb6}" ref="D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Illness
</t>
      </text>
    </comment>
    <comment authorId="31" xr:uid="{ba4ff985-f7b1-46b2-8718-26949dd42532}" ref="L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to a high fever and allergy
</t>
      </text>
    </comment>
    <comment authorId="32" xr:uid="{bd2826dc-5f4d-4112-b68f-6e1edde47b64}" ref="D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have a presentation in the web development course I'M attending tomorrow, so I will not be able to come to class tomorrow. Instead, I will attend with Group B on Tuesday.
</t>
      </text>
    </comment>
    <comment authorId="33" xr:uid="{c0d367f0-58e5-414f-ac4c-c80cf8cbf055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Going to other district
</t>
      </text>
    </comment>
    <comment authorId="34" xr:uid="{c3e5ffd9-0431-400c-b1d8-e172fdc5d21c}" ref="D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Stomach pain
</t>
      </text>
    </comment>
    <comment authorId="35" xr:uid="{c88150b5-71a3-491c-ad64-c23c339e2c4d}" ref="M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Continued Sick
</t>
      </text>
    </comment>
    <comment authorId="36" xr:uid="{d1c7c3f7-d57f-4910-82bd-f5b9ea011e5e}" ref="E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Brother's wedding
</t>
      </text>
    </comment>
    <comment authorId="37" xr:uid="{d71da53e-0617-4365-b871-7922f58d4eea}" ref="I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attend an eye clinic
</t>
      </text>
    </comment>
    <comment authorId="38" xr:uid="{d7367631-f964-4a56-b276-af94a8dbcd41}" ref="D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Going to university to submit the research paper.
</t>
      </text>
    </comment>
    <comment authorId="39" xr:uid="{d7f6bb68-6541-44b6-b92a-db566796e90a}" ref="I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personal reason
</t>
      </text>
    </comment>
    <comment authorId="40" xr:uid="{da683bf7-1e5f-4b2e-9da8-21f01c27062f}" ref="I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Funeral
</t>
      </text>
    </comment>
    <comment authorId="41" xr:uid="{dfd3acc3-31fe-4ace-9bb8-72921be57212}" ref="J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Personal issues
</t>
      </text>
    </comment>
    <comment authorId="42" xr:uid="{e99312a1-41ac-4656-85c2-46a56f172d1a}" ref="F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Sudden hospital visit, need to look after the patient.
</t>
      </text>
    </comment>
    <comment authorId="43" xr:uid="{edef95b7-cc0b-462e-b3a1-8a1c0483fca3}" ref="M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44" xr:uid="{f4a3fde9-4a70-424f-88cc-c3fb3d497189}" ref="H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Continued Sick
</t>
      </text>
    </comment>
    <comment authorId="45" xr:uid="{f8013376-60e5-4589-b897-288517ba8236}" ref="J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Medical issues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tc={0018dd10-c9a6-4909-bfae-4249b50831af}</author>
    <author>tc={04d31c61-fdf0-4ddf-b62e-5a3878dd7487}</author>
    <author>tc={04f4815a-2f10-456f-8013-c0831671c680}</author>
    <author>tc={0d946e5a-176e-40bc-bc6d-1c3b8d67783b}</author>
    <author>tc={0eb5fea7-5b0e-4eca-84d3-444ff049ace1}</author>
    <author>tc={10c3ce71-f750-42d0-9553-143565b8092d}</author>
    <author>tc={14365807-7288-4f9f-8f52-88784d4e9858}</author>
    <author>tc={14f8b543-a13f-4952-815a-d5257bad2999}</author>
    <author>tc={23f380c6-86ce-4761-b572-a5c8f70f0c81}</author>
    <author>tc={26d521db-7be7-4ee5-b563-75d8f55d6a19}</author>
    <author>tc={2b59e10b-02bc-4222-8dc4-fd6219a599ae}</author>
    <author>tc={31f7a9a1-5a46-4dbf-8b50-f4e6ded08e93}</author>
    <author>tc={3561798a-4656-4e1f-b15f-d680e4504097}</author>
    <author>tc={444adf73-ceb7-4075-902b-08e51128dd06}</author>
    <author>tc={460a225d-6567-4d1b-b4d7-09f703cd48f4}</author>
    <author>tc={4b910164-364a-498f-aad2-4f423472410d}</author>
    <author>tc={54406493-7f9a-41f6-87a9-e4320343469b}</author>
    <author>tc={5483fc48-eaba-466f-9fa1-38316cbdda29}</author>
    <author>tc={5a81dcd6-05d1-45b8-b11a-37c8b844178b}</author>
    <author>tc={616a3400-f832-49ce-95a6-71d1413e3019}</author>
    <author>tc={6922b926-6383-4cc7-b61c-8711544f9d17}</author>
    <author>tc={6a6e990a-e1d2-4770-abbe-5654542f6922}</author>
    <author>tc={7077c2a5-d784-485c-9837-57cea3928eff}</author>
    <author>tc={9722612b-e10a-42b5-964a-c28a5c352c92}</author>
    <author>tc={99e35429-03b4-4ebd-837b-1220fd699e2b}</author>
    <author>tc={a38aa5be-efef-4a15-8a93-11a62ff26fdd}</author>
    <author>tc={b931c5dd-791a-4fec-b5d1-0d68ed7743ee}</author>
    <author>tc={be54d2a3-8aec-4c9f-833b-d65fc2e3d6c5}</author>
    <author>tc={c7e6684d-db98-4742-955a-fc04f7b94252}</author>
    <author>tc={c7fd8b6f-6261-4aab-9d3a-b2b72b19878b}</author>
    <author>tc={ca7fe68f-fdd3-406d-9834-9c36d0d70892}</author>
    <author>tc={d524c7c7-5f75-416d-ba31-f8d4eedc0547}</author>
    <author>tc={dc7d0127-a87f-4f8e-bad5-d604ee4a087e}</author>
    <author>tc={dd19747d-3f9a-4043-af9a-6541c9dbb2d4}</author>
    <author>tc={df92940b-d326-4ff3-ab28-0a531e23b280}</author>
    <author>tc={e2c0ce75-7c54-48ce-bc11-da361f40d65b}</author>
    <author>tc={e36bff90-1f26-416c-aac5-c094ec1b9eb3}</author>
    <author>tc={e491fa9c-f29c-4721-9819-fbf75d093831}</author>
    <author>tc={e852bde7-671a-449c-b345-30d3182a66e0}</author>
    <author>tc={e9f14528-052b-4892-97f0-d2bfc6d98968}</author>
    <author>tc={ea255f43-df34-4eff-93b6-d36525a74cde}</author>
    <author>tc={eacf4cfd-ce81-4558-b00b-f0b64a2e2f9f}</author>
    <author>tc={f17a37d9-a632-4d86-b198-dda975aad105}</author>
    <author>tc={f2037d3d-0b6c-4f9f-8866-a8a529439bd1}</author>
    <author>tc={f248ae8e-6a7a-485e-8668-314146d1a5b4}</author>
    <author>tc={f25ce0e3-b58f-44f2-adeb-6ae34c50168f}</author>
    <author>tc={f648f889-1f8c-4a73-b664-998ac61b7ddf}</author>
    <author>tc={f9e076b8-c5c1-45fd-a0fd-8d6a69e9e2ed}</author>
    <author>tc={fc9cacbd-98d1-4d9a-975a-e9818ed8bc01}</author>
  </authors>
  <commentList>
    <comment authorId="0" xr:uid="{0018dd10-c9a6-4909-bfae-4249b50831af}" ref="M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was unable to attend class today due to breathing difficulties.
</t>
      </text>
    </comment>
    <comment authorId="1" xr:uid="{04d31c61-fdf0-4ddf-b62e-5a3878dd7487}" ref="I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Chest pain and go to checking hospital 
Take a medical treatment in Trincomalee.
</t>
      </text>
    </comment>
    <comment authorId="2" xr:uid="{04f4815a-2f10-456f-8013-c0831671c680}" ref="J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AGA office need to visit my home
</t>
      </text>
    </comment>
    <comment authorId="3" xr:uid="{0d946e5a-176e-40bc-bc6d-1c3b8d67783b}" ref="G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Court hearing of land issues
</t>
      </text>
    </comment>
    <comment authorId="4" xr:uid="{0eb5fea7-5b0e-4eca-84d3-444ff049ace1}" ref="J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Attend to Sister wedding
</t>
      </text>
    </comment>
    <comment authorId="5" xr:uid="{10c3ce71-f750-42d0-9553-143565b8092d}" ref="E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My grandmother has been admitted to the hospital.
</t>
      </text>
    </comment>
    <comment authorId="6" xr:uid="{14365807-7288-4f9f-8f52-88784d4e9858}" ref="D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Knowage accessment in naita from killinochi on 07/07/2026
</t>
      </text>
    </comment>
    <comment authorId="7" xr:uid="{14f8b543-a13f-4952-815a-d5257bad2999}" ref="F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Cold and fever
</t>
      </text>
    </comment>
    <comment authorId="8" xr:uid="{23f380c6-86ce-4761-b572-a5c8f70f0c81}" ref="I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Personal
</t>
      </text>
    </comment>
    <comment authorId="9" xr:uid="{26d521db-7be7-4ee5-b563-75d8f55d6a19}" ref="J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Function
</t>
      </text>
    </comment>
    <comment authorId="10" xr:uid="{2b59e10b-02bc-4222-8dc4-fd6219a599ae}" ref="L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AAT graduation
</t>
      </text>
    </comment>
    <comment authorId="11" xr:uid="{31f7a9a1-5a46-4dbf-8b50-f4e6ded08e93}" ref="I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 (dengue )
</t>
      </text>
    </comment>
    <comment authorId="12" xr:uid="{3561798a-4656-4e1f-b15f-d680e4504097}" ref="F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Personal
</t>
      </text>
    </comment>
    <comment authorId="13" xr:uid="{444adf73-ceb7-4075-902b-08e51128dd06}" ref="G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I'm in the Jaffna hospital for the medical reasons
</t>
      </text>
    </comment>
    <comment authorId="14" xr:uid="{460a225d-6567-4d1b-b4d7-09f703cd48f4}" ref="K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AAT graduation
</t>
      </text>
    </comment>
    <comment authorId="15" xr:uid="{4b910164-364a-498f-aad2-4f423472410d}" ref="N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University class ( B. Com external )
</t>
      </text>
    </comment>
    <comment authorId="16" xr:uid="{54406493-7f9a-41f6-87a9-e4320343469b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 (dengue )
</t>
      </text>
    </comment>
    <comment authorId="17" xr:uid="{5483fc48-eaba-466f-9fa1-38316cbdda29}" ref="D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Medical issue
</t>
      </text>
    </comment>
    <comment authorId="18" xr:uid="{5a81dcd6-05d1-45b8-b11a-37c8b844178b}" ref="N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to unavoidable circumstances. I am unable to attend
</t>
      </text>
    </comment>
    <comment authorId="19" xr:uid="{616a3400-f832-49ce-95a6-71d1413e3019}" ref="N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Semester Exam
</t>
      </text>
    </comment>
    <comment authorId="20" xr:uid="{6922b926-6383-4cc7-b61c-8711544f9d17}" ref="E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Gastric and Headpain
</t>
      </text>
    </comment>
    <comment authorId="21" xr:uid="{6a6e990a-e1d2-4770-abbe-5654542f6922}" ref="J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had a personal family matter that needed my attention
</t>
      </text>
    </comment>
    <comment authorId="22" xr:uid="{7077c2a5-d784-485c-9837-57cea3928eff}" ref="F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23" xr:uid="{9722612b-e10a-42b5-964a-c28a5c352c92}" ref="F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was unable to attend due to my grandfather’s passing
</t>
      </text>
    </comment>
    <comment authorId="24" xr:uid="{99e35429-03b4-4ebd-837b-1220fd699e2b}" ref="L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Health issue
</t>
      </text>
    </comment>
    <comment authorId="25" xr:uid="{a38aa5be-efef-4a15-8a93-11a62ff26fdd}" ref="J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have a day school in open university (8:30am to 1:30 pm)
</t>
      </text>
    </comment>
    <comment authorId="26" xr:uid="{b931c5dd-791a-4fec-b5d1-0d68ed7743ee}" ref="J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27" xr:uid="{be54d2a3-8aec-4c9f-833b-d65fc2e3d6c5}" ref="M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Fevar
</t>
      </text>
    </comment>
    <comment authorId="28" xr:uid="{c7e6684d-db98-4742-955a-fc04f7b94252}" ref="F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Family Function
</t>
      </text>
    </comment>
    <comment authorId="29" xr:uid="{c7fd8b6f-6261-4aab-9d3a-b2b72b19878b}" ref="F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Going to church
</t>
      </text>
    </comment>
    <comment authorId="30" xr:uid="{ca7fe68f-fdd3-406d-9834-9c36d0d70892}" ref="N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31" xr:uid="{d524c7c7-5f75-416d-ba31-f8d4eedc0547}" ref="G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have CAT exam at open university
</t>
      </text>
    </comment>
    <comment authorId="32" xr:uid="{dc7d0127-a87f-4f8e-bad5-d604ee4a087e}" ref="G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will not be able to attend class tomorrow as I have my driving licence test.
</t>
      </text>
    </comment>
    <comment authorId="33" xr:uid="{dd19747d-3f9a-4043-af9a-6541c9dbb2d4}" ref="I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the medical purposes
</t>
      </text>
    </comment>
    <comment authorId="34" xr:uid="{df92940b-d326-4ff3-ab28-0a531e23b280}" ref="M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Going to church
</t>
      </text>
    </comment>
    <comment authorId="35" xr:uid="{e2c0ce75-7c54-48ce-bc11-da361f40d65b}" ref="F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had taken leave because I was unwell
</t>
      </text>
    </comment>
    <comment authorId="36" xr:uid="{e36bff90-1f26-416c-aac5-c094ec1b9eb3}" ref="K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Going to church
</t>
      </text>
    </comment>
    <comment authorId="37" xr:uid="{e491fa9c-f29c-4721-9819-fbf75d093831}" ref="J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38" xr:uid="{e852bde7-671a-449c-b345-30d3182a66e0}" ref="K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Sister’s convocation
</t>
      </text>
    </comment>
    <comment authorId="39" xr:uid="{e9f14528-052b-4892-97f0-d2bfc6d98968}" ref="J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 hospital
</t>
      </text>
    </comment>
    <comment authorId="40" xr:uid="{ea255f43-df34-4eff-93b6-d36525a74cde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have a class at the university of jaffna, so I can't attend the lectures today.
</t>
      </text>
    </comment>
    <comment authorId="41" xr:uid="{eacf4cfd-ce81-4558-b00b-f0b64a2e2f9f}" ref="I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Personal problem
</t>
      </text>
    </comment>
    <comment authorId="42" xr:uid="{f17a37d9-a632-4d86-b198-dda975aad105}" ref="G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Gastric and Headpain
</t>
      </text>
    </comment>
    <comment authorId="43" xr:uid="{f2037d3d-0b6c-4f9f-8866-a8a529439bd1}" ref="G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was unable to attend today's class due to severe stomach pain. Sorry for the inconvenience.
</t>
      </text>
    </comment>
    <comment authorId="44" xr:uid="{f248ae8e-6a7a-485e-8668-314146d1a5b4}" ref="I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court case today regarding an agency fraud case for my brother’s abroad job
</t>
      </text>
    </comment>
    <comment authorId="45" xr:uid="{f25ce0e3-b58f-44f2-adeb-6ae34c50168f}" ref="D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was unable to attend due to my grandfather’s passing
</t>
      </text>
    </comment>
    <comment authorId="46" xr:uid="{f648f889-1f8c-4a73-b664-998ac61b7ddf}" ref="G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47" xr:uid="{f9e076b8-c5c1-45fd-a0fd-8d6a69e9e2ed}" ref="L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Semester Exam
</t>
      </text>
    </comment>
    <comment authorId="48" xr:uid="{fc9cacbd-98d1-4d9a-975a-e9818ed8bc01}" ref="L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Went to temple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tc={0f6173f7-3e00-4b3e-b172-b53eaed4e8ba}</author>
    <author>tc={14fc5b1f-8867-444a-92ef-186596a9d316}</author>
    <author>tc={5e783ca3-ac40-40bd-b1a5-56e10fd90713}</author>
  </authors>
  <commentList>
    <comment authorId="0" xr:uid="{0f6173f7-3e00-4b3e-b172-b53eaed4e8ba}" ref="F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" xr:uid="{14fc5b1f-8867-444a-92ef-186596a9d316}" ref="G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Went to the church
</t>
      </text>
    </comment>
    <comment authorId="2" xr:uid="{5e783ca3-ac40-40bd-b1a5-56e10fd90713}" ref="E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 inevitable function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tc={043a81ac-0091-48f0-a51e-6babf547576c}</author>
    <author>tc={17cf800f-281a-49c4-b5fd-3a4ad9013b36}</author>
    <author>tc={1a3e8552-77cd-4350-b127-515777b5614f}</author>
    <author>tc={26a5b890-24b2-4018-905a-9a7f54c6266b}</author>
    <author>tc={409f5ea9-d6b5-47b1-af83-a1ec49182ec9}</author>
    <author>tc={775814a8-5a5b-4386-9d40-3328e5435d45}</author>
    <author>tc={8175eed7-8d06-43e3-af71-5f4ba1501b1e}</author>
    <author>tc={83d61b68-f3b8-491a-a14c-20b321b1bbbb}</author>
    <author>tc={db05e517-1137-4ed7-95e4-d4145f520e82}</author>
  </authors>
  <commentList>
    <comment authorId="0" xr:uid="{043a81ac-0091-48f0-a51e-6babf547576c}" ref="D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"My mother health condition bad. Brain injury
So I'm stay with her in Jaffna hospital "
</t>
      </text>
    </comment>
    <comment authorId="1" xr:uid="{17cf800f-281a-49c4-b5fd-3a4ad9013b36}" ref="E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personal work
</t>
      </text>
    </comment>
    <comment authorId="2" xr:uid="{1a3e8552-77cd-4350-b127-515777b5614f}" ref="G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stomach pain
</t>
      </text>
    </comment>
    <comment authorId="3" xr:uid="{26a5b890-24b2-4018-905a-9a7f54c6266b}" ref="E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Health issue
</t>
      </text>
    </comment>
    <comment authorId="4" xr:uid="{409f5ea9-d6b5-47b1-af83-a1ec49182ec9}" ref="E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"My mother health condition bad. Brain injury 
So I'm stay with her in Jaffna hospital "
</t>
      </text>
    </comment>
    <comment authorId="5" xr:uid="{775814a8-5a5b-4386-9d40-3328e5435d45}" ref="G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going to hospital
</t>
      </text>
    </comment>
    <comment authorId="6" xr:uid="{8175eed7-8d06-43e3-af71-5f4ba1501b1e}" ref="D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to my mother's health issue
</t>
      </text>
    </comment>
    <comment authorId="7" xr:uid="{83d61b68-f3b8-491a-a14c-20b321b1bbbb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 ( Barthanadyam)
</t>
      </text>
    </comment>
    <comment authorId="8" xr:uid="{db05e517-1137-4ed7-95e4-d4145f520e82}" ref="E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to university exam
</t>
      </text>
    </comment>
  </commentList>
</comments>
</file>

<file path=xl/sharedStrings.xml><?xml version="1.0" encoding="utf-8"?>
<sst xmlns="http://schemas.openxmlformats.org/spreadsheetml/2006/main" count="12988" uniqueCount="538">
  <si>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</si>
  <si>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t>S . NO</t>
  </si>
  <si>
    <t>UT NO</t>
  </si>
  <si>
    <t>STUDENT'S NAME</t>
  </si>
  <si>
    <t>April</t>
  </si>
  <si>
    <t>Induction</t>
  </si>
  <si>
    <t>HTML &amp; LAB</t>
  </si>
  <si>
    <t>LAB</t>
  </si>
  <si>
    <t>JAVASCRIPT</t>
  </si>
  <si>
    <t>01.04.2026</t>
  </si>
  <si>
    <t>03.04.2026</t>
  </si>
  <si>
    <t>06.04.2026</t>
  </si>
  <si>
    <t>08.04.2026</t>
  </si>
  <si>
    <t>10.04.2026</t>
  </si>
  <si>
    <t>15.04.2026</t>
  </si>
  <si>
    <t>17.04.2026</t>
  </si>
  <si>
    <t>21.04.2026</t>
  </si>
  <si>
    <t>23.04.2026</t>
  </si>
  <si>
    <t>25.04.2026</t>
  </si>
  <si>
    <t>28.04.2026</t>
  </si>
  <si>
    <t>30.04.2026</t>
  </si>
  <si>
    <t>L</t>
  </si>
  <si>
    <t>A</t>
  </si>
  <si>
    <t>p</t>
  </si>
  <si>
    <t>total</t>
  </si>
  <si>
    <t>%</t>
  </si>
  <si>
    <t>UT011000</t>
  </si>
  <si>
    <t>Karunakaran Thuvaraka</t>
  </si>
  <si>
    <t>P</t>
  </si>
  <si>
    <t>UT011006</t>
  </si>
  <si>
    <t>Krishnathasan Thenusaan</t>
  </si>
  <si>
    <t>UT011012</t>
  </si>
  <si>
    <t>Dinosha Sritharan</t>
  </si>
  <si>
    <t>UT011016</t>
  </si>
  <si>
    <t>Nivetha Nanthakumaran</t>
  </si>
  <si>
    <t>UT011017</t>
  </si>
  <si>
    <t>Mithushika Vijayakumaran</t>
  </si>
  <si>
    <t>UT011019</t>
  </si>
  <si>
    <t>Sivaskaran Riikaran</t>
  </si>
  <si>
    <t>UT011020</t>
  </si>
  <si>
    <t>Thusani Puvanendrarajah</t>
  </si>
  <si>
    <t>UT011021</t>
  </si>
  <si>
    <t>Selvarathinam Anojan</t>
  </si>
  <si>
    <t>UT011030</t>
  </si>
  <si>
    <t>Sriskandarajah Yathunathan</t>
  </si>
  <si>
    <t>UT011035</t>
  </si>
  <si>
    <t>Piratheepan Tharshikan</t>
  </si>
  <si>
    <t>UT011040</t>
  </si>
  <si>
    <t>Rajeswaran Abishayiny</t>
  </si>
  <si>
    <t>UT011041</t>
  </si>
  <si>
    <t>Abina Gowritasan</t>
  </si>
  <si>
    <t>UT011042</t>
  </si>
  <si>
    <t>Dakshana Sivakathir</t>
  </si>
  <si>
    <t>UT011063</t>
  </si>
  <si>
    <t>Kanesakumar Sinthuyan</t>
  </si>
  <si>
    <t>UT011084</t>
  </si>
  <si>
    <t>Thamaraiselvan Mathy</t>
  </si>
  <si>
    <t>UT011091</t>
  </si>
  <si>
    <t>Kathiravel Thulaanchan</t>
  </si>
  <si>
    <t>UT011109</t>
  </si>
  <si>
    <t>Manokaralingam Venukanan</t>
  </si>
  <si>
    <t>UT011110</t>
  </si>
  <si>
    <t>Sornavadivel Iyar Saranjan Iyar</t>
  </si>
  <si>
    <t>UT011134</t>
  </si>
  <si>
    <t>Kulenthiran Anushan</t>
  </si>
  <si>
    <t>UT011136</t>
  </si>
  <si>
    <t>Pirapakaran Neelakirushnan</t>
  </si>
  <si>
    <t>UT011135</t>
  </si>
  <si>
    <t>Kajarash Hapinayan</t>
  </si>
  <si>
    <t>UT011141</t>
  </si>
  <si>
    <t>Srikanthan Sriabishek</t>
  </si>
  <si>
    <t>UT011143</t>
  </si>
  <si>
    <t>Stefani Mariachandrakumar</t>
  </si>
  <si>
    <t>UT011154</t>
  </si>
  <si>
    <t>Keethappiriya Mathimugarasa</t>
  </si>
  <si>
    <t>UT011159</t>
  </si>
  <si>
    <t>Saseelan Harusan</t>
  </si>
  <si>
    <t>UT011174</t>
  </si>
  <si>
    <t>Pathmanathan Jebahar</t>
  </si>
  <si>
    <t>UT011196</t>
  </si>
  <si>
    <t>Rubachandran Piriyaram</t>
  </si>
  <si>
    <t>UT011224</t>
  </si>
  <si>
    <t>Senthees Dinoshan</t>
  </si>
  <si>
    <t>UT011227</t>
  </si>
  <si>
    <t>Kajenthirarasha Piranavan</t>
  </si>
  <si>
    <t>UT011265</t>
  </si>
  <si>
    <t>Ragunathan Tharshan</t>
  </si>
  <si>
    <t>UT011401</t>
  </si>
  <si>
    <t>Thadsha Nanthakumar</t>
  </si>
  <si>
    <t>UT011409</t>
  </si>
  <si>
    <t>Nagulendrarajah Sangeerthanan</t>
  </si>
  <si>
    <t>UT011414</t>
  </si>
  <si>
    <t>Sanojan Satheeskumar</t>
  </si>
  <si>
    <t>UT011425</t>
  </si>
  <si>
    <t>Philiphthevaseelan Sejohn</t>
  </si>
  <si>
    <t>UT011426</t>
  </si>
  <si>
    <t>Thangarasa Thasvini</t>
  </si>
  <si>
    <t>UT011427</t>
  </si>
  <si>
    <t>Joyjanas Demiltan</t>
  </si>
  <si>
    <t>UT011472</t>
  </si>
  <si>
    <t>Krishanthasutharshan Krithees</t>
  </si>
  <si>
    <t>UT011505</t>
  </si>
  <si>
    <t>Priyanka Sivapalu</t>
  </si>
  <si>
    <t>UT011507</t>
  </si>
  <si>
    <t>Selvaranjan Kabeeshan</t>
  </si>
  <si>
    <t>UT011519</t>
  </si>
  <si>
    <t>Harikaran Aagash</t>
  </si>
  <si>
    <t>UT011521</t>
  </si>
  <si>
    <t>Tharmini Tharmarasa</t>
  </si>
  <si>
    <t>UT011529</t>
  </si>
  <si>
    <t>Samuel Nesakumar Juliyad Dinosan</t>
  </si>
  <si>
    <t>UT011531</t>
  </si>
  <si>
    <t>Mathan Sobiya</t>
  </si>
  <si>
    <t>UT011532</t>
  </si>
  <si>
    <t>Mathan Sobika</t>
  </si>
  <si>
    <t>UT011534</t>
  </si>
  <si>
    <t>Makilnthana Uthayakumar</t>
  </si>
  <si>
    <t>UT011544</t>
  </si>
  <si>
    <t>Logwshwaran Keshigan</t>
  </si>
  <si>
    <t>UT011545</t>
  </si>
  <si>
    <t>Ranjith Kumar Sivancy</t>
  </si>
  <si>
    <t>UT011604</t>
  </si>
  <si>
    <t>Ajanthas Anoja</t>
  </si>
  <si>
    <t>UT011606</t>
  </si>
  <si>
    <t>Piriyanthiny Pulendran Thanushan</t>
  </si>
  <si>
    <t>UT011617</t>
  </si>
  <si>
    <t>Nayomy Reshalini Charles Nimalan</t>
  </si>
  <si>
    <t>UT011618</t>
  </si>
  <si>
    <t>Vigneswaran Vishanan</t>
  </si>
  <si>
    <t>UT011622</t>
  </si>
  <si>
    <t>Ragavan Komaruthan</t>
  </si>
  <si>
    <t>UT011625</t>
  </si>
  <si>
    <t>Anpalakan Jathusan</t>
  </si>
  <si>
    <t>UT011627</t>
  </si>
  <si>
    <t>Santhiramokan Gikkasan</t>
  </si>
  <si>
    <t>UT011628</t>
  </si>
  <si>
    <t>Sharavanan Patithiyan</t>
  </si>
  <si>
    <t>UT011629</t>
  </si>
  <si>
    <t>Hillary Lesly George Hentry</t>
  </si>
  <si>
    <t>UT011633</t>
  </si>
  <si>
    <t>Jayakumar Sinthujan</t>
  </si>
  <si>
    <t>UT011634</t>
  </si>
  <si>
    <t>Pratheepan Thikazhavan</t>
  </si>
  <si>
    <t>UT011636</t>
  </si>
  <si>
    <t>Shanmugaratnam Selvakumaran</t>
  </si>
  <si>
    <t>UT011639</t>
  </si>
  <si>
    <t>Tharshika Sivakaran</t>
  </si>
  <si>
    <t>UT011640</t>
  </si>
  <si>
    <t>Sangeetha Sathiyarasa</t>
  </si>
  <si>
    <t>UT011647</t>
  </si>
  <si>
    <t>Patmanathan Ratnadeepak</t>
  </si>
  <si>
    <t>UT011663</t>
  </si>
  <si>
    <t>Kunasingam Thusha</t>
  </si>
  <si>
    <t>UT011681</t>
  </si>
  <si>
    <t>Mathivathanan Priyanga Darshani</t>
  </si>
  <si>
    <t>UT011682</t>
  </si>
  <si>
    <t>Tharsheka Mathivathanan</t>
  </si>
  <si>
    <t>UT011685</t>
  </si>
  <si>
    <t>Kalaiyarasi Surenthiran</t>
  </si>
  <si>
    <t>UT011688</t>
  </si>
  <si>
    <t>Naganathan Akanila</t>
  </si>
  <si>
    <t>UT011690</t>
  </si>
  <si>
    <t>Jude Jeyakanthan Jochim Thilaharaj</t>
  </si>
  <si>
    <t>UT011695</t>
  </si>
  <si>
    <t>Disanthy Sivanathan</t>
  </si>
  <si>
    <t>UT011696</t>
  </si>
  <si>
    <t>Sasikaran Nagatharmini</t>
  </si>
  <si>
    <t>UT011700</t>
  </si>
  <si>
    <t>Ravithas Thanusika</t>
  </si>
  <si>
    <t>UT011701</t>
  </si>
  <si>
    <t>Krishnakumar Reshapthanan</t>
  </si>
  <si>
    <t>UT011712</t>
  </si>
  <si>
    <t>Vinsika Sivarasa</t>
  </si>
  <si>
    <t>UT011741</t>
  </si>
  <si>
    <t>Paramanathan Sujeepan</t>
  </si>
  <si>
    <t>UT011747</t>
  </si>
  <si>
    <t>Atchuthan Kujananth</t>
  </si>
  <si>
    <t>UT011757</t>
  </si>
  <si>
    <t>Raveendran Prasanth</t>
  </si>
  <si>
    <t>UT011758</t>
  </si>
  <si>
    <t>Kugathas Sujev</t>
  </si>
  <si>
    <t>UT011766</t>
  </si>
  <si>
    <t>Sithamparanathan Nirojini</t>
  </si>
  <si>
    <t>UT011779</t>
  </si>
  <si>
    <t>Kumarathasan Thillepan</t>
  </si>
  <si>
    <t>UT011801</t>
  </si>
  <si>
    <t>Reginold Stephan Minison</t>
  </si>
  <si>
    <t>UT011829</t>
  </si>
  <si>
    <t>Piriyanka Balasubramaniyam</t>
  </si>
  <si>
    <t>UT011839</t>
  </si>
  <si>
    <t>Castro Revel</t>
  </si>
  <si>
    <t xml:space="preserve">TOTAL </t>
  </si>
  <si>
    <t>TOTAL S NO</t>
  </si>
  <si>
    <t>TOTAL %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</si>
  <si>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</si>
  <si>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JAVA SCRIPT</t>
  </si>
  <si>
    <t>02.04.2026</t>
  </si>
  <si>
    <t>07.04.2026</t>
  </si>
  <si>
    <t>09.04.2026</t>
  </si>
  <si>
    <t>11.04.2026</t>
  </si>
  <si>
    <t>16.04.2026</t>
  </si>
  <si>
    <t>18.04.2026</t>
  </si>
  <si>
    <t>20.04.2026</t>
  </si>
  <si>
    <t>22.04.2026</t>
  </si>
  <si>
    <t>24.04.2026</t>
  </si>
  <si>
    <t>27.04.2026</t>
  </si>
  <si>
    <t>29.04.2026</t>
  </si>
  <si>
    <t>UT011003</t>
  </si>
  <si>
    <t>Narmatha Thavarasa</t>
  </si>
  <si>
    <t>UT011004</t>
  </si>
  <si>
    <t>Karththikesu Raviraj</t>
  </si>
  <si>
    <t>UT011007</t>
  </si>
  <si>
    <t>Abishegah Arunan</t>
  </si>
  <si>
    <t>UT011008</t>
  </si>
  <si>
    <t>Abigayil Arunan</t>
  </si>
  <si>
    <t>UT011009</t>
  </si>
  <si>
    <t>Silvester Kayaliniyan</t>
  </si>
  <si>
    <t>UT011010</t>
  </si>
  <si>
    <t>Nageswaran Gowsikan</t>
  </si>
  <si>
    <t>UT011014</t>
  </si>
  <si>
    <t>Ketheeswaranathan Jeyapirakash</t>
  </si>
  <si>
    <t>UT011037</t>
  </si>
  <si>
    <t>Ravichchanthiran Shayanthan</t>
  </si>
  <si>
    <t>UT011046</t>
  </si>
  <si>
    <t>Thirushanthi Raveendran</t>
  </si>
  <si>
    <t>UT011052</t>
  </si>
  <si>
    <t>Inthirarasa Thikalnila</t>
  </si>
  <si>
    <t>UT011080</t>
  </si>
  <si>
    <t>Sivaranjan Setha</t>
  </si>
  <si>
    <t>UT011083</t>
  </si>
  <si>
    <t>Roshni Kulas Jude Consal</t>
  </si>
  <si>
    <t>UT011111</t>
  </si>
  <si>
    <t>Baskaran Kopija</t>
  </si>
  <si>
    <t>UT011117</t>
  </si>
  <si>
    <t>Thushanthini kailanathan</t>
  </si>
  <si>
    <t>UT011145</t>
  </si>
  <si>
    <t>Anne Jenikka Jesuthasan</t>
  </si>
  <si>
    <t>UT011148</t>
  </si>
  <si>
    <t>Vijayaruban Thuvarathan</t>
  </si>
  <si>
    <t>UT011166</t>
  </si>
  <si>
    <t>Jegathasa Karthikan</t>
  </si>
  <si>
    <t>UT011167</t>
  </si>
  <si>
    <t>Arulraj Lucina</t>
  </si>
  <si>
    <t>UT011197</t>
  </si>
  <si>
    <t>Tharani Ravichandran</t>
  </si>
  <si>
    <t>UT011205</t>
  </si>
  <si>
    <t>Najimudeen Fathima Afla</t>
  </si>
  <si>
    <t>UT011206</t>
  </si>
  <si>
    <t>Kirushnapillai Thilukshan</t>
  </si>
  <si>
    <t>UT011207</t>
  </si>
  <si>
    <t>Nagoor Fathima Awshafa</t>
  </si>
  <si>
    <t>UT011210</t>
  </si>
  <si>
    <t>Mohamed Faizal Fathima Mubassira</t>
  </si>
  <si>
    <t>UT011211</t>
  </si>
  <si>
    <t>Thanistan Roy Ockersz</t>
  </si>
  <si>
    <t>UT011214</t>
  </si>
  <si>
    <t>Ameer Ali Mohamed Roshan</t>
  </si>
  <si>
    <t>UT011216</t>
  </si>
  <si>
    <t>Tharmanathan Sarvathan</t>
  </si>
  <si>
    <t>UT011219</t>
  </si>
  <si>
    <t>Arunakiri Rasmina</t>
  </si>
  <si>
    <t>UT011222</t>
  </si>
  <si>
    <t>Sabesan Pirunthusan</t>
  </si>
  <si>
    <t>UT011242</t>
  </si>
  <si>
    <t>Indrakumar Rathushayini</t>
  </si>
  <si>
    <t>UT011267</t>
  </si>
  <si>
    <t>Shankavy Janarthan</t>
  </si>
  <si>
    <t>UT011284</t>
  </si>
  <si>
    <t>Saravanapawan Piremaji</t>
  </si>
  <si>
    <t>UT011303</t>
  </si>
  <si>
    <t>T.pranitha Sri Harshani</t>
  </si>
  <si>
    <t>UT011305</t>
  </si>
  <si>
    <t>Nagalingam Kabishan</t>
  </si>
  <si>
    <t>UT011307</t>
  </si>
  <si>
    <t>Amirtharaj Thanujan</t>
  </si>
  <si>
    <t>UT011309</t>
  </si>
  <si>
    <t>Sivakumar Nidhushiya</t>
  </si>
  <si>
    <t>UT011311</t>
  </si>
  <si>
    <t>Abdul Kareem Mohamed Rasath</t>
  </si>
  <si>
    <t>UT011312</t>
  </si>
  <si>
    <t>Thiyagaraja Yumesha Shalini</t>
  </si>
  <si>
    <t>UT011314</t>
  </si>
  <si>
    <t>Ramanadan Prasanna</t>
  </si>
  <si>
    <t>UT011331</t>
  </si>
  <si>
    <t>Laxmanaraja Kogulanathan</t>
  </si>
  <si>
    <t>UT011333</t>
  </si>
  <si>
    <t>Muhammad Musaddiq</t>
  </si>
  <si>
    <t>UT011351</t>
  </si>
  <si>
    <t>Malik Muncif</t>
  </si>
  <si>
    <t>UT011406</t>
  </si>
  <si>
    <t>Mathisoothanan Anantharasa</t>
  </si>
  <si>
    <t>UT011412</t>
  </si>
  <si>
    <t>Mohommad Fahim</t>
  </si>
  <si>
    <t>UT011421</t>
  </si>
  <si>
    <t>Maharof Mohamed Sihan</t>
  </si>
  <si>
    <t>UT011436</t>
  </si>
  <si>
    <t>Srikanthan Yathurshan</t>
  </si>
  <si>
    <t>UT011442</t>
  </si>
  <si>
    <t>Jeyamohan Thilaksan</t>
  </si>
  <si>
    <t>UT011506</t>
  </si>
  <si>
    <t>Isaivany Makathevan</t>
  </si>
  <si>
    <t>UT011510</t>
  </si>
  <si>
    <t>Tharmalingam Tharmithan</t>
  </si>
  <si>
    <t>UT011518</t>
  </si>
  <si>
    <t>Piraveena Kanakanathan</t>
  </si>
  <si>
    <t>UT011524</t>
  </si>
  <si>
    <t>Reshmija Rejikumar</t>
  </si>
  <si>
    <t>UT011527</t>
  </si>
  <si>
    <t>Saththijenthira Pirainila</t>
  </si>
  <si>
    <t>UT011528</t>
  </si>
  <si>
    <t>Quindas Vimaltan</t>
  </si>
  <si>
    <t>UT011537</t>
  </si>
  <si>
    <t>Nadarajan Mithunalini</t>
  </si>
  <si>
    <t>UT011602</t>
  </si>
  <si>
    <t>Thulasika Ramachandran</t>
  </si>
  <si>
    <t>UT011611</t>
  </si>
  <si>
    <t>Kobiga Sasikaran</t>
  </si>
  <si>
    <t>UT011612</t>
  </si>
  <si>
    <t>Varmitha Yogananthan</t>
  </si>
  <si>
    <t>UT011648</t>
  </si>
  <si>
    <t>Kanthasamy Kirushnavenu</t>
  </si>
  <si>
    <t>UT011651</t>
  </si>
  <si>
    <t>Loganathan Branavan</t>
  </si>
  <si>
    <t>UT011689</t>
  </si>
  <si>
    <t>Sarook Mymoon</t>
  </si>
  <si>
    <t>UT011715</t>
  </si>
  <si>
    <t>Nagulan Jatheesa</t>
  </si>
  <si>
    <t>UT011718</t>
  </si>
  <si>
    <t>Jesuthasan Thivya</t>
  </si>
  <si>
    <t>UT011724</t>
  </si>
  <si>
    <t>Raveenthiran Abimanju</t>
  </si>
  <si>
    <t>UT011732</t>
  </si>
  <si>
    <t>Thirunesan Athis</t>
  </si>
  <si>
    <t>UT011733</t>
  </si>
  <si>
    <t>Lingarajah Sarujan</t>
  </si>
  <si>
    <t>UT011734</t>
  </si>
  <si>
    <t>Suthakaran Kethusan</t>
  </si>
  <si>
    <t>UT011742</t>
  </si>
  <si>
    <t>Parthipan Nirupan</t>
  </si>
  <si>
    <t>UT011748</t>
  </si>
  <si>
    <t>Paranthaman Thanujan</t>
  </si>
  <si>
    <t>UT011751</t>
  </si>
  <si>
    <t>Artheka Shivamaniam</t>
  </si>
  <si>
    <t>UT011753</t>
  </si>
  <si>
    <t>Yogeswaran Gowreeshan</t>
  </si>
  <si>
    <t>UT011760</t>
  </si>
  <si>
    <t>Thasan Lukka Gersom</t>
  </si>
  <si>
    <t>UT011764</t>
  </si>
  <si>
    <t>Jayakkumar Arul Thusiyanthan</t>
  </si>
  <si>
    <t>UT011767</t>
  </si>
  <si>
    <t>Pirashayiny Piratheepan</t>
  </si>
  <si>
    <t>UT011776</t>
  </si>
  <si>
    <t>Lankakumar Nithurshan</t>
  </si>
  <si>
    <t>UT011780</t>
  </si>
  <si>
    <t>Ganesharajah Thaarunyan</t>
  </si>
  <si>
    <t>UT011781</t>
  </si>
  <si>
    <t>Devendran Sheshthriha</t>
  </si>
  <si>
    <t>UT011787</t>
  </si>
  <si>
    <t>P.Chrisklegaryoag</t>
  </si>
  <si>
    <t>UT011809</t>
  </si>
  <si>
    <t>Kandeepan Arudpragash</t>
  </si>
  <si>
    <t>UT011810</t>
  </si>
  <si>
    <t>Sivagnanam Shanthini</t>
  </si>
  <si>
    <t>UT011819</t>
  </si>
  <si>
    <t>Tharmaraththinam Saranraj</t>
  </si>
  <si>
    <t>UT011825</t>
  </si>
  <si>
    <t>Krishnamurthy Santhos</t>
  </si>
  <si>
    <t>UT011828</t>
  </si>
  <si>
    <t>Thushanthani Kandhasamy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</si>
  <si>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</si>
  <si>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t>May</t>
  </si>
  <si>
    <t>GIT HUB &amp; PROJECT EXP</t>
  </si>
  <si>
    <t>SDL</t>
  </si>
  <si>
    <t>PROJECT SUBMISSION</t>
  </si>
  <si>
    <t>VIVA</t>
  </si>
  <si>
    <t>C#</t>
  </si>
  <si>
    <t>SQL</t>
  </si>
  <si>
    <t>02.05.2026</t>
  </si>
  <si>
    <t>04.05.2026</t>
  </si>
  <si>
    <t>05.05.2026</t>
  </si>
  <si>
    <t>06.05.2026 - 07.05.2027</t>
  </si>
  <si>
    <t>08.05.2026</t>
  </si>
  <si>
    <t>11.05.2026</t>
  </si>
  <si>
    <t xml:space="preserve">13.05.2026 </t>
  </si>
  <si>
    <t>15.05.2026</t>
  </si>
  <si>
    <t>18.05.2026</t>
  </si>
  <si>
    <t>20.05.2026</t>
  </si>
  <si>
    <t>22.05.2026</t>
  </si>
  <si>
    <t>25.05.2026</t>
  </si>
  <si>
    <t>27.05.2026</t>
  </si>
  <si>
    <t>29.05.2026</t>
  </si>
  <si>
    <t>Sivaskaran Risikaran</t>
  </si>
  <si>
    <t>Kunasigam Thusa</t>
  </si>
  <si>
    <t>TOTAL ST :65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</si>
  <si>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</si>
  <si>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01.05.2026</t>
  </si>
  <si>
    <t>03.05.2026</t>
  </si>
  <si>
    <t>09.05.2026</t>
  </si>
  <si>
    <t>12.05.2026</t>
  </si>
  <si>
    <t>14.05.2026</t>
  </si>
  <si>
    <t>16.05.2026</t>
  </si>
  <si>
    <t>19.05.2026</t>
  </si>
  <si>
    <t>21.05.2026</t>
  </si>
  <si>
    <t>23.05.2026</t>
  </si>
  <si>
    <t>26.05.2026</t>
  </si>
  <si>
    <t>28.05.2026</t>
  </si>
  <si>
    <t>30.05.2026</t>
  </si>
  <si>
    <t>TOTAL ST 71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</si>
  <si>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</si>
  <si>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t>June</t>
  </si>
  <si>
    <t>SD</t>
  </si>
  <si>
    <t>Exam</t>
  </si>
  <si>
    <t>01.06.2026</t>
  </si>
  <si>
    <t>03.06.2026</t>
  </si>
  <si>
    <t>05.06.2026</t>
  </si>
  <si>
    <t>08.06.2026</t>
  </si>
  <si>
    <t>10.06.2026</t>
  </si>
  <si>
    <t>12.06.2026</t>
  </si>
  <si>
    <t>15.06.2026</t>
  </si>
  <si>
    <t>17.06.2026</t>
  </si>
  <si>
    <t>18.06.2026</t>
  </si>
  <si>
    <t>20.06.2026</t>
  </si>
  <si>
    <t>22.06.2026</t>
  </si>
  <si>
    <t>24.06.2026</t>
  </si>
  <si>
    <t>25.06.2026</t>
  </si>
  <si>
    <t>27.06.2026</t>
  </si>
  <si>
    <t>29.06.2026</t>
  </si>
  <si>
    <t>TOTAL ST :62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</si>
  <si>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</si>
  <si>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02.06.2026</t>
  </si>
  <si>
    <t>04.06.2026</t>
  </si>
  <si>
    <t>06.06.2026</t>
  </si>
  <si>
    <t>09.06.2026</t>
  </si>
  <si>
    <t>11.06.2026</t>
  </si>
  <si>
    <t>13.06.2026</t>
  </si>
  <si>
    <t>16.06.2026</t>
  </si>
  <si>
    <t>19.06.2026</t>
  </si>
  <si>
    <t>23.06.2026</t>
  </si>
  <si>
    <t>26.06.2026</t>
  </si>
  <si>
    <t>30.06.2026</t>
  </si>
  <si>
    <t>TOTAL ST 67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</si>
  <si>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</si>
  <si>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t>July</t>
  </si>
  <si>
    <t>SD Presentation</t>
  </si>
  <si>
    <t>English</t>
  </si>
  <si>
    <t>01.07.2026</t>
  </si>
  <si>
    <t>04.07.2026</t>
  </si>
  <si>
    <t>06.07.2026</t>
  </si>
  <si>
    <t>08.07.2026</t>
  </si>
  <si>
    <t>09.07.2026</t>
  </si>
  <si>
    <t>11.07.2026</t>
  </si>
  <si>
    <t>13.07.2026</t>
  </si>
  <si>
    <t>15.07.2026</t>
  </si>
  <si>
    <t>16.07.2026</t>
  </si>
  <si>
    <t>18.07.2026</t>
  </si>
  <si>
    <t>20.07.2026</t>
  </si>
  <si>
    <t>22.07.2026</t>
  </si>
  <si>
    <t>23.07.2026</t>
  </si>
  <si>
    <t>27.07.2026 - 29.07.2026</t>
  </si>
  <si>
    <t>31.07.2026</t>
  </si>
  <si>
    <t>TOTAL ST :61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</si>
  <si>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</si>
  <si>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03.07.2026</t>
  </si>
  <si>
    <t>07.07.2026</t>
  </si>
  <si>
    <t>10.07.2026</t>
  </si>
  <si>
    <t>14.07.2026</t>
  </si>
  <si>
    <t>17.07.2026</t>
  </si>
  <si>
    <t xml:space="preserve">18.07.2026 </t>
  </si>
  <si>
    <t>21.07.2026</t>
  </si>
  <si>
    <t>24.07.2026</t>
  </si>
  <si>
    <t>28.07.2026-30.07.2026</t>
  </si>
  <si>
    <t>TOTAL ST 64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</si>
  <si>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</si>
  <si>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t>August</t>
  </si>
  <si>
    <t>C# VIVA</t>
  </si>
  <si>
    <t>Angular</t>
  </si>
  <si>
    <t>12.08.2026</t>
  </si>
  <si>
    <t>17.08.2026</t>
  </si>
  <si>
    <t>19.08.2026</t>
  </si>
  <si>
    <t>21.08.2026</t>
  </si>
  <si>
    <t>24.08.2026</t>
  </si>
  <si>
    <t>26.08.2027</t>
  </si>
  <si>
    <t>28.08.2026</t>
  </si>
  <si>
    <t>31.08.2026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</si>
  <si>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</si>
  <si>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18.08.2026</t>
  </si>
  <si>
    <t>20.08.2026</t>
  </si>
  <si>
    <t>22.08.2026</t>
  </si>
  <si>
    <t>25.08.2026</t>
  </si>
  <si>
    <t>27.08.2026</t>
  </si>
  <si>
    <t>29.08.2026</t>
  </si>
  <si>
    <t>TOTAL ST 62</t>
  </si>
  <si>
    <t xml:space="preserve"> 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</si>
  <si>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</si>
  <si>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t>September</t>
  </si>
  <si>
    <t>02.09.2026</t>
  </si>
  <si>
    <t>04.09.2026</t>
  </si>
  <si>
    <t>07.09.2026</t>
  </si>
  <si>
    <t>09.09.2027</t>
  </si>
  <si>
    <t>11.09.2028</t>
  </si>
  <si>
    <t>14.09.2029</t>
  </si>
  <si>
    <t>15.09.2030</t>
  </si>
  <si>
    <t>TOTAL ST :59</t>
  </si>
  <si>
    <t>Absent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</si>
  <si>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</si>
  <si>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01.09.2026</t>
  </si>
  <si>
    <t>03.09.2026</t>
  </si>
  <si>
    <t>05.09.2026</t>
  </si>
  <si>
    <t>08.09.2026</t>
  </si>
  <si>
    <t>10.09.2027</t>
  </si>
  <si>
    <t>12.09.2028</t>
  </si>
  <si>
    <t>10.04.2029</t>
  </si>
  <si>
    <t>TOTAL ST 61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</si>
  <si>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</t>
    </r>
    <r>
      <rPr>
        <rFont val="Calibri"/>
        <b/>
        <color rgb="FFFFFF00"/>
        <sz val="22.0"/>
      </rPr>
      <t>AI Agents</t>
    </r>
    <r>
      <rPr>
        <rFont val="Calibri"/>
        <b/>
        <color theme="1"/>
        <sz val="22.0"/>
      </rPr>
      <t xml:space="preserve"> Students Attendance Details </t>
    </r>
  </si>
  <si>
    <t>AI agent</t>
  </si>
  <si>
    <t>18.09.2026</t>
  </si>
  <si>
    <t>21.09.2026</t>
  </si>
  <si>
    <t>24.09.2026</t>
  </si>
  <si>
    <t>25.09.2026</t>
  </si>
  <si>
    <t>28.09.2027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</si>
  <si>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</t>
    </r>
    <r>
      <rPr>
        <rFont val="Calibri"/>
        <b/>
        <color rgb="FFFFFF00"/>
        <sz val="22.0"/>
      </rPr>
      <t>Flutter Development</t>
    </r>
    <r>
      <rPr>
        <rFont val="Calibri"/>
        <b/>
        <color theme="1"/>
        <sz val="22.0"/>
      </rPr>
      <t xml:space="preserve"> Students Attendance Details </t>
    </r>
  </si>
  <si>
    <t>Flutter</t>
  </si>
  <si>
    <t>30.09.2027</t>
  </si>
  <si>
    <t>UT001757</t>
  </si>
  <si>
    <t>UT 011311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</si>
  <si>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</t>
    </r>
    <r>
      <rPr>
        <rFont val="Calibri"/>
        <b/>
        <color rgb="FFFFFF00"/>
        <sz val="22.0"/>
      </rPr>
      <t>Embedded Systems &amp; Robotics</t>
    </r>
    <r>
      <rPr>
        <rFont val="Calibri"/>
        <b/>
        <color theme="1"/>
        <sz val="22.0"/>
      </rPr>
      <t xml:space="preserve"> Students Attendance Details</t>
    </r>
  </si>
  <si>
    <t>Hardware</t>
  </si>
  <si>
    <t>17.09.2026</t>
  </si>
  <si>
    <t>22.09.2027</t>
  </si>
  <si>
    <t>26.09.2028</t>
  </si>
  <si>
    <t>29.09.2029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</si>
  <si>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</t>
    </r>
    <r>
      <rPr>
        <rFont val="Calibri"/>
        <b/>
        <color rgb="FFFFFF00"/>
        <sz val="22.0"/>
      </rPr>
      <t>AI Agents</t>
    </r>
    <r>
      <rPr>
        <rFont val="Calibri"/>
        <b/>
        <color theme="1"/>
        <sz val="22.0"/>
      </rPr>
      <t xml:space="preserve"> Students Attendance Details </t>
    </r>
  </si>
  <si>
    <t>05.10.2026</t>
  </si>
  <si>
    <t>06.10.2026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</si>
  <si>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</t>
    </r>
    <r>
      <rPr>
        <rFont val="Calibri"/>
        <b/>
        <color rgb="FFFFFF00"/>
        <sz val="22.0"/>
      </rPr>
      <t>Flutter Development</t>
    </r>
    <r>
      <rPr>
        <rFont val="Calibri"/>
        <b/>
        <color theme="1"/>
        <sz val="22.0"/>
      </rPr>
      <t xml:space="preserve"> Students Attendance Details </t>
    </r>
  </si>
  <si>
    <t>02.10.2026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</si>
  <si>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</t>
    </r>
    <r>
      <rPr>
        <rFont val="Calibri"/>
        <b/>
        <color rgb="FFFFFF00"/>
        <sz val="22.0"/>
      </rPr>
      <t>Embedded Systems &amp; Robotics</t>
    </r>
    <r>
      <rPr>
        <rFont val="Calibri"/>
        <b/>
        <color theme="1"/>
        <sz val="22.0"/>
      </rPr>
      <t xml:space="preserve"> Students Attendance Details</t>
    </r>
  </si>
  <si>
    <t>03.10.2026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</si>
</sst>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5">
    <font>
      <sz val="10.0"/>
      <color rgb="FF000000"/>
      <name val="Arial"/>
      <scheme val="minor"/>
    </font>
    <font>
      <b/>
      <sz val="22.0"/>
      <color theme="1"/>
      <name val="Calibri"/>
    </font>
    <font/>
    <font>
      <b/>
      <sz val="15.0"/>
      <color rgb="FF1F1F1F"/>
      <name val="Calibri"/>
    </font>
    <font>
      <b/>
      <sz val="13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color theme="1"/>
      <name val="Arial"/>
    </font>
    <font>
      <b/>
      <color theme="1"/>
      <name val="Arial"/>
    </font>
    <font>
      <b/>
      <sz val="17.0"/>
      <color rgb="FF00B050"/>
      <name val="Calibri"/>
    </font>
    <font>
      <b/>
      <sz val="15.0"/>
      <color rgb="FFFF0000"/>
      <name val="Calibri"/>
    </font>
    <font>
      <b/>
      <sz val="15.0"/>
      <color rgb="FF00B050"/>
      <name val="Calibri"/>
    </font>
    <font>
      <b/>
      <sz val="18.0"/>
      <color theme="1"/>
      <name val="Calibri"/>
    </font>
    <font>
      <sz val="11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  <font>
      <sz val="12.0"/>
      <color theme="1"/>
      <name val="Calibri"/>
    </font>
    <font>
      <b/>
      <sz val="11.0"/>
      <color theme="1"/>
      <name val="Arial"/>
    </font>
    <font>
      <sz val="12.0"/>
      <color rgb="FF434343"/>
      <name val="Calibri"/>
    </font>
    <font>
      <b/>
      <sz val="9.0"/>
      <color theme="1"/>
      <name val="Calibri"/>
    </font>
    <font>
      <b/>
      <sz val="10.0"/>
      <color theme="1"/>
      <name val="Calibri"/>
    </font>
    <font>
      <color rgb="FF000000"/>
      <name val="Arial"/>
    </font>
    <font>
      <b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0CECE"/>
        <bgColor rgb="FFD0CECE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readingOrder="0" shrinkToFit="0" vertical="bottom" wrapText="1"/>
    </xf>
    <xf borderId="5" fillId="0" fontId="2" numFmtId="0" xfId="0" applyBorder="1" applyFont="1"/>
    <xf borderId="6" fillId="5" fontId="6" numFmtId="0" xfId="0" applyAlignment="1" applyBorder="1" applyFill="1" applyFont="1">
      <alignment horizontal="center" readingOrder="0" shrinkToFit="0" textRotation="90" vertical="center" wrapText="1"/>
    </xf>
    <xf borderId="6" fillId="5" fontId="6" numFmtId="0" xfId="0" applyAlignment="1" applyBorder="1" applyFill="1" applyFont="1">
      <alignment horizontal="center" readingOrder="0" textRotation="90" vertical="center"/>
    </xf>
    <xf borderId="6" fillId="5" fontId="6" numFmtId="0" xfId="0" applyAlignment="1" applyBorder="1" applyFill="1" applyFont="1">
      <alignment horizontal="center" textRotation="90" vertical="center"/>
    </xf>
    <xf borderId="6" fillId="5" fontId="7" numFmtId="0" xfId="0" applyAlignment="1" applyBorder="1" applyFill="1" applyFont="1">
      <alignment vertical="center"/>
    </xf>
    <xf borderId="6" fillId="5" fontId="7" numFmtId="164" xfId="0" applyAlignment="1" applyBorder="1" applyFill="1" applyFont="1" applyNumberFormat="1">
      <alignment vertical="center"/>
    </xf>
    <xf borderId="6" fillId="5" fontId="7" numFmtId="1" xfId="0" applyAlignment="1" applyBorder="1" applyFill="1" applyFont="1" applyNumberFormat="1">
      <alignment vertical="center"/>
    </xf>
    <xf borderId="7" fillId="0" fontId="2" numFmtId="0" xfId="0" applyBorder="1" applyFont="1"/>
    <xf borderId="6" fillId="5" fontId="6" numFmtId="165" xfId="0" applyAlignment="1" applyBorder="1" applyFill="1" applyFont="1" applyNumberFormat="1">
      <alignment horizontal="center" readingOrder="0" textRotation="90" vertical="center"/>
    </xf>
    <xf borderId="6" fillId="5" fontId="8" numFmtId="0" xfId="0" applyAlignment="1" applyBorder="1" applyFill="1" applyFont="1">
      <alignment textRotation="90" vertical="center"/>
    </xf>
    <xf borderId="6" fillId="6" fontId="9" numFmtId="0" xfId="0" applyAlignment="1" applyBorder="1" applyFill="1" applyFont="1">
      <alignment horizontal="center" textRotation="90"/>
    </xf>
    <xf borderId="6" fillId="6" fontId="10" numFmtId="0" xfId="0" applyAlignment="1" applyBorder="1" applyFill="1" applyFont="1">
      <alignment horizontal="center" textRotation="90"/>
    </xf>
    <xf borderId="6" fillId="6" fontId="11" numFmtId="0" xfId="0" applyAlignment="1" applyBorder="1" applyFill="1" applyFont="1">
      <alignment horizontal="center" textRotation="90"/>
    </xf>
    <xf borderId="6" fillId="0" fontId="12" numFmtId="0" xfId="0" applyAlignment="1" applyBorder="1" applyFont="1">
      <alignment horizontal="center" textRotation="90"/>
    </xf>
    <xf borderId="6" fillId="0" fontId="12" numFmtId="1" xfId="0" applyAlignment="1" applyBorder="1" applyFont="1" applyNumberFormat="1">
      <alignment horizontal="center" textRotation="90"/>
    </xf>
    <xf borderId="6" fillId="0" fontId="13" numFmtId="0" xfId="0" applyAlignment="1" applyBorder="1" applyFont="1">
      <alignment horizontal="center" readingOrder="0" shrinkToFit="0" vertical="bottom" wrapText="0"/>
    </xf>
    <xf borderId="6" fillId="0" fontId="14" numFmtId="0" xfId="0" applyAlignment="1" applyBorder="1" applyFont="1">
      <alignment horizontal="center" readingOrder="0" shrinkToFit="0" vertical="bottom" wrapText="0"/>
    </xf>
    <xf borderId="6" fillId="0" fontId="14" numFmtId="0" xfId="0" applyAlignment="1" applyBorder="1" applyFont="1">
      <alignment readingOrder="0" shrinkToFit="0" vertical="bottom" wrapText="0"/>
    </xf>
    <xf borderId="8" fillId="7" fontId="15" numFmtId="0" xfId="0" applyAlignment="1" applyBorder="1" applyFill="1" applyFont="1">
      <alignment horizontal="center" readingOrder="0" shrinkToFit="0" wrapText="1"/>
    </xf>
    <xf borderId="6" fillId="8" fontId="15" numFmtId="0" xfId="0" applyAlignment="1" applyBorder="1" applyFill="1" applyFont="1">
      <alignment horizontal="center" readingOrder="0" shrinkToFit="0" wrapText="1"/>
    </xf>
    <xf borderId="8" fillId="5" fontId="6" numFmtId="0" xfId="0" applyAlignment="1" applyBorder="1" applyFill="1" applyFont="1">
      <alignment horizontal="center" shrinkToFit="0" vertical="bottom" wrapText="1"/>
    </xf>
    <xf borderId="6" fillId="5" fontId="7" numFmtId="164" xfId="0" applyAlignment="1" applyBorder="1" applyFill="1" applyFont="1" applyNumberFormat="1">
      <alignment vertical="bottom"/>
    </xf>
    <xf borderId="6" fillId="5" fontId="6" numFmtId="0" xfId="0" applyAlignment="1" applyBorder="1" applyFill="1" applyFont="1">
      <alignment horizontal="center" shrinkToFit="0" vertical="bottom" wrapText="1"/>
    </xf>
    <xf borderId="6" fillId="5" fontId="7" numFmtId="0" xfId="0" applyAlignment="1" applyBorder="1" applyFill="1" applyFont="1">
      <alignment vertical="bottom"/>
    </xf>
    <xf borderId="6" fillId="6" fontId="7" numFmtId="0" xfId="0" applyAlignment="1" applyBorder="1" applyFill="1" applyFont="1">
      <alignment horizontal="right" vertical="bottom"/>
    </xf>
    <xf borderId="6" fillId="6" fontId="7" numFmtId="1" xfId="0" applyAlignment="1" applyBorder="1" applyFill="1" applyFont="1" applyNumberFormat="1">
      <alignment horizontal="right" vertical="bottom"/>
    </xf>
    <xf borderId="0" fillId="5" fontId="7" numFmtId="0" xfId="0" applyAlignment="1" applyFill="1" applyFont="1">
      <alignment vertical="bottom"/>
    </xf>
    <xf borderId="6" fillId="8" fontId="14" numFmtId="0" xfId="0" applyAlignment="1" applyBorder="1" applyFill="1" applyFont="1">
      <alignment horizontal="center" readingOrder="0" shrinkToFit="0" vertical="bottom" wrapText="0"/>
    </xf>
    <xf borderId="6" fillId="8" fontId="14" numFmtId="0" xfId="0" applyAlignment="1" applyBorder="1" applyFill="1" applyFont="1">
      <alignment readingOrder="0" shrinkToFit="0" vertical="bottom" wrapText="0"/>
    </xf>
    <xf borderId="8" fillId="8" fontId="15" numFmtId="0" xfId="0" applyAlignment="1" applyBorder="1" applyFill="1" applyFont="1">
      <alignment horizontal="center" readingOrder="0" shrinkToFit="0" wrapText="1"/>
    </xf>
    <xf borderId="8" fillId="8" fontId="6" numFmtId="0" xfId="0" applyAlignment="1" applyBorder="1" applyFill="1" applyFont="1">
      <alignment horizontal="center" shrinkToFit="0" vertical="bottom" wrapText="1"/>
    </xf>
    <xf borderId="6" fillId="8" fontId="7" numFmtId="164" xfId="0" applyAlignment="1" applyBorder="1" applyFill="1" applyFont="1" applyNumberFormat="1">
      <alignment vertical="bottom"/>
    </xf>
    <xf borderId="6" fillId="8" fontId="7" numFmtId="0" xfId="0" applyAlignment="1" applyBorder="1" applyFill="1" applyFont="1">
      <alignment vertical="bottom"/>
    </xf>
    <xf borderId="6" fillId="8" fontId="7" numFmtId="0" xfId="0" applyAlignment="1" applyBorder="1" applyFill="1" applyFont="1">
      <alignment horizontal="right" vertical="bottom"/>
    </xf>
    <xf borderId="6" fillId="8" fontId="7" numFmtId="1" xfId="0" applyAlignment="1" applyBorder="1" applyFill="1" applyFont="1" applyNumberFormat="1">
      <alignment horizontal="right" vertical="bottom"/>
    </xf>
    <xf borderId="8" fillId="6" fontId="6" numFmtId="0" xfId="0" applyAlignment="1" applyBorder="1" applyFill="1" applyFont="1">
      <alignment horizontal="center" shrinkToFit="0" vertical="bottom" wrapText="1"/>
    </xf>
    <xf borderId="8" fillId="6" fontId="7" numFmtId="0" xfId="0" applyAlignment="1" applyBorder="1" applyFill="1" applyFont="1">
      <alignment vertical="bottom"/>
    </xf>
    <xf borderId="6" fillId="6" fontId="7" numFmtId="164" xfId="0" applyAlignment="1" applyBorder="1" applyFill="1" applyFont="1" applyNumberFormat="1">
      <alignment vertical="bottom"/>
    </xf>
    <xf borderId="6" fillId="6" fontId="7" numFmtId="0" xfId="0" applyAlignment="1" applyBorder="1" applyFill="1" applyFont="1">
      <alignment vertical="bottom"/>
    </xf>
    <xf borderId="6" fillId="6" fontId="14" numFmtId="0" xfId="0" applyAlignment="1" applyBorder="1" applyFill="1" applyFont="1">
      <alignment horizontal="center" readingOrder="0" shrinkToFit="0" vertical="bottom" wrapText="0"/>
    </xf>
    <xf borderId="0" fillId="0" fontId="16" numFmtId="0" xfId="0" applyAlignment="1" applyFont="1">
      <alignment readingOrder="0"/>
    </xf>
    <xf borderId="6" fillId="8" fontId="13" numFmtId="0" xfId="0" applyAlignment="1" applyBorder="1" applyFill="1" applyFont="1">
      <alignment horizontal="center" readingOrder="0" shrinkToFit="0" vertical="bottom" wrapText="0"/>
    </xf>
    <xf borderId="6" fillId="6" fontId="7" numFmtId="0" xfId="0" applyAlignment="1" applyBorder="1" applyFill="1" applyFont="1">
      <alignment horizontal="center" vertical="bottom"/>
    </xf>
    <xf borderId="8" fillId="6" fontId="7" numFmtId="0" xfId="0" applyAlignment="1" applyBorder="1" applyFill="1" applyFont="1">
      <alignment horizontal="center" vertical="bottom"/>
    </xf>
    <xf borderId="6" fillId="8" fontId="14" numFmtId="0" xfId="0" applyAlignment="1" applyBorder="1" applyFill="1" applyFont="1">
      <alignment readingOrder="0" vertical="bottom"/>
    </xf>
    <xf borderId="8" fillId="8" fontId="7" numFmtId="0" xfId="0" applyAlignment="1" applyBorder="1" applyFill="1" applyFont="1">
      <alignment horizontal="center" vertical="bottom"/>
    </xf>
    <xf borderId="6" fillId="8" fontId="7" numFmtId="0" xfId="0" applyAlignment="1" applyBorder="1" applyFill="1" applyFont="1">
      <alignment horizontal="center" vertical="bottom"/>
    </xf>
    <xf borderId="0" fillId="6" fontId="7" numFmtId="0" xfId="0" applyAlignment="1" applyFill="1" applyFont="1">
      <alignment vertical="bottom"/>
    </xf>
    <xf borderId="6" fillId="9" fontId="8" numFmtId="0" xfId="0" applyAlignment="1" applyBorder="1" applyFill="1" applyFont="1">
      <alignment horizontal="center" vertical="bottom"/>
    </xf>
    <xf borderId="6" fillId="9" fontId="7" numFmtId="0" xfId="0" applyAlignment="1" applyBorder="1" applyFill="1" applyFont="1">
      <alignment horizontal="center" vertical="bottom"/>
    </xf>
    <xf borderId="0" fillId="6" fontId="7" numFmtId="0" xfId="0" applyAlignment="1" applyFill="1" applyFont="1">
      <alignment horizontal="center" vertical="bottom"/>
    </xf>
    <xf borderId="6" fillId="6" fontId="17" numFmtId="0" xfId="0" applyAlignment="1" applyBorder="1" applyFill="1" applyFont="1">
      <alignment horizontal="center" vertical="bottom"/>
    </xf>
    <xf borderId="6" fillId="5" fontId="7" numFmtId="0" xfId="0" applyAlignment="1" applyBorder="1" applyFill="1" applyFont="1">
      <alignment horizontal="center" readingOrder="0" vertical="bottom"/>
    </xf>
    <xf borderId="0" fillId="5" fontId="7" numFmtId="1" xfId="0" applyAlignment="1" applyFill="1" applyFont="1" applyNumberFormat="1">
      <alignment vertical="bottom"/>
    </xf>
    <xf borderId="6" fillId="10" fontId="17" numFmtId="0" xfId="0" applyAlignment="1" applyBorder="1" applyFill="1" applyFont="1">
      <alignment horizontal="center" vertical="bottom"/>
    </xf>
    <xf borderId="6" fillId="10" fontId="7" numFmtId="1" xfId="0" applyAlignment="1" applyBorder="1" applyFill="1" applyFont="1" applyNumberFormat="1">
      <alignment horizontal="center" vertical="bottom"/>
    </xf>
    <xf borderId="0" fillId="0" fontId="7" numFmtId="0" xfId="0" applyAlignment="1" applyFont="1">
      <alignment vertical="bottom"/>
    </xf>
    <xf borderId="6" fillId="6" fontId="6" numFmtId="0" xfId="0" applyAlignment="1" applyBorder="1" applyFill="1" applyFont="1">
      <alignment horizontal="center" readingOrder="0" textRotation="90" vertical="center"/>
    </xf>
    <xf borderId="6" fillId="6" fontId="6" numFmtId="0" xfId="0" applyAlignment="1" applyBorder="1" applyFill="1" applyFont="1">
      <alignment horizontal="center" readingOrder="0" textRotation="90"/>
    </xf>
    <xf borderId="6" fillId="6" fontId="6" numFmtId="0" xfId="0" applyAlignment="1" applyBorder="1" applyFill="1" applyFont="1">
      <alignment horizontal="center" textRotation="90"/>
    </xf>
    <xf borderId="6" fillId="6" fontId="7" numFmtId="0" xfId="0" applyBorder="1" applyFill="1" applyFont="1"/>
    <xf borderId="6" fillId="6" fontId="7" numFmtId="164" xfId="0" applyBorder="1" applyFill="1" applyFont="1" applyNumberFormat="1"/>
    <xf borderId="6" fillId="6" fontId="8" numFmtId="0" xfId="0" applyAlignment="1" applyBorder="1" applyFill="1" applyFont="1">
      <alignment textRotation="90"/>
    </xf>
    <xf borderId="6" fillId="6" fontId="6" numFmtId="0" xfId="0" applyAlignment="1" applyBorder="1" applyFill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/>
    </xf>
    <xf borderId="6" fillId="0" fontId="18" numFmtId="0" xfId="0" applyAlignment="1" applyBorder="1" applyFont="1">
      <alignment readingOrder="0"/>
    </xf>
    <xf borderId="5" fillId="0" fontId="14" numFmtId="0" xfId="0" applyAlignment="1" applyBorder="1" applyFont="1">
      <alignment horizontal="center" readingOrder="0" shrinkToFit="0" vertical="bottom" wrapText="0"/>
    </xf>
    <xf borderId="5" fillId="0" fontId="14" numFmtId="0" xfId="0" applyAlignment="1" applyBorder="1" applyFont="1">
      <alignment readingOrder="0" shrinkToFit="0" vertical="bottom" wrapText="0"/>
    </xf>
    <xf borderId="0" fillId="6" fontId="7" numFmtId="1" xfId="0" applyAlignment="1" applyFill="1" applyFont="1" applyNumberFormat="1">
      <alignment vertical="bottom"/>
    </xf>
    <xf borderId="6" fillId="6" fontId="19" numFmtId="0" xfId="0" applyAlignment="1" applyBorder="1" applyFill="1" applyFont="1">
      <alignment horizontal="center" readingOrder="0" shrinkToFit="0" textRotation="90" vertical="center" wrapText="1"/>
    </xf>
    <xf borderId="6" fillId="6" fontId="20" numFmtId="0" xfId="0" applyAlignment="1" applyBorder="1" applyFill="1" applyFont="1">
      <alignment horizontal="center" readingOrder="0" shrinkToFit="0" textRotation="90" vertical="center" wrapText="1"/>
    </xf>
    <xf borderId="6" fillId="6" fontId="6" numFmtId="0" xfId="0" applyAlignment="1" applyBorder="1" applyFill="1" applyFont="1">
      <alignment horizontal="center" readingOrder="0" shrinkToFit="0" textRotation="90" vertical="center" wrapText="1"/>
    </xf>
    <xf borderId="6" fillId="5" fontId="8" numFmtId="0" xfId="0" applyAlignment="1" applyBorder="1" applyFill="1" applyFont="1">
      <alignment readingOrder="0" textRotation="90" vertical="center"/>
    </xf>
    <xf borderId="6" fillId="8" fontId="6" numFmtId="0" xfId="0" applyAlignment="1" applyBorder="1" applyFill="1" applyFont="1">
      <alignment horizontal="center" shrinkToFit="0" vertical="bottom" wrapText="1"/>
    </xf>
    <xf borderId="6" fillId="6" fontId="15" numFmtId="0" xfId="0" applyAlignment="1" applyBorder="1" applyFill="1" applyFont="1">
      <alignment horizontal="center" readingOrder="0" shrinkToFit="0" wrapText="1"/>
    </xf>
    <xf borderId="0" fillId="6" fontId="7" numFmtId="0" xfId="0" applyAlignment="1" applyFill="1" applyFont="1">
      <alignment horizontal="center" readingOrder="0" vertical="bottom"/>
    </xf>
    <xf borderId="6" fillId="6" fontId="8" numFmtId="0" xfId="0" applyAlignment="1" applyBorder="1" applyFill="1" applyFont="1">
      <alignment readingOrder="0" textRotation="90"/>
    </xf>
    <xf borderId="6" fillId="6" fontId="14" numFmtId="0" xfId="0" applyAlignment="1" applyBorder="1" applyFill="1" applyFont="1">
      <alignment readingOrder="0" shrinkToFit="0" vertical="bottom" wrapText="0"/>
    </xf>
    <xf borderId="8" fillId="8" fontId="7" numFmtId="0" xfId="0" applyAlignment="1" applyBorder="1" applyFill="1" applyFont="1">
      <alignment vertical="bottom"/>
    </xf>
    <xf borderId="6" fillId="6" fontId="8" numFmtId="0" xfId="0" applyAlignment="1" applyBorder="1" applyFill="1" applyFont="1">
      <alignment readingOrder="0" textRotation="90" vertical="center"/>
    </xf>
    <xf borderId="6" fillId="5" fontId="14" numFmtId="0" xfId="0" applyAlignment="1" applyBorder="1" applyFill="1" applyFont="1">
      <alignment horizontal="center" readingOrder="0" shrinkToFit="0" vertical="bottom" wrapText="0"/>
    </xf>
    <xf borderId="6" fillId="5" fontId="14" numFmtId="0" xfId="0" applyAlignment="1" applyBorder="1" applyFill="1" applyFont="1">
      <alignment readingOrder="0" shrinkToFit="0" vertical="bottom" wrapText="0"/>
    </xf>
    <xf borderId="8" fillId="5" fontId="7" numFmtId="0" xfId="0" applyAlignment="1" applyBorder="1" applyFill="1" applyFont="1">
      <alignment horizontal="center" vertical="bottom"/>
    </xf>
    <xf borderId="6" fillId="5" fontId="7" numFmtId="0" xfId="0" applyAlignment="1" applyBorder="1" applyFill="1" applyFont="1">
      <alignment horizontal="center" vertical="bottom"/>
    </xf>
    <xf borderId="6" fillId="5" fontId="7" numFmtId="0" xfId="0" applyAlignment="1" applyBorder="1" applyFill="1" applyFont="1">
      <alignment horizontal="right" vertical="bottom"/>
    </xf>
    <xf borderId="6" fillId="5" fontId="7" numFmtId="1" xfId="0" applyAlignment="1" applyBorder="1" applyFill="1" applyFont="1" applyNumberFormat="1">
      <alignment horizontal="right" vertical="bottom"/>
    </xf>
    <xf borderId="6" fillId="6" fontId="8" numFmtId="0" xfId="0" applyAlignment="1" applyBorder="1" applyFill="1" applyFont="1">
      <alignment readingOrder="0" shrinkToFit="0" textRotation="90" vertical="center" wrapText="1"/>
    </xf>
    <xf borderId="6" fillId="6" fontId="13" numFmtId="0" xfId="0" applyAlignment="1" applyBorder="1" applyFill="1" applyFont="1">
      <alignment horizontal="center" readingOrder="0" shrinkToFit="0" vertical="bottom" wrapText="0"/>
    </xf>
    <xf borderId="8" fillId="6" fontId="15" numFmtId="0" xfId="0" applyAlignment="1" applyBorder="1" applyFill="1" applyFont="1">
      <alignment horizontal="center" readingOrder="0" shrinkToFit="0" wrapText="1"/>
    </xf>
    <xf borderId="8" fillId="8" fontId="21" numFmtId="0" xfId="0" applyAlignment="1" applyBorder="1" applyFill="1" applyFont="1">
      <alignment vertical="bottom"/>
    </xf>
    <xf borderId="6" fillId="8" fontId="21" numFmtId="164" xfId="0" applyAlignment="1" applyBorder="1" applyFill="1" applyFont="1" applyNumberFormat="1">
      <alignment vertical="bottom"/>
    </xf>
    <xf borderId="6" fillId="8" fontId="21" numFmtId="0" xfId="0" applyAlignment="1" applyBorder="1" applyFill="1" applyFont="1">
      <alignment vertical="bottom"/>
    </xf>
    <xf borderId="6" fillId="8" fontId="21" numFmtId="0" xfId="0" applyAlignment="1" applyBorder="1" applyFill="1" applyFont="1">
      <alignment horizontal="right" vertical="bottom"/>
    </xf>
    <xf borderId="6" fillId="8" fontId="21" numFmtId="1" xfId="0" applyAlignment="1" applyBorder="1" applyFill="1" applyFont="1" applyNumberFormat="1">
      <alignment horizontal="right" vertical="bottom"/>
    </xf>
    <xf borderId="8" fillId="7" fontId="15" numFmtId="0" xfId="0" applyAlignment="1" applyBorder="1" applyFill="1" applyFont="1">
      <alignment horizontal="center" readingOrder="0" vertical="bottom"/>
    </xf>
    <xf borderId="8" fillId="7" fontId="22" numFmtId="0" xfId="0" applyAlignment="1" applyBorder="1" applyFill="1" applyFont="1">
      <alignment readingOrder="0" vertical="bottom"/>
    </xf>
    <xf borderId="8" fillId="8" fontId="15" numFmtId="0" xfId="0" applyAlignment="1" applyBorder="1" applyFill="1" applyFont="1">
      <alignment horizontal="center" readingOrder="0" vertical="bottom"/>
    </xf>
    <xf borderId="8" fillId="8" fontId="22" numFmtId="0" xfId="0" applyAlignment="1" applyBorder="1" applyFill="1" applyFont="1">
      <alignment readingOrder="0" vertical="bottom"/>
    </xf>
    <xf borderId="8" fillId="0" fontId="15" numFmtId="0" xfId="0" applyAlignment="1" applyBorder="1" applyFont="1">
      <alignment horizontal="center" readingOrder="0" shrinkToFit="0" wrapText="1"/>
    </xf>
    <xf borderId="6" fillId="0" fontId="15" numFmtId="0" xfId="0" applyAlignment="1" applyBorder="1" applyFont="1">
      <alignment horizontal="center" readingOrder="0" shrinkToFit="0" wrapText="1"/>
    </xf>
    <xf borderId="8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right" vertical="bottom"/>
    </xf>
    <xf borderId="6" fillId="0" fontId="7" numFmtId="1" xfId="0" applyAlignment="1" applyBorder="1" applyFont="1" applyNumberFormat="1">
      <alignment horizontal="right" vertical="bottom"/>
    </xf>
    <xf borderId="6" fillId="9" fontId="8" numFmtId="0" xfId="0" applyAlignment="1" applyBorder="1" applyFill="1" applyFont="1">
      <alignment horizontal="center" vertical="bottom"/>
    </xf>
    <xf borderId="8" fillId="9" fontId="22" numFmtId="0" xfId="0" applyAlignment="1" applyBorder="1" applyFill="1" applyFont="1">
      <alignment horizontal="center" readingOrder="0" vertical="bottom"/>
    </xf>
    <xf borderId="6" fillId="5" fontId="8" numFmtId="0" xfId="0" applyAlignment="1" applyBorder="1" applyFill="1" applyFont="1">
      <alignment horizontal="center" readingOrder="0" vertical="bottom"/>
    </xf>
    <xf borderId="6" fillId="10" fontId="8" numFmtId="1" xfId="0" applyAlignment="1" applyBorder="1" applyFill="1" applyFont="1" applyNumberFormat="1">
      <alignment horizontal="center" vertical="bottom"/>
    </xf>
    <xf borderId="0" fillId="0" fontId="8" numFmtId="0" xfId="0" applyAlignment="1" applyFont="1">
      <alignment vertical="bottom"/>
    </xf>
    <xf borderId="6" fillId="0" fontId="6" numFmtId="0" xfId="0" applyAlignment="1" applyBorder="1" applyFont="1">
      <alignment horizontal="center" readingOrder="0" shrinkToFit="0" textRotation="90" vertical="center" wrapText="1"/>
    </xf>
    <xf borderId="6" fillId="6" fontId="6" numFmtId="0" xfId="0" applyAlignment="1" applyBorder="1" applyFill="1" applyFont="1">
      <alignment horizontal="center" readingOrder="0" textRotation="90" vertical="bottom"/>
    </xf>
    <xf borderId="6" fillId="0" fontId="6" numFmtId="0" xfId="0" applyAlignment="1" applyBorder="1" applyFont="1">
      <alignment horizontal="center" readingOrder="0" textRotation="90" vertical="center"/>
    </xf>
    <xf borderId="8" fillId="0" fontId="15" numFmtId="0" xfId="0" applyAlignment="1" applyBorder="1" applyFont="1">
      <alignment horizontal="center" readingOrder="0" vertical="bottom"/>
    </xf>
    <xf borderId="6" fillId="0" fontId="7" numFmtId="164" xfId="0" applyAlignment="1" applyBorder="1" applyFont="1" applyNumberFormat="1">
      <alignment vertical="bottom"/>
    </xf>
    <xf borderId="6" fillId="0" fontId="7" numFmtId="0" xfId="0" applyAlignment="1" applyBorder="1" applyFont="1">
      <alignment vertical="bottom"/>
    </xf>
    <xf borderId="0" fillId="0" fontId="23" numFmtId="0" xfId="0" applyFont="1"/>
    <xf borderId="0" fillId="0" fontId="24" numFmtId="0" xfId="0" applyAlignment="1" applyFont="1">
      <alignment readingOrder="0"/>
    </xf>
    <xf borderId="7" fillId="7" fontId="15" numFmtId="0" xfId="0" applyAlignment="1" applyBorder="1" applyFill="1" applyFont="1">
      <alignment horizontal="center" readingOrder="0" vertical="bottom"/>
    </xf>
    <xf borderId="7" fillId="8" fontId="15" numFmtId="0" xfId="0" applyAlignment="1" applyBorder="1" applyFill="1" applyFont="1">
      <alignment horizontal="center" readingOrder="0" vertical="bottom"/>
    </xf>
    <xf borderId="8" fillId="0" fontId="6" numFmtId="0" xfId="0" applyAlignment="1" applyBorder="1" applyFont="1">
      <alignment horizontal="center" shrinkToFit="0" vertical="bottom" wrapText="1"/>
    </xf>
    <xf borderId="8" fillId="6" fontId="15" numFmtId="0" xfId="0" applyAlignment="1" applyBorder="1" applyFill="1" applyFont="1">
      <alignment horizontal="center" readingOrder="0" vertical="bottom"/>
    </xf>
    <xf borderId="6" fillId="10" fontId="17" numFmtId="0" xfId="0" applyAlignment="1" applyBorder="1" applyFill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8" fillId="7" fontId="21" numFmtId="0" xfId="0" applyAlignment="1" applyBorder="1" applyFill="1" applyFont="1">
      <alignment horizontal="center" readingOrder="0" vertical="bottom"/>
    </xf>
    <xf borderId="8" fillId="8" fontId="21" numFmtId="0" xfId="0" applyAlignment="1" applyBorder="1" applyFill="1" applyFont="1">
      <alignment horizontal="center" readingOrder="0" vertical="bottom"/>
    </xf>
    <xf borderId="8" fillId="8" fontId="21" numFmtId="0" xfId="0" applyAlignment="1" applyBorder="1" applyFill="1" applyFont="1">
      <alignment readingOrder="0" vertical="bottom"/>
    </xf>
    <xf borderId="8" fillId="7" fontId="21" numFmtId="0" xfId="0" applyAlignment="1" applyBorder="1" applyFill="1" applyFont="1">
      <alignment readingOrder="0" vertical="bottom"/>
    </xf>
    <xf borderId="0" fillId="0" fontId="24" numFmtId="0" xfId="0" applyAlignment="1" applyFont="1">
      <alignment horizontal="center"/>
    </xf>
    <xf borderId="1" fillId="2" fontId="1" numFmtId="0" xfId="0" applyAlignment="1" applyBorder="1" applyFill="1" applyFont="1">
      <alignment readingOrder="0" shrinkToFit="0" vertical="bottom" wrapText="1"/>
    </xf>
    <xf borderId="8" fillId="6" fontId="14" numFmtId="0" xfId="0" applyAlignment="1" applyBorder="1" applyFill="1" applyFont="1">
      <alignment readingOrder="0" vertical="bottom"/>
    </xf>
    <xf borderId="8" fillId="7" fontId="22" numFmtId="0" xfId="0" applyAlignment="1" applyBorder="1" applyFill="1" applyFont="1">
      <alignment readingOrder="0" vertical="bottom"/>
    </xf>
    <xf borderId="7" fillId="7" fontId="22" numFmtId="0" xfId="0" applyAlignment="1" applyBorder="1" applyFill="1" applyFont="1">
      <alignment readingOrder="0" vertical="bottom"/>
    </xf>
    <xf borderId="7" fillId="8" fontId="22" numFmtId="0" xfId="0" applyAlignment="1" applyBorder="1" applyFill="1" applyFont="1">
      <alignment readingOrder="0" vertical="bottom"/>
    </xf>
    <xf borderId="8" fillId="8" fontId="22" numFmtId="0" xfId="0" applyAlignment="1" applyBorder="1" applyFill="1" applyFont="1">
      <alignment readingOrder="0" vertical="bottom"/>
    </xf>
    <xf borderId="8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7" fillId="6" fontId="15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readingOrder="0" shrinkToFit="0" vertical="center" wrapText="1"/>
    </xf>
    <xf borderId="8" fillId="6" fontId="22" numFmtId="0" xfId="0" applyAlignment="1" applyBorder="1" applyFill="1" applyFont="1">
      <alignment horizontal="center" readingOrder="0" vertical="bottom"/>
    </xf>
    <xf borderId="6" fillId="6" fontId="12" numFmtId="0" xfId="0" applyAlignment="1" applyBorder="1" applyFill="1" applyFont="1">
      <alignment horizontal="center" textRotation="90"/>
    </xf>
    <xf borderId="6" fillId="6" fontId="12" numFmtId="1" xfId="0" applyAlignment="1" applyBorder="1" applyFill="1" applyFont="1" applyNumberFormat="1">
      <alignment horizontal="center" textRotation="90"/>
    </xf>
    <xf borderId="6" fillId="6" fontId="18" numFmtId="0" xfId="0" applyAlignment="1" applyBorder="1" applyFill="1" applyFont="1">
      <alignment horizontal="center" readingOrder="0"/>
    </xf>
    <xf borderId="8" fillId="6" fontId="18" numFmtId="0" xfId="0" applyAlignment="1" applyBorder="1" applyFill="1" applyFont="1">
      <alignment readingOrder="0" vertical="bottom"/>
    </xf>
    <xf borderId="7" fillId="7" fontId="22" numFmtId="0" xfId="0" applyAlignment="1" applyBorder="1" applyFill="1" applyFont="1">
      <alignment horizontal="center" readingOrder="0" vertical="bottom"/>
    </xf>
    <xf borderId="7" fillId="8" fontId="22" numFmtId="0" xfId="0" applyAlignment="1" applyBorder="1" applyFill="1" applyFont="1">
      <alignment horizontal="center" readingOrder="0" vertical="bottom"/>
    </xf>
    <xf borderId="0" fillId="0" fontId="2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nicomtic2026" id="{1a6dc964-f1ce-48c6-9769-fa5b15535af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68" dT="2026-04-17T04:26:52.00" personId="{1a6dc964-f1ce-48c6-9769-fa5b15535af6}" id="{18116550-e5e8-4067-a36a-55b5828128a2}" done="0">
    <x18tc:text xml:space="preserve">3 days fever</x18tc:text>
  </x18tc:threadedComment>
  <x18tc:threadedComment ref="H18" dT="2026-04-17T04:23:51.00" personId="{1a6dc964-f1ce-48c6-9769-fa5b15535af6}" id="{9888b0ba-7ee0-4eb3-9b5d-268609ab3013}" done="0">
    <x18tc:text xml:space="preserve">severe cough and fever</x18tc:text>
  </x18tc:threadedComment>
  <x18tc:threadedComment ref="I168" dT="2026-04-17T04:27:10.00" personId="{1a6dc964-f1ce-48c6-9769-fa5b15535af6}" id="{c8dbba7c-4c8a-44b3-8045-ef8391357b26}" done="0">
    <x18tc:text xml:space="preserve">3 days fever</x18tc:text>
  </x18tc:threadedComment>
  <x18tc:threadedComment ref="I18" dT="2026-04-17T04:27:39.00" personId="{1a6dc964-f1ce-48c6-9769-fa5b15535af6}" id="{d435044a-6396-4bc7-b579-0b0a5566423f}" done="0">
    <x18tc:text xml:space="preserve">My hand and leg were injured in an accident.</x18tc:text>
  </x18tc:threadedComment>
  <x18tc:threadedComment ref="K71" dT="2026-04-21T06:36:35.00" personId="{1a6dc964-f1ce-48c6-9769-fa5b15535af6}" id="{d1913939-e70f-47ca-8028-28c8ae3fdfef}" done="0">
    <x18tc:text xml:space="preserve">Wheezing</x18tc:text>
  </x18tc:threadedComment>
  <x18tc:threadedComment ref="A1" dT="2026-05-21T07:56:17.00" personId="{1a6dc964-f1ce-48c6-9769-fa5b15535af6}" id="{96306fd3-a8ec-4ea1-8525-0829bdeedd0b}" done="0">
    <x18tc:text xml:space="preserve">Sick</x18tc:text>
  </x18tc:threadedComment>
  <x18tc:threadedComment ref="A1" dT="2026-05-12T04:31:11.00" personId="{1a6dc964-f1ce-48c6-9769-fa5b15535af6}" id="{cbb7a593-88a9-4c5e-af74-b456f596f357}" done="0">
    <x18tc:text xml:space="preserve">Health issue</x18tc:text>
  </x18tc:threadedComment>
  <x18tc:threadedComment ref="A1" dT="2026-05-18T05:02:50.00" personId="{1a6dc964-f1ce-48c6-9769-fa5b15535af6}" id="{b21c6fe7-b355-44d6-af6c-db1289e859fb}" done="0">
    <x18tc:text xml:space="preserve">1st form application</x18tc:text>
  </x18tc:threadedComment>
  <x18tc:threadedComment ref="A1" dT="2026-05-18T05:03:06.00" personId="{1a6dc964-f1ce-48c6-9769-fa5b15535af6}" id="{a84347b2-819d-47cb-94b1-63f9e3620183}" done="0">
    <x18tc:text xml:space="preserve">Fever</x18tc:text>
  </x18tc:threadedComment>
  <x18tc:threadedComment ref="A1" dT="2026-05-18T05:10:33.00" personId="{1a6dc964-f1ce-48c6-9769-fa5b15535af6}" id="{d494a5c2-6f35-4ae2-ab91-b6846ef0c2a7}" done="0">
    <x18tc:text xml:space="preserve">I want to participate an event and I will attend the class on tuesday</x18tc:text>
  </x18tc:threadedComment>
  <x18tc:threadedComment ref="A1" dT="2026-05-20T03:29:38.00" personId="{1a6dc964-f1ce-48c6-9769-fa5b15535af6}" id="{18169459-c75b-4c95-b478-691727953430}" done="0">
    <x18tc:text xml:space="preserve">Mullivaikkal ninaivu nal</x18tc:text>
  </x18tc:threadedComment>
  <x18tc:threadedComment ref="A1" dT="2026-05-20T03:30:50.00" personId="{1a6dc964-f1ce-48c6-9769-fa5b15535af6}" id="{56854dcc-71d1-4168-a79e-e5b41cd2f482}" done="0">
    <x18tc:text xml:space="preserve">Fever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6" dT="2026-05-03T04:06:22.00" personId="{1a6dc964-f1ce-48c6-9769-fa5b15535af6}" id="{76ee0fb3-16cc-437d-ad81-54bbb6438920}" done="0">
    <x18tc:text xml:space="preserve">Brother's wedding</x18tc:text>
  </x18tc:threadedComment>
  <x18tc:threadedComment ref="D10" dT="2026-05-03T04:06:54.00" personId="{1a6dc964-f1ce-48c6-9769-fa5b15535af6}" id="{c76f3115-af2e-4fdd-8b98-2f0cb9c51a90}" done="0">
    <x18tc:text xml:space="preserve">Basketball tournament</x18tc:text>
  </x18tc:threadedComment>
  <x18tc:threadedComment ref="D73" dT="2026-05-03T04:07:17.00" personId="{1a6dc964-f1ce-48c6-9769-fa5b15535af6}" id="{87b7c1fa-8b4d-4055-b2cb-2dc359219a4c}" done="0">
    <x18tc:text xml:space="preserve">Fever</x18tc:text>
  </x18tc:threadedComment>
  <x18tc:threadedComment ref="D60" dT="2026-05-03T04:07:28.00" personId="{1a6dc964-f1ce-48c6-9769-fa5b15535af6}" id="{dcd96aa6-f31b-4870-b80b-61197a61e375}" done="0">
    <x18tc:text xml:space="preserve">Illness</x18tc:text>
  </x18tc:threadedComment>
  <x18tc:threadedComment ref="D100" dT="2026-05-03T04:07:47.00" personId="{1a6dc964-f1ce-48c6-9769-fa5b15535af6}" id="{71930a81-3b61-4033-9ee4-c4c2faa34551}" done="0">
    <x18tc:text xml:space="preserve">NVQ level examination</x18tc:text>
  </x18tc:threadedComment>
  <x18tc:threadedComment ref="D24" dT="2026-05-03T04:09:20.00" personId="{1a6dc964-f1ce-48c6-9769-fa5b15535af6}" id="{7d16e208-25bf-4abc-8ac7-ca076b45247c}" done="0">
    <x18tc:text xml:space="preserve">Sports tournament</x18tc:text>
  </x18tc:threadedComment>
  <x18tc:threadedComment ref="D22" dT="2026-05-03T04:10:12.00" personId="{1a6dc964-f1ce-48c6-9769-fa5b15535af6}" id="{29fea92f-2443-45b2-8ee4-57a052b2f703}" done="0">
    <x18tc:text xml:space="preserve">tournament</x18tc:text>
  </x18tc:threadedComment>
  <x18tc:threadedComment ref="M47" dT="2026-05-21T07:56:50.00" personId="{1a6dc964-f1ce-48c6-9769-fa5b15535af6}" id="{df4046fb-9520-4642-91cb-4c03db5fec73}" done="0">
    <x18tc:text xml:space="preserve">I am going to Sabaragamuwa University for the aptitude exam.</x18tc:text>
  </x18tc:threadedComment>
  <x18tc:threadedComment ref="K140" dT="2026-05-21T07:57:42.00" personId="{1a6dc964-f1ce-48c6-9769-fa5b15535af6}" id="{df15dc45-4a4a-4c5c-9b40-1c70f5cb5d7e}" done="0">
    <x18tc:text xml:space="preserve">Attending temple to perform nerthikkadan</x18tc:text>
  </x18tc:threadedComment>
  <x18tc:threadedComment ref="E7" dT="2026-05-12T04:22:48.00" personId="{1a6dc964-f1ce-48c6-9769-fa5b15535af6}" id="{e6c64e17-1733-420b-9ce0-b42bc8654ec7}" done="0">
    <x18tc:text xml:space="preserve">Doing project from home</x18tc:text>
  </x18tc:threadedComment>
  <x18tc:threadedComment ref="H136" dT="2026-05-12T04:27:58.00" personId="{1a6dc964-f1ce-48c6-9769-fa5b15535af6}" id="{ffdc43e6-7c09-407c-82c0-3a5b35753150}" done="0">
    <x18tc:text xml:space="preserve">Sick</x18tc:text>
  </x18tc:threadedComment>
  <x18tc:threadedComment ref="H107" dT="2026-05-12T04:28:15.00" personId="{1a6dc964-f1ce-48c6-9769-fa5b15535af6}" id="{54fc01cf-f2e5-4076-bd6e-395692ed1021}" done="0">
    <x18tc:text xml:space="preserve">Health issue</x18tc:text>
  </x18tc:threadedComment>
  <x18tc:threadedComment ref="H125" dT="2026-05-12T04:28:30.00" personId="{1a6dc964-f1ce-48c6-9769-fa5b15535af6}" id="{a62ace88-9f4a-4765-a4d2-d2fd22c91973}" done="0">
    <x18tc:text xml:space="preserve">Headache</x18tc:text>
  </x18tc:threadedComment>
  <x18tc:threadedComment ref="E33" dT="2026-05-12T04:23:06.00" personId="{1a6dc964-f1ce-48c6-9769-fa5b15535af6}" id="{c758ea35-19c6-4103-ab2d-c6a971a9e965}" done="0">
    <x18tc:text xml:space="preserve">Doing project form home</x18tc:text>
  </x18tc:threadedComment>
  <x18tc:threadedComment ref="E34" dT="2026-05-12T04:23:32.00" personId="{1a6dc964-f1ce-48c6-9769-fa5b15535af6}" id="{5de0f026-f0bf-4d33-b0c2-8266fda2e7f0}" done="0">
    <x18tc:text xml:space="preserve">Doing project form home</x18tc:text>
  </x18tc:threadedComment>
  <x18tc:threadedComment ref="E69" dT="2026-05-12T04:23:49.00" personId="{1a6dc964-f1ce-48c6-9769-fa5b15535af6}" id="{3bd0fd03-484d-4212-9b6d-cbda488bf01b}" done="0">
    <x18tc:text xml:space="preserve">Fever and headache</x18tc:text>
  </x18tc:threadedComment>
  <x18tc:threadedComment ref="G104" dT="2026-05-12T04:24:46.00" personId="{1a6dc964-f1ce-48c6-9769-fa5b15535af6}" id="{68a5d11d-d4a6-4c59-8dc1-bc6cda675286}" done="0">
    <x18tc:text xml:space="preserve">health issue</x18tc:text>
  </x18tc:threadedComment>
  <x18tc:threadedComment ref="E16" dT="2026-05-12T04:25:03.00" personId="{1a6dc964-f1ce-48c6-9769-fa5b15535af6}" id="{b1fcb8eb-4874-4941-bb98-5a9c596c4d43}" done="0">
    <x18tc:text xml:space="preserve">Fever</x18tc:text>
  </x18tc:threadedComment>
  <x18tc:threadedComment ref="G108" dT="2026-05-12T04:25:49.00" personId="{1a6dc964-f1ce-48c6-9769-fa5b15535af6}" id="{ef28341f-361d-4a43-8ac4-27f7a4d80c0c}" done="0">
    <x18tc:text xml:space="preserve">I was absent due to the demise of my grandmother.</x18tc:text>
  </x18tc:threadedComment>
  <x18tc:threadedComment ref="G120" dT="2026-05-12T04:26:06.00" personId="{1a6dc964-f1ce-48c6-9769-fa5b15535af6}" id="{d3c3ee09-9f10-4c0e-b2fb-2406c40781cd}" done="0">
    <x18tc:text xml:space="preserve">Hard Fever and sick</x18tc:text>
  </x18tc:threadedComment>
  <x18tc:threadedComment ref="H53" dT="2026-05-12T04:26:23.00" personId="{1a6dc964-f1ce-48c6-9769-fa5b15535af6}" id="{6f41c185-ac38-41d0-9cb2-019cfcb81775}" done="0">
    <x18tc:text xml:space="preserve">Fever</x18tc:text>
  </x18tc:threadedComment>
  <x18tc:threadedComment ref="H11" dT="2026-05-12T04:26:53.00" personId="{1a6dc964-f1ce-48c6-9769-fa5b15535af6}" id="{13ca3b28-1806-42ab-89df-7b3d9cce6095}" done="0">
    <x18tc:text xml:space="preserve">I am going to hospital</x18tc:text>
  </x18tc:threadedComment>
  <x18tc:threadedComment ref="H18" dT="2026-05-12T04:27:04.00" personId="{1a6dc964-f1ce-48c6-9769-fa5b15535af6}" id="{52ef95a3-754a-45c3-a6b0-1ccbb07c157d}" done="0">
    <x18tc:text xml:space="preserve">Sick</x18tc:text>
  </x18tc:threadedComment>
  <x18tc:threadedComment ref="H129" dT="2026-05-12T04:27:42.00" personId="{1a6dc964-f1ce-48c6-9769-fa5b15535af6}" id="{5245954c-96c5-4afe-9736-e6e1ea5f87ef}" done="0">
    <x18tc:text xml:space="preserve">I go to my school and apply university first form</x18tc:text>
  </x18tc:threadedComment>
  <x18tc:threadedComment ref="H106" dT="2026-05-12T04:29:05.00" personId="{1a6dc964-f1ce-48c6-9769-fa5b15535af6}" id="{a378c25e-2d50-4d38-a1a6-048e8399e9e3}" done="0">
    <x18tc:text xml:space="preserve">SICK</x18tc:text>
  </x18tc:threadedComment>
  <x18tc:threadedComment ref="H104" dT="2026-05-12T04:29:19.00" personId="{1a6dc964-f1ce-48c6-9769-fa5b15535af6}" id="{81bf46b3-251e-4990-bfbf-2e858d61ef4a}" done="0">
    <x18tc:text xml:space="preserve">Health issues</x18tc:text>
  </x18tc:threadedComment>
  <x18tc:threadedComment ref="H122" dT="2026-05-12T04:29:29.00" personId="{1a6dc964-f1ce-48c6-9769-fa5b15535af6}" id="{0f423c35-3c2f-4a55-96a7-b971a49e34a1}" done="0">
    <x18tc:text xml:space="preserve">Viral fever</x18tc:text>
  </x18tc:threadedComment>
  <x18tc:threadedComment ref="H113" dT="2026-05-12T04:29:48.00" personId="{1a6dc964-f1ce-48c6-9769-fa5b15535af6}" id="{43831b7d-8582-4385-9cd1-1f8c59c7e2ae}" done="0">
    <x18tc:text xml:space="preserve">I am in Batticaloa due to a personal reason</x18tc:text>
  </x18tc:threadedComment>
  <x18tc:threadedComment ref="I26" dT="2026-05-12T04:30:06.00" personId="{1a6dc964-f1ce-48c6-9769-fa5b15535af6}" id="{284a8076-86cc-45e2-a84e-f17ed7e789b0}" done="0">
    <x18tc:text xml:space="preserve">Funeral</x18tc:text>
  </x18tc:threadedComment>
  <x18tc:threadedComment ref="I66" dT="2026-05-12T04:30:21.00" personId="{1a6dc964-f1ce-48c6-9769-fa5b15535af6}" id="{cd0a705c-a76b-42ed-a86c-f32bdb755687}" done="0">
    <x18tc:text xml:space="preserve">I have final examination for my Top-Up Degree.The exam is scheduled from 9:30 am to 11:30 am.</x18tc:text>
  </x18tc:threadedComment>
  <x18tc:threadedComment ref="I7" dT="2026-05-12T04:30:35.00" personId="{1a6dc964-f1ce-48c6-9769-fa5b15535af6}" id="{c51cbd0a-b5f3-479b-a76f-9ec06aa8914b}" done="0">
    <x18tc:text xml:space="preserve">Clinic</x18tc:text>
  </x18tc:threadedComment>
  <x18tc:threadedComment ref="I30" dT="2026-05-12T04:30:46.00" personId="{1a6dc964-f1ce-48c6-9769-fa5b15535af6}" id="{37f9f0ec-d868-40c3-ac18-614bde279f90}" done="0">
    <x18tc:text xml:space="preserve">Food poison</x18tc:text>
  </x18tc:threadedComment>
  <x18tc:threadedComment ref="I28" dT="2026-05-12T04:30:56.00" personId="{1a6dc964-f1ce-48c6-9769-fa5b15535af6}" id="{179e2027-c8ae-4b12-a21f-f6d3ec58ae4a}" done="0">
    <x18tc:text xml:space="preserve">Fever</x18tc:text>
  </x18tc:threadedComment>
  <x18tc:threadedComment ref="I116" dT="2026-05-12T04:31:43.00" personId="{1a6dc964-f1ce-48c6-9769-fa5b15535af6}" id="{6caaa140-9a1f-4d7e-a9e3-2afc3498abc5}" done="0">
    <x18tc:text xml:space="preserve">"I came to Nuwara Eliya to collect the school leaving certificate for university first form application, but it's getting delayed. Kindly grant me leave for today.</x18tc:text>
  </x18tc:threadedComment>
  <x18tc:threadedComment ref="O50" dT="2026-05-26T04:47:27.00" personId="{1a6dc964-f1ce-48c6-9769-fa5b15535af6}" id="{f9b175e9-a6ce-48f2-bc4c-52b5f3995120}" done="0">
    <x18tc:text xml:space="preserve">Sir, I have a fever, so I couldn’t come to class today. Sorry for the inconvenience.</x18tc:text>
  </x18tc:threadedComment>
  <x18tc:threadedComment ref="N28" dT="2026-05-26T04:47:43.00" personId="{1a6dc964-f1ce-48c6-9769-fa5b15535af6}" id="{50c1b58b-500a-4dd4-9071-a89f481516f3}" done="0">
    <x18tc:text xml:space="preserve">Fever</x18tc:text>
  </x18tc:threadedComment>
  <x18tc:threadedComment ref="O51" dT="2026-05-26T04:48:18.00" personId="{1a6dc964-f1ce-48c6-9769-fa5b15535af6}" id="{8186b1ca-182a-4f95-b28e-ebb13ab04d0d}" done="0">
    <x18tc:text xml:space="preserve">My Web Development course concludes today, and we will be receiving our final project there, so I need to attend today.</x18tc:text>
  </x18tc:threadedComment>
  <x18tc:threadedComment ref="N13" dT="2026-05-26T04:46:04.00" personId="{1a6dc964-f1ce-48c6-9769-fa5b15535af6}" id="{d1e0a65c-56da-4afb-a0a9-6eeff6153ed8}" done="0">
    <x18tc:text xml:space="preserve">Sick</x18tc:text>
  </x18tc:threadedComment>
  <x18tc:threadedComment ref="N96" dT="2026-05-26T04:46:22.00" personId="{1a6dc964-f1ce-48c6-9769-fa5b15535af6}" id="{da263d05-1fc9-4295-a029-ba68f3abccf0}" done="0">
    <x18tc:text xml:space="preserve">Medical issue ( Lump Clinic )</x18tc:text>
  </x18tc:threadedComment>
  <x18tc:threadedComment ref="O96" dT="2026-05-26T04:46:26.00" personId="{1a6dc964-f1ce-48c6-9769-fa5b15535af6}" id="{a78bd4e9-aa6b-446f-88e3-bca92c0b436a}" done="0">
    <x18tc:text xml:space="preserve">Medical issue ( Lump Clinic )</x18tc:text>
  </x18tc:threadedComment>
  <x18tc:threadedComment ref="N147" dT="2026-05-26T04:46:47.00" personId="{1a6dc964-f1ce-48c6-9769-fa5b15535af6}" id="{d90932ca-c914-4005-a828-79760331931a}" done="0">
    <x18tc:text xml:space="preserve">Sick</x18tc:text>
  </x18tc:threadedComment>
  <x18tc:threadedComment ref="N107" dT="2026-05-26T04:47:03.00" personId="{1a6dc964-f1ce-48c6-9769-fa5b15535af6}" id="{b7bd4117-28e1-48fe-b63e-a5551f55ec6b}" done="0">
    <x18tc:text xml:space="preserve">Exam</x18tc:text>
  </x18tc:threadedComment>
  <x18tc:threadedComment ref="O107" dT="2026-05-26T04:47:07.00" personId="{1a6dc964-f1ce-48c6-9769-fa5b15535af6}" id="{d45a61c3-41db-46ec-b656-f19737319a63}" done="0">
    <x18tc:text xml:space="preserve">Exam</x18tc:text>
  </x18tc:threadedComment>
  <x18tc:threadedComment ref="M98" dT="2026-05-26T04:57:58.00" personId="{1a6dc964-f1ce-48c6-9769-fa5b15535af6}" id="{db677293-f579-4e37-b909-f73b4c62804b}" done="0">
    <x18tc:text xml:space="preserve">Funneral</x18tc:text>
  </x18tc:threadedComment>
  <x18tc:threadedComment ref="O52" dT="2026-05-26T04:48:30.00" personId="{1a6dc964-f1ce-48c6-9769-fa5b15535af6}" id="{e324b3d3-06a7-4e72-be16-c20bc32b1bb7}" done="0">
    <x18tc:text xml:space="preserve">My Web Development course concludes today, and we will be receiving our final project there, so I need to attend today.</x18tc:text>
  </x18tc:threadedComment>
  <x18tc:threadedComment ref="O30" dT="2026-05-26T04:48:45.00" personId="{1a6dc964-f1ce-48c6-9769-fa5b15535af6}" id="{29f2f948-f605-48e5-92eb-8774af102f62}" done="0">
    <x18tc:text xml:space="preserve">Cold with Fever</x18tc:text>
  </x18tc:threadedComment>
  <x18tc:threadedComment ref="O16" dT="2026-05-26T04:49:01.00" personId="{1a6dc964-f1ce-48c6-9769-fa5b15535af6}" id="{c1fcf880-464f-49c0-82d0-2bf9978b46d9}" done="0">
    <x18tc:text xml:space="preserve">Funeral</x18tc:text>
  </x18tc:threadedComment>
  <x18tc:threadedComment ref="O115" dT="2026-05-26T04:49:36.00" personId="{1a6dc964-f1ce-48c6-9769-fa5b15535af6}" id="{d0d7da67-c0ae-4157-8513-67f8d5ac6118}" done="0">
    <x18tc:text xml:space="preserve">University- Batch Photoshoot</x18tc:text>
  </x18tc:threadedComment>
  <x18tc:threadedComment ref="O108" dT="2026-05-26T04:50:00.00" personId="{1a6dc964-f1ce-48c6-9769-fa5b15535af6}" id="{f2169eb5-2050-476f-b016-076460419a8e}" done="0">
    <x18tc:text xml:space="preserve">fever</x18tc:text>
  </x18tc:threadedComment>
  <x18tc:threadedComment ref="O102" dT="2026-05-26T04:50:58.00" personId="{1a6dc964-f1ce-48c6-9769-fa5b15535af6}" id="{64083d7c-fbc4-40e2-bf74-6d86a4822733}" done="0">
    <x18tc:text xml:space="preserve">Cold and fever</x18tc:text>
  </x18tc:threadedComment>
  <x18tc:threadedComment ref="J16" dT="2026-05-14T04:19:25.00" personId="{1a6dc964-f1ce-48c6-9769-fa5b15535af6}" id="{14e38c3d-1e62-4d48-890d-47b3b55edde4}" done="0">
    <x18tc:text xml:space="preserve">Go to hospital</x18tc:text>
  </x18tc:threadedComment>
  <x18tc:threadedComment ref="I102" dT="2026-05-14T04:17:58.00" personId="{1a6dc964-f1ce-48c6-9769-fa5b15535af6}" id="{90b83001-d772-4fd0-b743-08ede303099b}" done="0">
    <x18tc:text xml:space="preserve">Sick</x18tc:text>
  </x18tc:threadedComment>
  <x18tc:threadedComment ref="J59" dT="2026-05-14T04:18:20.00" personId="{1a6dc964-f1ce-48c6-9769-fa5b15535af6}" id="{d8232edd-59bb-4f41-9adc-a5f52a02c078}" done="0">
    <x18tc:text xml:space="preserve">I have lab test at open university jaffna. So I will come the day after tomorrow with group B</x18tc:text>
  </x18tc:threadedComment>
  <x18tc:threadedComment ref="J6" dT="2026-05-14T04:18:41.00" personId="{1a6dc964-f1ce-48c6-9769-fa5b15535af6}" id="{bcb61a49-161c-4522-8937-efed87845333}" done="0">
    <x18tc:text xml:space="preserve">Relative's Wedding</x18tc:text>
  </x18tc:threadedComment>
  <x18tc:threadedComment ref="J69" dT="2026-05-14T04:18:51.00" personId="{1a6dc964-f1ce-48c6-9769-fa5b15535af6}" id="{3f270f30-951a-440f-ae1c-888907c7187e}" done="0">
    <x18tc:text xml:space="preserve">Health issues</x18tc:text>
  </x18tc:threadedComment>
  <x18tc:threadedComment ref="K61" dT="2026-05-18T04:57:49.00" personId="{1a6dc964-f1ce-48c6-9769-fa5b15535af6}" id="{ddd171e9-e200-4038-be19-73e9bacc2a0d}" done="0">
    <x18tc:text xml:space="preserve">Fevar</x18tc:text>
  </x18tc:threadedComment>
  <x18tc:threadedComment ref="K57" dT="2026-05-18T04:58:04.00" personId="{1a6dc964-f1ce-48c6-9769-fa5b15535af6}" id="{de3fa876-ed4a-4767-a0ca-c3c2354b0dd3}" done="0">
    <x18tc:text xml:space="preserve">Fevar</x18tc:text>
  </x18tc:threadedComment>
  <x18tc:threadedComment ref="K66" dT="2026-05-18T05:00:45.00" personId="{1a6dc964-f1ce-48c6-9769-fa5b15535af6}" id="{04e71d86-27b8-4dd4-869f-f20a3483559b}" done="0">
    <x18tc:text xml:space="preserve">degree final exam</x18tc:text>
  </x18tc:threadedComment>
  <x18tc:threadedComment ref="J149" dT="2026-05-18T04:56:03.00" personId="{1a6dc964-f1ce-48c6-9769-fa5b15535af6}" id="{bcd9cb37-31cc-4834-83dd-2132068631fa}" done="0">
    <x18tc:text xml:space="preserve">Severe leg pain</x18tc:text>
  </x18tc:threadedComment>
  <x18tc:threadedComment ref="K145" dT="2026-05-18T04:56:28.00" personId="{1a6dc964-f1ce-48c6-9769-fa5b15535af6}" id="{be7deb51-51ad-458f-93ae-e40e71693c04}" done="0">
    <x18tc:text xml:space="preserve">go to the temple</x18tc:text>
  </x18tc:threadedComment>
  <x18tc:threadedComment ref="K47" dT="2026-05-18T04:56:49.00" personId="{1a6dc964-f1ce-48c6-9769-fa5b15535af6}" id="{27b093bb-fdd6-4bed-a97d-9721d453ab41}" done="0">
    <x18tc:text xml:space="preserve">I am going to the hospital for a physical examination as part of my aptitude test.</x18tc:text>
  </x18tc:threadedComment>
  <x18tc:threadedComment ref="K10" dT="2026-05-18T05:01:12.00" personId="{1a6dc964-f1ce-48c6-9769-fa5b15535af6}" id="{9de210f3-da13-40bf-a11c-7efb235d6ba4}" done="0">
    <x18tc:text xml:space="preserve">Visiting Colombo</x18tc:text>
  </x18tc:threadedComment>
  <x18tc:threadedComment ref="K65" dT="2026-05-18T05:02:27.00" personId="{1a6dc964-f1ce-48c6-9769-fa5b15535af6}" id="{df45927c-4628-4bde-b58f-957a60635ad6}" done="0">
    <x18tc:text xml:space="preserve">Health issue</x18tc:text>
  </x18tc:threadedComment>
  <x18tc:threadedComment ref="K101" dT="2026-05-18T05:06:57.00" personId="{1a6dc964-f1ce-48c6-9769-fa5b15535af6}" id="{a54ef4da-b6b1-4197-afa2-d2ad2946dbbb}" done="0">
    <x18tc:text xml:space="preserve">Sick leave</x18tc:text>
  </x18tc:threadedComment>
  <x18tc:threadedComment ref="K156" dT="2026-05-18T05:07:56.00" personId="{1a6dc964-f1ce-48c6-9769-fa5b15535af6}" id="{99f8d3ba-cde7-4c1a-9a85-7f6d4d4b3050}" done="0">
    <x18tc:text xml:space="preserve">Fever</x18tc:text>
  </x18tc:threadedComment>
  <x18tc:threadedComment ref="K154" dT="2026-05-18T05:08:10.00" personId="{1a6dc964-f1ce-48c6-9769-fa5b15535af6}" id="{06e344ce-c723-4f46-ab5a-0cf544120c4a}" done="0">
    <x18tc:text xml:space="preserve">Due to going Hospital with mother</x18tc:text>
  </x18tc:threadedComment>
  <x18tc:threadedComment ref="L7" dT="2026-05-20T03:29:49.00" personId="{1a6dc964-f1ce-48c6-9769-fa5b15535af6}" id="{6df9d8da-6936-4351-a526-a8d14871b090}" done="0">
    <x18tc:text xml:space="preserve">First form application submission</x18tc:text>
  </x18tc:threadedComment>
  <x18tc:threadedComment ref="L44" dT="2026-05-20T03:30:02.00" personId="{1a6dc964-f1ce-48c6-9769-fa5b15535af6}" id="{9ff1dafb-e520-4543-a778-1ffd72cb4e07}" done="0">
    <x18tc:text xml:space="preserve">Fever</x18tc:text>
  </x18tc:threadedComment>
  <x18tc:threadedComment ref="L110" dT="2026-05-20T03:30:28.00" personId="{1a6dc964-f1ce-48c6-9769-fa5b15535af6}" id="{4154d274-1b4e-4f22-9847-133c48214060}" done="0">
    <x18tc:text xml:space="preserve">I kindly request leave as my friend has passed away, and I need to go home.</x18tc:text>
  </x18tc:threadedComment>
  <x18tc:threadedComment ref="L64" dT="2026-05-20T03:28:57.00" personId="{1a6dc964-f1ce-48c6-9769-fa5b15535af6}" id="{0209e4e0-5e4e-4dd1-bedf-57c3523e8a70}" done="0">
    <x18tc:text xml:space="preserve">Because of some personal reasons</x18tc:text>
  </x18tc:threadedComment>
  <x18tc:threadedComment ref="L102" dT="2026-05-20T03:31:17.00" personId="{1a6dc964-f1ce-48c6-9769-fa5b15535af6}" id="{a9330510-a5fe-4988-a889-a22a551c5530}" done="0">
    <x18tc:text xml:space="preserve">Sick</x18tc:text>
  </x18tc:threadedComment>
  <x18tc:threadedComment ref="M12" dT="2026-05-20T03:31:32.00" personId="{1a6dc964-f1ce-48c6-9769-fa5b15535af6}" id="{68e75039-c19c-4849-855e-075cb5096b14}" done="0">
    <x18tc:text xml:space="preserve">I have exam</x18tc:text>
  </x18tc:threadedComment>
  <x18tc:threadedComment ref="L109" dT="2026-05-20T03:31:54.00" personId="{1a6dc964-f1ce-48c6-9769-fa5b15535af6}" id="{e84e3e15-9feb-4518-9ec8-784af5e89636}" done="0">
    <x18tc:text xml:space="preserve">I went to the hospital to get medicine for fewer.</x18tc:text>
  </x18tc:threadedComment>
  <x18tc:threadedComment ref="P141" dT="2026-06-02T07:51:24.00" personId="{1a6dc964-f1ce-48c6-9769-fa5b15535af6}" id="{066f8520-0cee-44d2-a06c-cf4b5a7c8930}" done="0">
    <x18tc:text xml:space="preserve">sick</x18tc:text>
  </x18tc:threadedComment>
  <x18tc:threadedComment ref="Q141" dT="2026-06-02T07:51:30.00" personId="{1a6dc964-f1ce-48c6-9769-fa5b15535af6}" id="{59b93812-7889-406c-b42f-8a0208cc2bbc}" done="0">
    <x18tc:text xml:space="preserve">sick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66" dT="2026-06-23T03:04:57.00" personId="{1a6dc964-f1ce-48c6-9769-fa5b15535af6}" id="{f8013376-60e5-4589-b897-288517ba8236}" done="0">
    <x18tc:text xml:space="preserve">Medical issues</x18tc:text>
  </x18tc:threadedComment>
  <x18tc:threadedComment ref="J143" dT="2026-06-23T03:06:33.00" personId="{1a6dc964-f1ce-48c6-9769-fa5b15535af6}" id="{7cfc46d1-202a-457b-a3a0-3367c5a38a88}" done="0">
    <x18tc:text xml:space="preserve">due to a high fever and allergy</x18tc:text>
  </x18tc:threadedComment>
  <x18tc:threadedComment ref="L143" dT="2026-06-23T03:06:36.00" personId="{1a6dc964-f1ce-48c6-9769-fa5b15535af6}" id="{ba4ff985-f7b1-46b2-8718-26949dd42532}" done="0">
    <x18tc:text xml:space="preserve">due to a high fever and allergy</x18tc:text>
  </x18tc:threadedComment>
  <x18tc:threadedComment ref="M83" dT="2026-06-23T03:07:31.00" personId="{1a6dc964-f1ce-48c6-9769-fa5b15535af6}" id="{1d07b009-4362-429f-bae0-dae2ec3bdaa4}" done="0">
    <x18tc:text xml:space="preserve">Some health issues iam going to hospital</x18tc:text>
  </x18tc:threadedComment>
  <x18tc:threadedComment ref="L66" dT="2026-06-23T03:05:01.00" personId="{1a6dc964-f1ce-48c6-9769-fa5b15535af6}" id="{76d3dc04-b050-448d-bc78-7c506f64b4b6}" done="0">
    <x18tc:text xml:space="preserve">Medical issues</x18tc:text>
  </x18tc:threadedComment>
  <x18tc:threadedComment ref="K140" dT="2026-06-23T03:05:20.00" personId="{1a6dc964-f1ce-48c6-9769-fa5b15535af6}" id="{8f754c89-9a94-4397-8def-224f0d36488a}" done="0">
    <x18tc:text xml:space="preserve">Funeral</x18tc:text>
  </x18tc:threadedComment>
  <x18tc:threadedComment ref="H135" dT="2026-06-23T03:05:40.00" personId="{1a6dc964-f1ce-48c6-9769-fa5b15535af6}" id="{f4a3fde9-4a70-424f-88cc-c3fb3d497189}" done="0">
    <x18tc:text xml:space="preserve">Continued Sick</x18tc:text>
  </x18tc:threadedComment>
  <x18tc:threadedComment ref="M135" dT="2026-06-23T03:05:46.00" personId="{1a6dc964-f1ce-48c6-9769-fa5b15535af6}" id="{c88150b5-71a3-491c-ad64-c23c339e2c4d}" done="0">
    <x18tc:text xml:space="preserve">Continued Sick</x18tc:text>
  </x18tc:threadedComment>
  <x18tc:threadedComment ref="K135" dT="2026-06-23T03:05:50.00" personId="{1a6dc964-f1ce-48c6-9769-fa5b15535af6}" id="{2feedac4-5c6b-4f9f-969f-eb87b6b9e3a0}" done="0">
    <x18tc:text xml:space="preserve">Continued Sick</x18tc:text>
  </x18tc:threadedComment>
  <x18tc:threadedComment ref="M146" dT="2026-06-23T03:06:24.00" personId="{1a6dc964-f1ce-48c6-9769-fa5b15535af6}" id="{74a78ce4-0ea5-4613-a369-eb202ff34a1b}" done="0">
    <x18tc:text xml:space="preserve">Cold and fever</x18tc:text>
  </x18tc:threadedComment>
  <x18tc:threadedComment ref="N32" dT="2026-06-23T03:08:27.00" personId="{1a6dc964-f1ce-48c6-9769-fa5b15535af6}" id="{2e0a9185-27bc-4b31-906a-c99c3d1aad43}" done="0">
    <x18tc:text xml:space="preserve">fever and fainted after becoming unwell.</x18tc:text>
  </x18tc:threadedComment>
  <x18tc:threadedComment ref="M109" dT="2026-06-23T03:08:42.00" personId="{1a6dc964-f1ce-48c6-9769-fa5b15535af6}" id="{edef95b7-cc0b-462e-b3a1-8a1c0483fca3}" done="0">
    <x18tc:text xml:space="preserve">Fever</x18tc:text>
  </x18tc:threadedComment>
  <x18tc:threadedComment ref="N64" dT="2026-06-23T03:09:46.00" personId="{1a6dc964-f1ce-48c6-9769-fa5b15535af6}" id="{15ade0a6-7637-46cc-b8d1-e098c92b126f}" done="0">
    <x18tc:text xml:space="preserve">FEVER</x18tc:text>
  </x18tc:threadedComment>
  <x18tc:threadedComment ref="M26" dT="2026-06-23T03:09:54.00" personId="{1a6dc964-f1ce-48c6-9769-fa5b15535af6}" id="{0d9b0514-6146-4a6a-983b-e8e4d3aed224}" done="0">
    <x18tc:text xml:space="preserve">FEVER</x18tc:text>
  </x18tc:threadedComment>
  <x18tc:threadedComment ref="M92" dT="2026-06-23T03:10:08.00" personId="{1a6dc964-f1ce-48c6-9769-fa5b15535af6}" id="{74bd0eef-1f32-440a-9fee-56c5ac7a424e}" done="0">
    <x18tc:text xml:space="preserve">Fever</x18tc:text>
  </x18tc:threadedComment>
  <x18tc:threadedComment ref="N92" dT="2026-06-23T03:10:12.00" personId="{1a6dc964-f1ce-48c6-9769-fa5b15535af6}" id="{3443d95b-6290-47fd-8291-2e05754eb751}" done="0">
    <x18tc:text xml:space="preserve">Fever</x18tc:text>
  </x18tc:threadedComment>
  <x18tc:threadedComment ref="D139" dT="2026-06-02T07:57:17.00" personId="{1a6dc964-f1ce-48c6-9769-fa5b15535af6}" id="{7ca44840-3da6-4b78-a6ca-e7354ca1d761}" done="0">
    <x18tc:text xml:space="preserve">Clinic</x18tc:text>
  </x18tc:threadedComment>
  <x18tc:threadedComment ref="D24" dT="2026-06-02T07:58:06.00" personId="{1a6dc964-f1ce-48c6-9769-fa5b15535af6}" id="{c3e5ffd9-0431-400c-b1d8-e172fdc5d21c}" done="0">
    <x18tc:text xml:space="preserve">Stomach pain</x18tc:text>
  </x18tc:threadedComment>
  <x18tc:threadedComment ref="D46" dT="2026-06-02T03:09:45.00" personId="{1a6dc964-f1ce-48c6-9769-fa5b15535af6}" id="{bd2826dc-5f4d-4112-b68f-6e1edde47b64}" done="0">
    <x18tc:text xml:space="preserve">I have a presentation in the web development course I'M attending tomorrow, so I will not be able to come to class tomorrow. Instead, I will attend with Group B on Tuesday.</x18tc:text>
  </x18tc:threadedComment>
  <x18tc:threadedComment ref="D47" dT="2026-06-02T03:09:51.00" personId="{1a6dc964-f1ce-48c6-9769-fa5b15535af6}" id="{013edc06-1f82-43a8-81df-5fbd4f00708e}" done="0">
    <x18tc:text xml:space="preserve">I have a presentation in the web development course I'M attending tomorrow, so I will not be able to come to class tomorrow. Instead, I will attend with Group B on Tuesday.</x18tc:text>
  </x18tc:threadedComment>
  <x18tc:threadedComment ref="D6" dT="2026-06-02T03:10:05.00" personId="{1a6dc964-f1ce-48c6-9769-fa5b15535af6}" id="{07c660de-418c-49ef-acbc-3b31fdaac418}" done="0">
    <x18tc:text xml:space="preserve">Relative's funeral</x18tc:text>
  </x18tc:threadedComment>
  <x18tc:threadedComment ref="D5" dT="2026-06-02T03:10:13.00" personId="{1a6dc964-f1ce-48c6-9769-fa5b15535af6}" id="{c0d367f0-58e5-414f-ac4c-c80cf8cbf055}" done="0">
    <x18tc:text xml:space="preserve">Going to other district</x18tc:text>
  </x18tc:threadedComment>
  <x18tc:threadedComment ref="D22" dT="2026-06-02T03:10:42.00" personId="{1a6dc964-f1ce-48c6-9769-fa5b15535af6}" id="{94366b45-29cb-401c-8f41-f1e609a553cc}" done="0">
    <x18tc:text xml:space="preserve">I am unable to attend class due to transportation issues.</x18tc:text>
  </x18tc:threadedComment>
  <x18tc:threadedComment ref="D90" dT="2026-06-02T03:11:57.00" personId="{1a6dc964-f1ce-48c6-9769-fa5b15535af6}" id="{d7367631-f964-4a56-b276-af94a8dbcd41}" done="0">
    <x18tc:text xml:space="preserve">Going to university to submit the research paper.</x18tc:text>
  </x18tc:threadedComment>
  <x18tc:threadedComment ref="D38" dT="2026-06-02T03:13:23.00" personId="{1a6dc964-f1ce-48c6-9769-fa5b15535af6}" id="{32e68d8d-466f-4ad8-a770-4fedb0f06d99}" done="0">
    <x18tc:text xml:space="preserve">Visit to Vatrapalai kovil</x18tc:text>
  </x18tc:threadedComment>
  <x18tc:threadedComment ref="D138" dT="2026-06-02T03:13:56.00" personId="{1a6dc964-f1ce-48c6-9769-fa5b15535af6}" id="{094a3042-799c-44db-8a0f-e9c3e1558f98}" done="0">
    <x18tc:text xml:space="preserve">Hospital</x18tc:text>
  </x18tc:threadedComment>
  <x18tc:threadedComment ref="E64" dT="2026-06-04T03:08:10.00" personId="{1a6dc964-f1ce-48c6-9769-fa5b15535af6}" id="{04fa74c9-da92-4b40-afca-aca41ec3606d}" done="0">
    <x18tc:text xml:space="preserve">My Grandma passed away. Today funeral.</x18tc:text>
  </x18tc:threadedComment>
  <x18tc:threadedComment ref="D119" dT="2026-06-04T03:10:10.00" personId="{1a6dc964-f1ce-48c6-9769-fa5b15535af6}" id="{a7733a77-10c9-48c6-b3cc-889261f1efb6}" done="0">
    <x18tc:text xml:space="preserve">Illness</x18tc:text>
  </x18tc:threadedComment>
  <x18tc:threadedComment ref="E119" dT="2026-06-04T03:10:17.00" personId="{1a6dc964-f1ce-48c6-9769-fa5b15535af6}" id="{93c770d8-bdb6-4201-82b7-617e006a6e00}" done="0">
    <x18tc:text xml:space="preserve">Illness</x18tc:text>
  </x18tc:threadedComment>
  <x18tc:threadedComment ref="E105" dT="2026-06-10T03:56:37.00" personId="{1a6dc964-f1ce-48c6-9769-fa5b15535af6}" id="{d1c7c3f7-d57f-4910-82bd-f5b9ea011e5e}" done="0">
    <x18tc:text xml:space="preserve">Brother's wedding</x18tc:text>
  </x18tc:threadedComment>
  <x18tc:threadedComment ref="F140" dT="2026-06-10T03:56:55.00" personId="{1a6dc964-f1ce-48c6-9769-fa5b15535af6}" id="{e99312a1-41ac-4656-85c2-46a56f172d1a}" done="0">
    <x18tc:text xml:space="preserve">Sudden hospital visit, need to look after the patient.</x18tc:text>
  </x18tc:threadedComment>
  <x18tc:threadedComment ref="H6" dT="2026-06-10T03:57:49.00" personId="{1a6dc964-f1ce-48c6-9769-fa5b15535af6}" id="{64b99c0c-5e90-422e-9db0-7c0a9294264c}" done="0">
    <x18tc:text xml:space="preserve">Work related Meeting</x18tc:text>
  </x18tc:threadedComment>
  <x18tc:threadedComment ref="H26" dT="2026-06-11T05:47:21.00" personId="{1a6dc964-f1ce-48c6-9769-fa5b15535af6}" id="{a2088171-9ab7-4a95-b395-da7adfe80ed0}" done="0">
    <x18tc:text xml:space="preserve">I was unable to attend class today due to breathing problems.</x18tc:text>
  </x18tc:threadedComment>
  <x18tc:threadedComment ref="I93" dT="2026-06-13T03:59:02.00" personId="{1a6dc964-f1ce-48c6-9769-fa5b15535af6}" id="{438d78ee-c0df-4244-aa7c-2a917f383b55}" done="0">
    <x18tc:text xml:space="preserve">Admitted to the hospital</x18tc:text>
  </x18tc:threadedComment>
  <x18tc:threadedComment ref="I12" dT="2026-06-13T03:59:19.00" personId="{1a6dc964-f1ce-48c6-9769-fa5b15535af6}" id="{da683bf7-1e5f-4b2e-9da8-21f01c27062f}" done="0">
    <x18tc:text xml:space="preserve">Funeral</x18tc:text>
  </x18tc:threadedComment>
  <x18tc:threadedComment ref="I133" dT="2026-06-13T04:00:07.00" personId="{1a6dc964-f1ce-48c6-9769-fa5b15535af6}" id="{2f92adce-ab56-41ac-9f7f-0a95b0a42375}" done="0">
    <x18tc:text xml:space="preserve">Due to a family commitment, I will not be able to attend class tomorrow. Kindly excuse my absence.</x18tc:text>
  </x18tc:threadedComment>
  <x18tc:threadedComment ref="I88" dT="2026-06-13T04:00:32.00" personId="{1a6dc964-f1ce-48c6-9769-fa5b15535af6}" id="{d71da53e-0617-4365-b871-7922f58d4eea}" done="0">
    <x18tc:text xml:space="preserve">To attend an eye clinic</x18tc:text>
  </x18tc:threadedComment>
  <x18tc:threadedComment ref="I123" dT="2026-06-13T04:00:44.00" personId="{1a6dc964-f1ce-48c6-9769-fa5b15535af6}" id="{0a324d0f-3806-43af-b4d4-57aac0e9b51b}" done="0">
    <x18tc:text xml:space="preserve">Emergency leave go to home in Trincomalee</x18tc:text>
  </x18tc:threadedComment>
  <x18tc:threadedComment ref="I136" dT="2026-06-13T04:01:15.00" personId="{1a6dc964-f1ce-48c6-9769-fa5b15535af6}" id="{0d87aae1-4464-4b18-a5ad-f77612cfbb08}" done="0">
    <x18tc:text xml:space="preserve">Personal problem</x18tc:text>
  </x18tc:threadedComment>
  <x18tc:threadedComment ref="I91" dT="2026-06-13T04:01:29.00" personId="{1a6dc964-f1ce-48c6-9769-fa5b15535af6}" id="{d7f6bb68-6541-44b6-b92a-db566796e90a}" done="0">
    <x18tc:text xml:space="preserve">personal reason</x18tc:text>
  </x18tc:threadedComment>
  <x18tc:threadedComment ref="I128" dT="2026-06-16T03:36:54.00" personId="{1a6dc964-f1ce-48c6-9769-fa5b15535af6}" id="{8766fa12-20aa-448c-a7c3-d341ad02082d}" done="0">
    <x18tc:text xml:space="preserve">I was unable to attend class because I came to Colombo to participate in a World Dance Performance.</x18tc:text>
  </x18tc:threadedComment>
  <x18tc:threadedComment ref="J89" dT="2026-06-16T03:37:35.00" personId="{1a6dc964-f1ce-48c6-9769-fa5b15535af6}" id="{730fb20c-1a49-403f-8ced-01b91b618b2d}" done="0">
    <x18tc:text xml:space="preserve">I need to take leave tomorrow as I have my driving license test</x18tc:text>
  </x18tc:threadedComment>
  <x18tc:threadedComment ref="J114" dT="2026-06-16T03:41:07.00" personId="{1a6dc964-f1ce-48c6-9769-fa5b15535af6}" id="{dfd3acc3-31fe-4ace-9bb8-72921be57212}" done="0">
    <x18tc:text xml:space="preserve">Personal issues</x18tc:text>
  </x18tc:threadedComment>
  <x18tc:threadedComment ref="J95" dT="2026-06-16T03:41:46.00" personId="{1a6dc964-f1ce-48c6-9769-fa5b15535af6}" id="{61e85acb-73b7-4bae-b15b-49a73bb14bfb}" done="0">
    <x18tc:text xml:space="preserve">hand fracture and cannot attend today.</x18tc:text>
  </x18tc:threadedComment>
  <x18tc:threadedComment ref="J131" dT="2026-06-16T03:37:56.00" personId="{1a6dc964-f1ce-48c6-9769-fa5b15535af6}" id="{4845c24b-2c8e-489c-aa86-e42986abaa98}" done="0">
    <x18tc:text xml:space="preserve">Trayal exam</x18tc:text>
  </x18tc:threadedComment>
  <x18tc:threadedComment ref="I95" dT="2026-06-16T03:40:51.00" personId="{1a6dc964-f1ce-48c6-9769-fa5b15535af6}" id="{939abd7a-b3e1-4c3c-9b7b-05f72f21991c}" done="0">
    <x18tc:text xml:space="preserve">I am suffering from a hand fracture and cannot attend today.
Kindly grant me leave for the day.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99" dT="2026-07-07T04:23:37.00" personId="{1a6dc964-f1ce-48c6-9769-fa5b15535af6}" id="{f25ce0e3-b58f-44f2-adeb-6ae34c50168f}" done="0">
    <x18tc:text xml:space="preserve">I was unable to attend due to my grandfather’s passing</x18tc:text>
  </x18tc:threadedComment>
  <x18tc:threadedComment ref="F99" dT="2026-07-07T04:23:43.00" personId="{1a6dc964-f1ce-48c6-9769-fa5b15535af6}" id="{9722612b-e10a-42b5-964a-c28a5c352c92}" done="0">
    <x18tc:text xml:space="preserve">I was unable to attend due to my grandfather’s passing</x18tc:text>
  </x18tc:threadedComment>
  <x18tc:threadedComment ref="D132" dT="2026-07-07T04:23:57.00" personId="{1a6dc964-f1ce-48c6-9769-fa5b15535af6}" id="{5483fc48-eaba-466f-9fa1-38316cbdda29}" done="0">
    <x18tc:text xml:space="preserve">Medical issue</x18tc:text>
  </x18tc:threadedComment>
  <x18tc:threadedComment ref="D86" dT="2026-07-07T04:36:39.00" personId="{1a6dc964-f1ce-48c6-9769-fa5b15535af6}" id="{14365807-7288-4f9f-8f52-88784d4e9858}" done="0">
    <x18tc:text xml:space="preserve">Knowage accessment in naita from killinochi on 07/07/2026</x18tc:text>
  </x18tc:threadedComment>
  <x18tc:threadedComment ref="G96" dT="2026-07-07T04:37:04.00" personId="{1a6dc964-f1ce-48c6-9769-fa5b15535af6}" id="{f648f889-1f8c-4a73-b664-998ac61b7ddf}" done="0">
    <x18tc:text xml:space="preserve">Sick</x18tc:text>
  </x18tc:threadedComment>
  <x18tc:threadedComment ref="G93" dT="2026-07-07T04:37:14.00" personId="{1a6dc964-f1ce-48c6-9769-fa5b15535af6}" id="{444adf73-ceb7-4075-902b-08e51128dd06}" done="0">
    <x18tc:text xml:space="preserve">I'm in the Jaffna hospital for the medical reasons</x18tc:text>
  </x18tc:threadedComment>
  <x18tc:threadedComment ref="E131" dT="2026-07-07T04:25:19.00" personId="{1a6dc964-f1ce-48c6-9769-fa5b15535af6}" id="{10c3ce71-f750-42d0-9553-143565b8092d}" done="0">
    <x18tc:text xml:space="preserve">My grandmother has been admitted to the hospital.</x18tc:text>
  </x18tc:threadedComment>
  <x18tc:threadedComment ref="E113" dT="2026-07-07T04:25:29.00" personId="{1a6dc964-f1ce-48c6-9769-fa5b15535af6}" id="{6922b926-6383-4cc7-b61c-8711544f9d17}" done="0">
    <x18tc:text xml:space="preserve">Gastric and Headpain</x18tc:text>
  </x18tc:threadedComment>
  <x18tc:threadedComment ref="F96" dT="2026-07-07T04:25:50.00" personId="{1a6dc964-f1ce-48c6-9769-fa5b15535af6}" id="{c7fd8b6f-6261-4aab-9d3a-b2b72b19878b}" done="0">
    <x18tc:text xml:space="preserve">Going to church</x18tc:text>
  </x18tc:threadedComment>
  <x18tc:threadedComment ref="F44" dT="2026-07-07T04:26:07.00" personId="{1a6dc964-f1ce-48c6-9769-fa5b15535af6}" id="{c7e6684d-db98-4742-955a-fc04f7b94252}" done="0">
    <x18tc:text xml:space="preserve">Family Function</x18tc:text>
  </x18tc:threadedComment>
  <x18tc:threadedComment ref="F32" dT="2026-07-07T04:26:22.00" personId="{1a6dc964-f1ce-48c6-9769-fa5b15535af6}" id="{7077c2a5-d784-485c-9837-57cea3928eff}" done="0">
    <x18tc:text xml:space="preserve">Fever</x18tc:text>
  </x18tc:threadedComment>
  <x18tc:threadedComment ref="F14" dT="2026-07-07T04:32:56.00" personId="{1a6dc964-f1ce-48c6-9769-fa5b15535af6}" id="{ea255f43-df34-4eff-93b6-d36525a74cde}" done="0">
    <x18tc:text xml:space="preserve">I have a class at the university of jaffna, so I can't attend the lectures today.</x18tc:text>
  </x18tc:threadedComment>
  <x18tc:threadedComment ref="F89" dT="2026-07-07T04:33:11.00" personId="{1a6dc964-f1ce-48c6-9769-fa5b15535af6}" id="{e2c0ce75-7c54-48ce-bc11-da361f40d65b}" done="0">
    <x18tc:text xml:space="preserve">I had taken leave because I was unwell</x18tc:text>
  </x18tc:threadedComment>
  <x18tc:threadedComment ref="G54" dT="2026-07-07T04:34:58.00" personId="{1a6dc964-f1ce-48c6-9769-fa5b15535af6}" id="{d524c7c7-5f75-416d-ba31-f8d4eedc0547}" done="0">
    <x18tc:text xml:space="preserve">I have CAT exam at open university</x18tc:text>
  </x18tc:threadedComment>
  <x18tc:threadedComment ref="G28" dT="2026-07-07T04:35:29.00" personId="{1a6dc964-f1ce-48c6-9769-fa5b15535af6}" id="{dc7d0127-a87f-4f8e-bad5-d604ee4a087e}" done="0">
    <x18tc:text xml:space="preserve">I will not be able to attend class tomorrow as I have my driving licence test.</x18tc:text>
  </x18tc:threadedComment>
  <x18tc:threadedComment ref="G62" dT="2026-07-07T04:35:48.00" personId="{1a6dc964-f1ce-48c6-9769-fa5b15535af6}" id="{0d946e5a-176e-40bc-bc6d-1c3b8d67783b}" done="0">
    <x18tc:text xml:space="preserve">Court hearing of land issues</x18tc:text>
  </x18tc:threadedComment>
  <x18tc:threadedComment ref="F63" dT="2026-07-07T04:36:08.00" personId="{1a6dc964-f1ce-48c6-9769-fa5b15535af6}" id="{14f8b543-a13f-4952-815a-d5257bad2999}" done="0">
    <x18tc:text xml:space="preserve">Cold and fever</x18tc:text>
  </x18tc:threadedComment>
  <x18tc:threadedComment ref="G26" dT="2026-07-07T04:36:24.00" personId="{1a6dc964-f1ce-48c6-9769-fa5b15535af6}" id="{f2037d3d-0b6c-4f9f-8866-a8a529439bd1}" done="0">
    <x18tc:text xml:space="preserve">I was unable to attend today's class due to severe stomach pain. Sorry for the inconvenience.</x18tc:text>
  </x18tc:threadedComment>
  <x18tc:threadedComment ref="J87" dT="2026-07-14T05:09:56.00" personId="{1a6dc964-f1ce-48c6-9769-fa5b15535af6}" id="{26d521db-7be7-4ee5-b563-75d8f55d6a19}" done="0">
    <x18tc:text xml:space="preserve">Function</x18tc:text>
  </x18tc:threadedComment>
  <x18tc:threadedComment ref="J45" dT="2026-07-14T05:10:29.00" personId="{1a6dc964-f1ce-48c6-9769-fa5b15535af6}" id="{e491fa9c-f29c-4721-9819-fbf75d093831}" done="0">
    <x18tc:text xml:space="preserve">fever</x18tc:text>
  </x18tc:threadedComment>
  <x18tc:threadedComment ref="J59" dT="2026-07-14T05:10:42.00" personId="{1a6dc964-f1ce-48c6-9769-fa5b15535af6}" id="{6a6e990a-e1d2-4770-abbe-5654542f6922}" done="0">
    <x18tc:text xml:space="preserve">I had a personal family matter that needed my attention</x18tc:text>
  </x18tc:threadedComment>
  <x18tc:threadedComment ref="J44" dT="2026-07-14T05:10:53.00" personId="{1a6dc964-f1ce-48c6-9769-fa5b15535af6}" id="{b931c5dd-791a-4fec-b5d1-0d68ed7743ee}" done="0">
    <x18tc:text xml:space="preserve">Fever</x18tc:text>
  </x18tc:threadedComment>
  <x18tc:threadedComment ref="J121" dT="2026-07-14T05:11:13.00" personId="{1a6dc964-f1ce-48c6-9769-fa5b15535af6}" id="{04f4815a-2f10-456f-8013-c0831671c680}" done="0">
    <x18tc:text xml:space="preserve">AGA office need to visit my home</x18tc:text>
  </x18tc:threadedComment>
  <x18tc:threadedComment ref="J144" dT="2026-07-14T05:11:22.00" personId="{1a6dc964-f1ce-48c6-9769-fa5b15535af6}" id="{e9f14528-052b-4892-97f0-d2bfc6d98968}" done="0">
    <x18tc:text xml:space="preserve">At hospital</x18tc:text>
  </x18tc:threadedComment>
  <x18tc:threadedComment ref="J63" dT="2026-07-14T05:11:40.00" personId="{1a6dc964-f1ce-48c6-9769-fa5b15535af6}" id="{a38aa5be-efef-4a15-8a93-11a62ff26fdd}" done="0">
    <x18tc:text xml:space="preserve">I have a day school in open university (8:30am to 1:30 pm)</x18tc:text>
  </x18tc:threadedComment>
  <x18tc:threadedComment ref="J135" dT="2026-07-14T05:11:53.00" personId="{1a6dc964-f1ce-48c6-9769-fa5b15535af6}" id="{0eb5fea7-5b0e-4eca-84d3-444ff049ace1}" done="0">
    <x18tc:text xml:space="preserve">Attend to Sister wedding</x18tc:text>
  </x18tc:threadedComment>
  <x18tc:threadedComment ref="K83" dT="2026-07-14T05:12:40.00" personId="{1a6dc964-f1ce-48c6-9769-fa5b15535af6}" id="{e852bde7-671a-449c-b345-30d3182a66e0}" done="0">
    <x18tc:text xml:space="preserve">Sister’s convocation</x18tc:text>
  </x18tc:threadedComment>
  <x18tc:threadedComment ref="K96" dT="2026-07-14T05:12:49.00" personId="{1a6dc964-f1ce-48c6-9769-fa5b15535af6}" id="{e36bff90-1f26-416c-aac5-c094ec1b9eb3}" done="0">
    <x18tc:text xml:space="preserve">Going to church</x18tc:text>
  </x18tc:threadedComment>
  <x18tc:threadedComment ref="H29" dT="2026-07-10T03:23:35.00" personId="{1a6dc964-f1ce-48c6-9769-fa5b15535af6}" id="{54406493-7f9a-41f6-87a9-e4320343469b}" done="0">
    <x18tc:text xml:space="preserve">Fever (dengue )</x18tc:text>
  </x18tc:threadedComment>
  <x18tc:threadedComment ref="I29" dT="2026-07-10T03:23:39.00" personId="{1a6dc964-f1ce-48c6-9769-fa5b15535af6}" id="{31f7a9a1-5a46-4dbf-8b50-f4e6ded08e93}" done="0">
    <x18tc:text xml:space="preserve">Fever (dengue )</x18tc:text>
  </x18tc:threadedComment>
  <x18tc:threadedComment ref="G113" dT="2026-07-10T03:21:49.00" personId="{1a6dc964-f1ce-48c6-9769-fa5b15535af6}" id="{f17a37d9-a632-4d86-b198-dda975aad105}" done="0">
    <x18tc:text xml:space="preserve">Gastric and Headpain</x18tc:text>
  </x18tc:threadedComment>
  <x18tc:threadedComment ref="I122" dT="2026-07-10T03:23:09.00" personId="{1a6dc964-f1ce-48c6-9769-fa5b15535af6}" id="{04d31c61-fdf0-4ddf-b62e-5a3878dd7487}" done="0">
    <x18tc:text xml:space="preserve">Chest pain and go to checking hospital 
Take a medical treatment in Trincomalee.</x18tc:text>
  </x18tc:threadedComment>
  <x18tc:threadedComment ref="I134" dT="2026-07-10T03:25:18.00" personId="{1a6dc964-f1ce-48c6-9769-fa5b15535af6}" id="{eacf4cfd-ce81-4558-b00b-f0b64a2e2f9f}" done="0">
    <x18tc:text xml:space="preserve">Personal problem</x18tc:text>
  </x18tc:threadedComment>
  <x18tc:threadedComment ref="I93" dT="2026-07-10T03:26:37.00" personId="{1a6dc964-f1ce-48c6-9769-fa5b15535af6}" id="{dd19747d-3f9a-4043-af9a-6541c9dbb2d4}" done="0">
    <x18tc:text xml:space="preserve">For the medical purposes</x18tc:text>
  </x18tc:threadedComment>
  <x18tc:threadedComment ref="I64" dT="2026-07-10T03:24:37.00" personId="{1a6dc964-f1ce-48c6-9769-fa5b15535af6}" id="{f248ae8e-6a7a-485e-8668-314146d1a5b4}" done="0">
    <x18tc:text xml:space="preserve">court case today regarding an agency fraud case for my brother’s abroad job</x18tc:text>
  </x18tc:threadedComment>
  <x18tc:threadedComment ref="F23" dT="2026-07-10T04:01:02.00" personId="{1a6dc964-f1ce-48c6-9769-fa5b15535af6}" id="{3561798a-4656-4e1f-b15f-d680e4504097}" done="0">
    <x18tc:text xml:space="preserve">Personal</x18tc:text>
  </x18tc:threadedComment>
  <x18tc:threadedComment ref="I23" dT="2026-07-10T04:01:05.00" personId="{1a6dc964-f1ce-48c6-9769-fa5b15535af6}" id="{23f380c6-86ce-4761-b572-a5c8f70f0c81}" done="0">
    <x18tc:text xml:space="preserve">Personal</x18tc:text>
  </x18tc:threadedComment>
  <x18tc:threadedComment ref="M56" dT="2026-07-17T02:58:14.00" personId="{1a6dc964-f1ce-48c6-9769-fa5b15535af6}" id="{be54d2a3-8aec-4c9f-833b-d65fc2e3d6c5}" done="0">
    <x18tc:text xml:space="preserve">Fevar</x18tc:text>
  </x18tc:threadedComment>
  <x18tc:threadedComment ref="M26" dT="2026-07-17T02:58:41.00" personId="{1a6dc964-f1ce-48c6-9769-fa5b15535af6}" id="{0018dd10-c9a6-4909-bfae-4249b50831af}" done="0">
    <x18tc:text xml:space="preserve">I was unable to attend class today due to breathing difficulties.</x18tc:text>
  </x18tc:threadedComment>
  <x18tc:threadedComment ref="K117" dT="2026-07-16T03:15:07.00" personId="{1a6dc964-f1ce-48c6-9769-fa5b15535af6}" id="{460a225d-6567-4d1b-b4d7-09f703cd48f4}" done="0">
    <x18tc:text xml:space="preserve">AAT graduation</x18tc:text>
  </x18tc:threadedComment>
  <x18tc:threadedComment ref="L117" dT="2026-07-16T03:15:11.00" personId="{1a6dc964-f1ce-48c6-9769-fa5b15535af6}" id="{2b59e10b-02bc-4222-8dc4-fd6219a599ae}" done="0">
    <x18tc:text xml:space="preserve">AAT graduation</x18tc:text>
  </x18tc:threadedComment>
  <x18tc:threadedComment ref="L10" dT="2026-07-16T03:15:24.00" personId="{1a6dc964-f1ce-48c6-9769-fa5b15535af6}" id="{f9e076b8-c5c1-45fd-a0fd-8d6a69e9e2ed}" done="0">
    <x18tc:text xml:space="preserve">Semester Exam</x18tc:text>
  </x18tc:threadedComment>
  <x18tc:threadedComment ref="L88" dT="2026-07-16T03:15:35.00" personId="{1a6dc964-f1ce-48c6-9769-fa5b15535af6}" id="{99e35429-03b4-4ebd-837b-1220fd699e2b}" done="0">
    <x18tc:text xml:space="preserve">Health issue</x18tc:text>
  </x18tc:threadedComment>
  <x18tc:threadedComment ref="L144" dT="2026-07-16T03:15:44.00" personId="{1a6dc964-f1ce-48c6-9769-fa5b15535af6}" id="{fc9cacbd-98d1-4d9a-975a-e9818ed8bc01}" done="0">
    <x18tc:text xml:space="preserve">Went to temple</x18tc:text>
  </x18tc:threadedComment>
  <x18tc:threadedComment ref="M96" dT="2026-07-20T03:05:34.00" personId="{1a6dc964-f1ce-48c6-9769-fa5b15535af6}" id="{df92940b-d326-4ff3-ab28-0a531e23b280}" done="0">
    <x18tc:text xml:space="preserve">Going to church</x18tc:text>
  </x18tc:threadedComment>
  <x18tc:threadedComment ref="N47" dT="2026-07-20T03:05:49.00" personId="{1a6dc964-f1ce-48c6-9769-fa5b15535af6}" id="{ca7fe68f-fdd3-406d-9834-9c36d0d70892}" done="0">
    <x18tc:text xml:space="preserve">Fever</x18tc:text>
  </x18tc:threadedComment>
  <x18tc:threadedComment ref="N92" dT="2026-07-20T03:05:59.00" personId="{1a6dc964-f1ce-48c6-9769-fa5b15535af6}" id="{4b910164-364a-498f-aad2-4f423472410d}" done="0">
    <x18tc:text xml:space="preserve">University class ( B. Com external )</x18tc:text>
  </x18tc:threadedComment>
  <x18tc:threadedComment ref="N101" dT="2026-07-20T03:07:03.00" personId="{1a6dc964-f1ce-48c6-9769-fa5b15535af6}" id="{5a81dcd6-05d1-45b8-b11a-37c8b844178b}" done="0">
    <x18tc:text xml:space="preserve">Due to unavoidable circumstances. I am unable to attend</x18tc:text>
  </x18tc:threadedComment>
  <x18tc:threadedComment ref="N10" dT="2026-07-20T03:07:14.00" personId="{1a6dc964-f1ce-48c6-9769-fa5b15535af6}" id="{616a3400-f832-49ce-95a6-71d1413e3019}" done="0">
    <x18tc:text xml:space="preserve">Semester Exam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15" dT="2026-08-25T03:36:13.00" personId="{1a6dc964-f1ce-48c6-9769-fa5b15535af6}" id="{5e783ca3-ac40-40bd-b1a5-56e10fd90713}" done="0">
    <x18tc:text xml:space="preserve">An inevitable function</x18tc:text>
  </x18tc:threadedComment>
  <x18tc:threadedComment ref="F129" dT="2026-08-25T03:36:25.00" personId="{1a6dc964-f1ce-48c6-9769-fa5b15535af6}" id="{0f6173f7-3e00-4b3e-b172-b53eaed4e8ba}" done="0">
    <x18tc:text xml:space="preserve">Sick</x18tc:text>
  </x18tc:threadedComment>
  <x18tc:threadedComment ref="G94" dT="2026-08-25T03:37:07.00" personId="{1a6dc964-f1ce-48c6-9769-fa5b15535af6}" id="{14fc5b1f-8867-444a-92ef-186596a9d316}" done="0">
    <x18tc:text xml:space="preserve">Went to the church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62" dT="2026-09-03T03:21:28.00" personId="{1a6dc964-f1ce-48c6-9769-fa5b15535af6}" id="{409f5ea9-d6b5-47b1-af83-a1ec49182ec9}" done="0">
    <x18tc:text xml:space="preserve">"My mother health condition bad. Brain injury 
So I'm stay with her in Jaffna hospital "</x18tc:text>
  </x18tc:threadedComment>
  <x18tc:threadedComment ref="D124" dT="2026-09-03T03:21:50.00" personId="{1a6dc964-f1ce-48c6-9769-fa5b15535af6}" id="{8175eed7-8d06-43e3-af71-5f4ba1501b1e}" done="0">
    <x18tc:text xml:space="preserve">Due to my mother's health issue</x18tc:text>
  </x18tc:threadedComment>
  <x18tc:threadedComment ref="D6" dT="2026-09-03T03:22:02.00" personId="{1a6dc964-f1ce-48c6-9769-fa5b15535af6}" id="{83d61b68-f3b8-491a-a14c-20b321b1bbbb}" done="0">
    <x18tc:text xml:space="preserve">Exam ( Barthanadyam)</x18tc:text>
  </x18tc:threadedComment>
  <x18tc:threadedComment ref="G101" dT="2026-09-09T05:57:37.00" personId="{1a6dc964-f1ce-48c6-9769-fa5b15535af6}" id="{775814a8-5a5b-4386-9d40-3328e5435d45}" done="0">
    <x18tc:text xml:space="preserve">going to hospital</x18tc:text>
  </x18tc:threadedComment>
  <x18tc:threadedComment ref="G93" dT="2026-09-09T05:58:05.00" personId="{1a6dc964-f1ce-48c6-9769-fa5b15535af6}" id="{1a3e8552-77cd-4350-b127-515777b5614f}" done="0">
    <x18tc:text xml:space="preserve">stomach pain</x18tc:text>
  </x18tc:threadedComment>
  <x18tc:threadedComment ref="E103" dT="2026-09-03T08:47:04.00" personId="{1a6dc964-f1ce-48c6-9769-fa5b15535af6}" id="{db05e517-1137-4ed7-95e4-d4145f520e82}" done="0">
    <x18tc:text xml:space="preserve">due to university exam</x18tc:text>
  </x18tc:threadedComment>
  <x18tc:threadedComment ref="E91" dT="2026-09-03T08:47:37.00" personId="{1a6dc964-f1ce-48c6-9769-fa5b15535af6}" id="{17cf800f-281a-49c4-b5fd-3a4ad9013b36}" done="0">
    <x18tc:text xml:space="preserve">personal work</x18tc:text>
  </x18tc:threadedComment>
  <x18tc:threadedComment ref="E29" dT="2026-09-04T05:20:52.00" personId="{1a6dc964-f1ce-48c6-9769-fa5b15535af6}" id="{26a5b890-24b2-4018-905a-9a7f54c6266b}" done="0">
    <x18tc:text xml:space="preserve">Health issue</x18tc:text>
  </x18tc:threadedComment>
  <x18tc:threadedComment ref="D62" dT="2026-09-04T05:52:12.00" personId="{1a6dc964-f1ce-48c6-9769-fa5b15535af6}" id="{043a81ac-0091-48f0-a51e-6babf547576c}" done="0">
    <x18tc:text xml:space="preserve">"My mother health condition bad. Brain injury
So I'm stay with her in Jaffna hospital "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  <col customWidth="1" min="4" max="57" width="3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1</v>
      </c>
      <c r="B2" s="5" t="s">
        <v>2</v>
      </c>
      <c r="C2" s="6" t="s">
        <v>3</v>
      </c>
      <c r="D2" s="7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9" t="s">
        <v>5</v>
      </c>
      <c r="E3" s="10" t="s">
        <v>6</v>
      </c>
      <c r="F3" s="10" t="s">
        <v>6</v>
      </c>
      <c r="G3" s="10" t="s">
        <v>6</v>
      </c>
      <c r="H3" s="10" t="s">
        <v>6</v>
      </c>
      <c r="I3" s="10" t="s">
        <v>7</v>
      </c>
      <c r="J3" s="10" t="s">
        <v>8</v>
      </c>
      <c r="K3" s="10" t="s">
        <v>8</v>
      </c>
      <c r="L3" s="10" t="s">
        <v>8</v>
      </c>
      <c r="M3" s="10" t="s">
        <v>8</v>
      </c>
      <c r="N3" s="10" t="s">
        <v>8</v>
      </c>
      <c r="O3" s="10" t="s">
        <v>8</v>
      </c>
      <c r="P3" s="11"/>
      <c r="Q3" s="11"/>
      <c r="R3" s="11"/>
      <c r="S3" s="11"/>
      <c r="T3" s="11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2"/>
      <c r="BA3" s="12"/>
      <c r="BB3" s="12"/>
      <c r="BC3" s="12"/>
      <c r="BD3" s="12"/>
      <c r="BE3" s="14"/>
    </row>
    <row r="4" ht="75.75" customHeight="1">
      <c r="A4" s="15"/>
      <c r="B4" s="15"/>
      <c r="C4" s="15"/>
      <c r="D4" s="16" t="s">
        <v>9</v>
      </c>
      <c r="E4" s="10" t="s">
        <v>10</v>
      </c>
      <c r="F4" s="10" t="s">
        <v>11</v>
      </c>
      <c r="G4" s="10" t="s">
        <v>12</v>
      </c>
      <c r="H4" s="9" t="s">
        <v>13</v>
      </c>
      <c r="I4" s="10" t="s">
        <v>14</v>
      </c>
      <c r="J4" s="10" t="s">
        <v>15</v>
      </c>
      <c r="K4" s="10" t="s">
        <v>16</v>
      </c>
      <c r="L4" s="10" t="s">
        <v>17</v>
      </c>
      <c r="M4" s="10" t="s">
        <v>18</v>
      </c>
      <c r="N4" s="10" t="s">
        <v>19</v>
      </c>
      <c r="O4" s="10" t="s">
        <v>20</v>
      </c>
      <c r="P4" s="11"/>
      <c r="Q4" s="17"/>
      <c r="R4" s="17"/>
      <c r="S4" s="17"/>
      <c r="T4" s="17"/>
      <c r="U4" s="13"/>
      <c r="V4" s="13"/>
      <c r="W4" s="13"/>
      <c r="X4" s="13"/>
      <c r="Y4" s="13"/>
      <c r="Z4" s="13"/>
      <c r="AA4" s="12"/>
      <c r="AB4" s="12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2"/>
      <c r="BA4" s="18" t="s">
        <v>21</v>
      </c>
      <c r="BB4" s="19" t="s">
        <v>22</v>
      </c>
      <c r="BC4" s="20" t="s">
        <v>23</v>
      </c>
      <c r="BD4" s="21" t="s">
        <v>24</v>
      </c>
      <c r="BE4" s="22" t="s">
        <v>25</v>
      </c>
    </row>
    <row r="5">
      <c r="A5" s="23">
        <v>1.0</v>
      </c>
      <c r="B5" s="24" t="s">
        <v>26</v>
      </c>
      <c r="C5" s="25" t="s">
        <v>27</v>
      </c>
      <c r="D5" s="26" t="s">
        <v>28</v>
      </c>
      <c r="E5" s="26" t="s">
        <v>28</v>
      </c>
      <c r="F5" s="26" t="s">
        <v>28</v>
      </c>
      <c r="G5" s="26" t="s">
        <v>28</v>
      </c>
      <c r="H5" s="26" t="s">
        <v>28</v>
      </c>
      <c r="I5" s="26" t="s">
        <v>28</v>
      </c>
      <c r="J5" s="27" t="s">
        <v>22</v>
      </c>
      <c r="K5" s="26" t="s">
        <v>28</v>
      </c>
      <c r="L5" s="26" t="s">
        <v>28</v>
      </c>
      <c r="M5" s="27" t="s">
        <v>22</v>
      </c>
      <c r="N5" s="26" t="s">
        <v>28</v>
      </c>
      <c r="O5" s="26" t="s">
        <v>28</v>
      </c>
      <c r="P5" s="28"/>
      <c r="Q5" s="28"/>
      <c r="R5" s="28"/>
      <c r="S5" s="28"/>
      <c r="T5" s="28"/>
      <c r="U5" s="29"/>
      <c r="V5" s="29"/>
      <c r="W5" s="29"/>
      <c r="X5" s="29"/>
      <c r="Y5" s="29"/>
      <c r="Z5" s="29"/>
      <c r="AA5" s="29"/>
      <c r="AB5" s="30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2">
        <f t="shared" ref="BA5:BA87" si="1">COUNTIF(D5:AZ5,"L")</f>
        <v>0</v>
      </c>
      <c r="BB5" s="32">
        <f t="shared" ref="BB5:BB87" si="2">COUNTIF(D5:AZ5,"A")</f>
        <v>2</v>
      </c>
      <c r="BC5" s="32">
        <f t="shared" ref="BC5:BC87" si="3">COUNTIF(D5:AZ5,"p")</f>
        <v>10</v>
      </c>
      <c r="BD5" s="32">
        <f t="shared" ref="BD5:BD87" si="4">SUM(BA5:BC5)</f>
        <v>12</v>
      </c>
      <c r="BE5" s="33">
        <f t="shared" ref="BE5:BE87" si="5">SUM(BA5,BC5)/BD5*100</f>
        <v>83.33333333</v>
      </c>
    </row>
    <row r="6">
      <c r="A6" s="23">
        <v>2.0</v>
      </c>
      <c r="B6" s="24" t="s">
        <v>29</v>
      </c>
      <c r="C6" s="25" t="s">
        <v>30</v>
      </c>
      <c r="D6" s="26" t="s">
        <v>28</v>
      </c>
      <c r="E6" s="26" t="s">
        <v>28</v>
      </c>
      <c r="F6" s="26" t="s">
        <v>28</v>
      </c>
      <c r="G6" s="26" t="s">
        <v>28</v>
      </c>
      <c r="H6" s="26" t="s">
        <v>28</v>
      </c>
      <c r="I6" s="26" t="s">
        <v>28</v>
      </c>
      <c r="J6" s="26" t="s">
        <v>28</v>
      </c>
      <c r="K6" s="26" t="s">
        <v>28</v>
      </c>
      <c r="L6" s="26" t="s">
        <v>28</v>
      </c>
      <c r="M6" s="26" t="s">
        <v>28</v>
      </c>
      <c r="N6" s="26" t="s">
        <v>28</v>
      </c>
      <c r="O6" s="26" t="s">
        <v>28</v>
      </c>
      <c r="P6" s="28"/>
      <c r="Q6" s="28"/>
      <c r="R6" s="30"/>
      <c r="S6" s="30"/>
      <c r="T6" s="28"/>
      <c r="U6" s="29"/>
      <c r="V6" s="29"/>
      <c r="W6" s="29"/>
      <c r="X6" s="29"/>
      <c r="Y6" s="29"/>
      <c r="Z6" s="29"/>
      <c r="AA6" s="29"/>
      <c r="AB6" s="31"/>
      <c r="AC6" s="31"/>
      <c r="AD6" s="31"/>
      <c r="AE6" s="34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2">
        <f t="shared" si="1"/>
        <v>0</v>
      </c>
      <c r="BB6" s="32">
        <f t="shared" si="2"/>
        <v>0</v>
      </c>
      <c r="BC6" s="32">
        <f t="shared" si="3"/>
        <v>12</v>
      </c>
      <c r="BD6" s="32">
        <f t="shared" si="4"/>
        <v>12</v>
      </c>
      <c r="BE6" s="33">
        <f t="shared" si="5"/>
        <v>100</v>
      </c>
    </row>
    <row r="7">
      <c r="A7" s="23">
        <v>3.0</v>
      </c>
      <c r="B7" s="24" t="s">
        <v>31</v>
      </c>
      <c r="C7" s="25" t="s">
        <v>32</v>
      </c>
      <c r="D7" s="26" t="s">
        <v>28</v>
      </c>
      <c r="E7" s="26" t="s">
        <v>28</v>
      </c>
      <c r="F7" s="26" t="s">
        <v>28</v>
      </c>
      <c r="G7" s="26" t="s">
        <v>28</v>
      </c>
      <c r="H7" s="26" t="s">
        <v>28</v>
      </c>
      <c r="I7" s="26" t="s">
        <v>28</v>
      </c>
      <c r="J7" s="27" t="s">
        <v>22</v>
      </c>
      <c r="K7" s="27" t="s">
        <v>22</v>
      </c>
      <c r="L7" s="26" t="s">
        <v>28</v>
      </c>
      <c r="M7" s="26" t="s">
        <v>28</v>
      </c>
      <c r="N7" s="26" t="s">
        <v>28</v>
      </c>
      <c r="O7" s="26" t="s">
        <v>28</v>
      </c>
      <c r="P7" s="28"/>
      <c r="Q7" s="28"/>
      <c r="R7" s="28"/>
      <c r="S7" s="28"/>
      <c r="T7" s="28"/>
      <c r="U7" s="29"/>
      <c r="V7" s="29"/>
      <c r="W7" s="29"/>
      <c r="X7" s="29"/>
      <c r="Y7" s="29"/>
      <c r="Z7" s="29"/>
      <c r="AA7" s="29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2">
        <f t="shared" si="1"/>
        <v>0</v>
      </c>
      <c r="BB7" s="32">
        <f t="shared" si="2"/>
        <v>2</v>
      </c>
      <c r="BC7" s="32">
        <f t="shared" si="3"/>
        <v>10</v>
      </c>
      <c r="BD7" s="32">
        <f t="shared" si="4"/>
        <v>12</v>
      </c>
      <c r="BE7" s="33">
        <f t="shared" si="5"/>
        <v>83.33333333</v>
      </c>
    </row>
    <row r="8">
      <c r="A8" s="23">
        <v>4.0</v>
      </c>
      <c r="B8" s="24" t="s">
        <v>33</v>
      </c>
      <c r="C8" s="25" t="s">
        <v>34</v>
      </c>
      <c r="D8" s="26" t="s">
        <v>28</v>
      </c>
      <c r="E8" s="26" t="s">
        <v>28</v>
      </c>
      <c r="F8" s="27" t="s">
        <v>22</v>
      </c>
      <c r="G8" s="26" t="s">
        <v>28</v>
      </c>
      <c r="H8" s="26" t="s">
        <v>28</v>
      </c>
      <c r="I8" s="26" t="s">
        <v>28</v>
      </c>
      <c r="J8" s="27" t="s">
        <v>22</v>
      </c>
      <c r="K8" s="26" t="s">
        <v>28</v>
      </c>
      <c r="L8" s="26" t="s">
        <v>28</v>
      </c>
      <c r="M8" s="26" t="s">
        <v>28</v>
      </c>
      <c r="N8" s="26" t="s">
        <v>28</v>
      </c>
      <c r="O8" s="26" t="s">
        <v>28</v>
      </c>
      <c r="P8" s="28"/>
      <c r="Q8" s="28"/>
      <c r="R8" s="28"/>
      <c r="S8" s="28"/>
      <c r="T8" s="28"/>
      <c r="U8" s="29"/>
      <c r="V8" s="29"/>
      <c r="W8" s="29"/>
      <c r="X8" s="29"/>
      <c r="Y8" s="29"/>
      <c r="Z8" s="29"/>
      <c r="AA8" s="29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2">
        <f t="shared" si="1"/>
        <v>0</v>
      </c>
      <c r="BB8" s="32">
        <f t="shared" si="2"/>
        <v>2</v>
      </c>
      <c r="BC8" s="32">
        <f t="shared" si="3"/>
        <v>10</v>
      </c>
      <c r="BD8" s="32">
        <f t="shared" si="4"/>
        <v>12</v>
      </c>
      <c r="BE8" s="33">
        <f t="shared" si="5"/>
        <v>83.33333333</v>
      </c>
    </row>
    <row r="9">
      <c r="A9" s="23">
        <v>5.0</v>
      </c>
      <c r="B9" s="24" t="s">
        <v>35</v>
      </c>
      <c r="C9" s="25" t="s">
        <v>36</v>
      </c>
      <c r="D9" s="26" t="s">
        <v>28</v>
      </c>
      <c r="E9" s="27" t="s">
        <v>22</v>
      </c>
      <c r="F9" s="27" t="s">
        <v>22</v>
      </c>
      <c r="G9" s="26" t="s">
        <v>28</v>
      </c>
      <c r="H9" s="26" t="s">
        <v>28</v>
      </c>
      <c r="I9" s="26" t="s">
        <v>28</v>
      </c>
      <c r="J9" s="27" t="s">
        <v>22</v>
      </c>
      <c r="K9" s="26" t="s">
        <v>28</v>
      </c>
      <c r="L9" s="26" t="s">
        <v>28</v>
      </c>
      <c r="M9" s="26" t="s">
        <v>28</v>
      </c>
      <c r="N9" s="26" t="s">
        <v>28</v>
      </c>
      <c r="O9" s="26" t="s">
        <v>28</v>
      </c>
      <c r="P9" s="31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2">
        <f t="shared" si="1"/>
        <v>0</v>
      </c>
      <c r="BB9" s="32">
        <f t="shared" si="2"/>
        <v>3</v>
      </c>
      <c r="BC9" s="32">
        <f t="shared" si="3"/>
        <v>9</v>
      </c>
      <c r="BD9" s="32">
        <f t="shared" si="4"/>
        <v>12</v>
      </c>
      <c r="BE9" s="33">
        <f t="shared" si="5"/>
        <v>75</v>
      </c>
    </row>
    <row r="10">
      <c r="A10" s="23">
        <v>6.0</v>
      </c>
      <c r="B10" s="24" t="s">
        <v>37</v>
      </c>
      <c r="C10" s="25" t="s">
        <v>38</v>
      </c>
      <c r="D10" s="26" t="s">
        <v>28</v>
      </c>
      <c r="E10" s="26" t="s">
        <v>28</v>
      </c>
      <c r="F10" s="26" t="s">
        <v>28</v>
      </c>
      <c r="G10" s="26" t="s">
        <v>28</v>
      </c>
      <c r="H10" s="26" t="s">
        <v>28</v>
      </c>
      <c r="I10" s="26" t="s">
        <v>28</v>
      </c>
      <c r="J10" s="27" t="s">
        <v>22</v>
      </c>
      <c r="K10" s="26" t="s">
        <v>28</v>
      </c>
      <c r="L10" s="26" t="s">
        <v>28</v>
      </c>
      <c r="M10" s="26" t="s">
        <v>28</v>
      </c>
      <c r="N10" s="26" t="s">
        <v>28</v>
      </c>
      <c r="O10" s="26" t="s">
        <v>28</v>
      </c>
      <c r="P10" s="30"/>
      <c r="Q10" s="30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2">
        <f t="shared" si="1"/>
        <v>0</v>
      </c>
      <c r="BB10" s="32">
        <f t="shared" si="2"/>
        <v>1</v>
      </c>
      <c r="BC10" s="32">
        <f t="shared" si="3"/>
        <v>11</v>
      </c>
      <c r="BD10" s="32">
        <f t="shared" si="4"/>
        <v>12</v>
      </c>
      <c r="BE10" s="33">
        <f t="shared" si="5"/>
        <v>91.66666667</v>
      </c>
    </row>
    <row r="11">
      <c r="A11" s="23">
        <v>7.0</v>
      </c>
      <c r="B11" s="24" t="s">
        <v>39</v>
      </c>
      <c r="C11" s="25" t="s">
        <v>40</v>
      </c>
      <c r="D11" s="26" t="s">
        <v>28</v>
      </c>
      <c r="E11" s="27" t="s">
        <v>22</v>
      </c>
      <c r="F11" s="27" t="s">
        <v>22</v>
      </c>
      <c r="G11" s="26" t="s">
        <v>28</v>
      </c>
      <c r="H11" s="27" t="s">
        <v>22</v>
      </c>
      <c r="I11" s="27" t="s">
        <v>22</v>
      </c>
      <c r="J11" s="26" t="s">
        <v>28</v>
      </c>
      <c r="K11" s="26" t="s">
        <v>28</v>
      </c>
      <c r="L11" s="26" t="s">
        <v>28</v>
      </c>
      <c r="M11" s="26" t="s">
        <v>28</v>
      </c>
      <c r="N11" s="26" t="s">
        <v>28</v>
      </c>
      <c r="O11" s="26" t="s">
        <v>28</v>
      </c>
      <c r="P11" s="28"/>
      <c r="Q11" s="28"/>
      <c r="R11" s="28"/>
      <c r="S11" s="28"/>
      <c r="T11" s="28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2">
        <f t="shared" si="1"/>
        <v>0</v>
      </c>
      <c r="BB11" s="32">
        <f t="shared" si="2"/>
        <v>4</v>
      </c>
      <c r="BC11" s="32">
        <f t="shared" si="3"/>
        <v>8</v>
      </c>
      <c r="BD11" s="32">
        <f t="shared" si="4"/>
        <v>12</v>
      </c>
      <c r="BE11" s="33">
        <f t="shared" si="5"/>
        <v>66.66666667</v>
      </c>
    </row>
    <row r="12">
      <c r="A12" s="23">
        <v>8.0</v>
      </c>
      <c r="B12" s="24" t="s">
        <v>41</v>
      </c>
      <c r="C12" s="25" t="s">
        <v>42</v>
      </c>
      <c r="D12" s="26" t="s">
        <v>28</v>
      </c>
      <c r="E12" s="26" t="s">
        <v>28</v>
      </c>
      <c r="F12" s="26" t="s">
        <v>28</v>
      </c>
      <c r="G12" s="26" t="s">
        <v>28</v>
      </c>
      <c r="H12" s="26" t="s">
        <v>28</v>
      </c>
      <c r="I12" s="26" t="s">
        <v>28</v>
      </c>
      <c r="J12" s="27" t="s">
        <v>22</v>
      </c>
      <c r="K12" s="26" t="s">
        <v>28</v>
      </c>
      <c r="L12" s="26" t="s">
        <v>28</v>
      </c>
      <c r="M12" s="26" t="s">
        <v>28</v>
      </c>
      <c r="N12" s="26" t="s">
        <v>28</v>
      </c>
      <c r="O12" s="27" t="s">
        <v>22</v>
      </c>
      <c r="P12" s="28"/>
      <c r="Q12" s="28"/>
      <c r="R12" s="28"/>
      <c r="S12" s="28"/>
      <c r="T12" s="28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2">
        <f t="shared" si="1"/>
        <v>0</v>
      </c>
      <c r="BB12" s="32">
        <f t="shared" si="2"/>
        <v>2</v>
      </c>
      <c r="BC12" s="32">
        <f t="shared" si="3"/>
        <v>10</v>
      </c>
      <c r="BD12" s="32">
        <f t="shared" si="4"/>
        <v>12</v>
      </c>
      <c r="BE12" s="33">
        <f t="shared" si="5"/>
        <v>83.33333333</v>
      </c>
    </row>
    <row r="13">
      <c r="A13" s="23">
        <v>9.0</v>
      </c>
      <c r="B13" s="24" t="s">
        <v>43</v>
      </c>
      <c r="C13" s="25" t="s">
        <v>44</v>
      </c>
      <c r="D13" s="26" t="s">
        <v>28</v>
      </c>
      <c r="E13" s="26" t="s">
        <v>28</v>
      </c>
      <c r="F13" s="26" t="s">
        <v>28</v>
      </c>
      <c r="G13" s="26" t="s">
        <v>28</v>
      </c>
      <c r="H13" s="26" t="s">
        <v>28</v>
      </c>
      <c r="I13" s="26" t="s">
        <v>28</v>
      </c>
      <c r="J13" s="27" t="s">
        <v>22</v>
      </c>
      <c r="K13" s="26" t="s">
        <v>28</v>
      </c>
      <c r="L13" s="26" t="s">
        <v>28</v>
      </c>
      <c r="M13" s="26" t="s">
        <v>28</v>
      </c>
      <c r="N13" s="26" t="s">
        <v>28</v>
      </c>
      <c r="O13" s="26" t="s">
        <v>28</v>
      </c>
      <c r="P13" s="28"/>
      <c r="Q13" s="28"/>
      <c r="R13" s="28"/>
      <c r="S13" s="28"/>
      <c r="T13" s="28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2">
        <f t="shared" si="1"/>
        <v>0</v>
      </c>
      <c r="BB13" s="32">
        <f t="shared" si="2"/>
        <v>1</v>
      </c>
      <c r="BC13" s="32">
        <f t="shared" si="3"/>
        <v>11</v>
      </c>
      <c r="BD13" s="32">
        <f t="shared" si="4"/>
        <v>12</v>
      </c>
      <c r="BE13" s="33">
        <f t="shared" si="5"/>
        <v>91.66666667</v>
      </c>
    </row>
    <row r="14">
      <c r="A14" s="23">
        <v>10.0</v>
      </c>
      <c r="B14" s="24" t="s">
        <v>45</v>
      </c>
      <c r="C14" s="25" t="s">
        <v>46</v>
      </c>
      <c r="D14" s="26" t="s">
        <v>28</v>
      </c>
      <c r="E14" s="26" t="s">
        <v>28</v>
      </c>
      <c r="F14" s="26" t="s">
        <v>28</v>
      </c>
      <c r="G14" s="26" t="s">
        <v>28</v>
      </c>
      <c r="H14" s="26" t="s">
        <v>28</v>
      </c>
      <c r="I14" s="26" t="s">
        <v>28</v>
      </c>
      <c r="J14" s="26" t="s">
        <v>28</v>
      </c>
      <c r="K14" s="26" t="s">
        <v>28</v>
      </c>
      <c r="L14" s="26" t="s">
        <v>28</v>
      </c>
      <c r="M14" s="26" t="s">
        <v>28</v>
      </c>
      <c r="N14" s="26" t="s">
        <v>28</v>
      </c>
      <c r="O14" s="27" t="s">
        <v>22</v>
      </c>
      <c r="P14" s="30"/>
      <c r="Q14" s="30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2">
        <f t="shared" si="1"/>
        <v>0</v>
      </c>
      <c r="BB14" s="32">
        <f t="shared" si="2"/>
        <v>1</v>
      </c>
      <c r="BC14" s="32">
        <f t="shared" si="3"/>
        <v>11</v>
      </c>
      <c r="BD14" s="32">
        <f t="shared" si="4"/>
        <v>12</v>
      </c>
      <c r="BE14" s="33">
        <f t="shared" si="5"/>
        <v>91.66666667</v>
      </c>
    </row>
    <row r="15">
      <c r="A15" s="23">
        <v>11.0</v>
      </c>
      <c r="B15" s="24" t="s">
        <v>47</v>
      </c>
      <c r="C15" s="25" t="s">
        <v>48</v>
      </c>
      <c r="D15" s="26" t="s">
        <v>28</v>
      </c>
      <c r="E15" s="26" t="s">
        <v>28</v>
      </c>
      <c r="F15" s="26" t="s">
        <v>28</v>
      </c>
      <c r="G15" s="26" t="s">
        <v>28</v>
      </c>
      <c r="H15" s="26" t="s">
        <v>28</v>
      </c>
      <c r="I15" s="26" t="s">
        <v>28</v>
      </c>
      <c r="J15" s="27" t="s">
        <v>22</v>
      </c>
      <c r="K15" s="26" t="s">
        <v>28</v>
      </c>
      <c r="L15" s="26" t="s">
        <v>28</v>
      </c>
      <c r="M15" s="26" t="s">
        <v>28</v>
      </c>
      <c r="N15" s="26" t="s">
        <v>28</v>
      </c>
      <c r="O15" s="26" t="s">
        <v>28</v>
      </c>
      <c r="P15" s="28"/>
      <c r="Q15" s="28"/>
      <c r="R15" s="28"/>
      <c r="S15" s="30"/>
      <c r="T15" s="28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2">
        <f t="shared" si="1"/>
        <v>0</v>
      </c>
      <c r="BB15" s="32">
        <f t="shared" si="2"/>
        <v>1</v>
      </c>
      <c r="BC15" s="32">
        <f t="shared" si="3"/>
        <v>11</v>
      </c>
      <c r="BD15" s="32">
        <f t="shared" si="4"/>
        <v>12</v>
      </c>
      <c r="BE15" s="33">
        <f t="shared" si="5"/>
        <v>91.66666667</v>
      </c>
    </row>
    <row r="16">
      <c r="A16" s="23">
        <v>12.0</v>
      </c>
      <c r="B16" s="24" t="s">
        <v>49</v>
      </c>
      <c r="C16" s="25" t="s">
        <v>50</v>
      </c>
      <c r="D16" s="26" t="s">
        <v>28</v>
      </c>
      <c r="E16" s="26" t="s">
        <v>28</v>
      </c>
      <c r="F16" s="26" t="s">
        <v>28</v>
      </c>
      <c r="G16" s="26" t="s">
        <v>28</v>
      </c>
      <c r="H16" s="26" t="s">
        <v>28</v>
      </c>
      <c r="I16" s="26" t="s">
        <v>28</v>
      </c>
      <c r="J16" s="27" t="s">
        <v>22</v>
      </c>
      <c r="K16" s="26" t="s">
        <v>28</v>
      </c>
      <c r="L16" s="26" t="s">
        <v>28</v>
      </c>
      <c r="M16" s="26" t="s">
        <v>28</v>
      </c>
      <c r="N16" s="26" t="s">
        <v>28</v>
      </c>
      <c r="O16" s="27" t="s">
        <v>22</v>
      </c>
      <c r="P16" s="28"/>
      <c r="Q16" s="28"/>
      <c r="R16" s="28"/>
      <c r="S16" s="28"/>
      <c r="T16" s="28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2">
        <f t="shared" si="1"/>
        <v>0</v>
      </c>
      <c r="BB16" s="32">
        <f t="shared" si="2"/>
        <v>2</v>
      </c>
      <c r="BC16" s="32">
        <f t="shared" si="3"/>
        <v>10</v>
      </c>
      <c r="BD16" s="32">
        <f t="shared" si="4"/>
        <v>12</v>
      </c>
      <c r="BE16" s="33">
        <f t="shared" si="5"/>
        <v>83.33333333</v>
      </c>
    </row>
    <row r="17">
      <c r="A17" s="23">
        <v>13.0</v>
      </c>
      <c r="B17" s="24" t="s">
        <v>51</v>
      </c>
      <c r="C17" s="25" t="s">
        <v>52</v>
      </c>
      <c r="D17" s="26" t="s">
        <v>28</v>
      </c>
      <c r="E17" s="26" t="s">
        <v>28</v>
      </c>
      <c r="F17" s="26" t="s">
        <v>28</v>
      </c>
      <c r="G17" s="26" t="s">
        <v>28</v>
      </c>
      <c r="H17" s="26" t="s">
        <v>28</v>
      </c>
      <c r="I17" s="26" t="s">
        <v>28</v>
      </c>
      <c r="J17" s="27" t="s">
        <v>22</v>
      </c>
      <c r="K17" s="27" t="s">
        <v>22</v>
      </c>
      <c r="L17" s="27" t="s">
        <v>22</v>
      </c>
      <c r="M17" s="26" t="s">
        <v>28</v>
      </c>
      <c r="N17" s="27" t="s">
        <v>22</v>
      </c>
      <c r="O17" s="26" t="s">
        <v>28</v>
      </c>
      <c r="P17" s="30"/>
      <c r="Q17" s="30"/>
      <c r="R17" s="30"/>
      <c r="S17" s="30"/>
      <c r="T17" s="30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2">
        <f t="shared" si="1"/>
        <v>0</v>
      </c>
      <c r="BB17" s="32">
        <f t="shared" si="2"/>
        <v>4</v>
      </c>
      <c r="BC17" s="32">
        <f t="shared" si="3"/>
        <v>8</v>
      </c>
      <c r="BD17" s="32">
        <f t="shared" si="4"/>
        <v>12</v>
      </c>
      <c r="BE17" s="33">
        <f t="shared" si="5"/>
        <v>66.66666667</v>
      </c>
    </row>
    <row r="18">
      <c r="A18" s="23">
        <v>14.0</v>
      </c>
      <c r="B18" s="35" t="s">
        <v>53</v>
      </c>
      <c r="C18" s="36" t="s">
        <v>54</v>
      </c>
      <c r="D18" s="37" t="s">
        <v>28</v>
      </c>
      <c r="E18" s="37" t="s">
        <v>28</v>
      </c>
      <c r="F18" s="37" t="s">
        <v>28</v>
      </c>
      <c r="G18" s="37" t="s">
        <v>28</v>
      </c>
      <c r="H18" s="27" t="s">
        <v>22</v>
      </c>
      <c r="I18" s="27" t="s">
        <v>22</v>
      </c>
      <c r="J18" s="27" t="s">
        <v>22</v>
      </c>
      <c r="K18" s="27" t="s">
        <v>22</v>
      </c>
      <c r="L18" s="27" t="s">
        <v>22</v>
      </c>
      <c r="M18" s="27" t="s">
        <v>22</v>
      </c>
      <c r="N18" s="38"/>
      <c r="O18" s="38"/>
      <c r="P18" s="38"/>
      <c r="Q18" s="38"/>
      <c r="R18" s="38"/>
      <c r="S18" s="38"/>
      <c r="T18" s="38"/>
      <c r="U18" s="39"/>
      <c r="V18" s="39"/>
      <c r="W18" s="39"/>
      <c r="X18" s="39"/>
      <c r="Y18" s="39"/>
      <c r="Z18" s="39"/>
      <c r="AA18" s="39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1">
        <f t="shared" si="1"/>
        <v>0</v>
      </c>
      <c r="BB18" s="41">
        <f t="shared" si="2"/>
        <v>6</v>
      </c>
      <c r="BC18" s="41">
        <f t="shared" si="3"/>
        <v>4</v>
      </c>
      <c r="BD18" s="41">
        <f t="shared" si="4"/>
        <v>10</v>
      </c>
      <c r="BE18" s="42">
        <f t="shared" si="5"/>
        <v>40</v>
      </c>
    </row>
    <row r="19">
      <c r="A19" s="23">
        <v>15.0</v>
      </c>
      <c r="B19" s="24" t="s">
        <v>55</v>
      </c>
      <c r="C19" s="25" t="s">
        <v>56</v>
      </c>
      <c r="D19" s="26" t="s">
        <v>28</v>
      </c>
      <c r="E19" s="26" t="s">
        <v>28</v>
      </c>
      <c r="F19" s="26" t="s">
        <v>28</v>
      </c>
      <c r="G19" s="26" t="s">
        <v>28</v>
      </c>
      <c r="H19" s="26" t="s">
        <v>28</v>
      </c>
      <c r="I19" s="26" t="s">
        <v>28</v>
      </c>
      <c r="J19" s="26" t="s">
        <v>28</v>
      </c>
      <c r="K19" s="26" t="s">
        <v>28</v>
      </c>
      <c r="L19" s="27" t="s">
        <v>22</v>
      </c>
      <c r="M19" s="26" t="s">
        <v>28</v>
      </c>
      <c r="N19" s="26" t="s">
        <v>28</v>
      </c>
      <c r="O19" s="26" t="s">
        <v>28</v>
      </c>
      <c r="P19" s="28"/>
      <c r="Q19" s="28"/>
      <c r="R19" s="28"/>
      <c r="S19" s="28"/>
      <c r="T19" s="28"/>
      <c r="U19" s="29"/>
      <c r="V19" s="29"/>
      <c r="W19" s="29"/>
      <c r="X19" s="29"/>
      <c r="Y19" s="29"/>
      <c r="Z19" s="29"/>
      <c r="AA19" s="29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2">
        <f t="shared" si="1"/>
        <v>0</v>
      </c>
      <c r="BB19" s="32">
        <f t="shared" si="2"/>
        <v>1</v>
      </c>
      <c r="BC19" s="32">
        <f t="shared" si="3"/>
        <v>11</v>
      </c>
      <c r="BD19" s="32">
        <f t="shared" si="4"/>
        <v>12</v>
      </c>
      <c r="BE19" s="33">
        <f t="shared" si="5"/>
        <v>91.66666667</v>
      </c>
    </row>
    <row r="20">
      <c r="A20" s="23">
        <v>16.0</v>
      </c>
      <c r="B20" s="24" t="s">
        <v>57</v>
      </c>
      <c r="C20" s="25" t="s">
        <v>58</v>
      </c>
      <c r="D20" s="26" t="s">
        <v>28</v>
      </c>
      <c r="E20" s="26" t="s">
        <v>28</v>
      </c>
      <c r="F20" s="26" t="s">
        <v>28</v>
      </c>
      <c r="G20" s="26" t="s">
        <v>28</v>
      </c>
      <c r="H20" s="26" t="s">
        <v>28</v>
      </c>
      <c r="I20" s="26" t="s">
        <v>28</v>
      </c>
      <c r="J20" s="27" t="s">
        <v>22</v>
      </c>
      <c r="K20" s="26" t="s">
        <v>28</v>
      </c>
      <c r="L20" s="26" t="s">
        <v>28</v>
      </c>
      <c r="M20" s="26" t="s">
        <v>28</v>
      </c>
      <c r="N20" s="26" t="s">
        <v>28</v>
      </c>
      <c r="O20" s="26" t="s">
        <v>28</v>
      </c>
      <c r="P20" s="30"/>
      <c r="Q20" s="28"/>
      <c r="R20" s="28"/>
      <c r="S20" s="28"/>
      <c r="T20" s="28"/>
      <c r="U20" s="29"/>
      <c r="V20" s="29"/>
      <c r="W20" s="29"/>
      <c r="X20" s="29"/>
      <c r="Y20" s="29"/>
      <c r="Z20" s="29"/>
      <c r="AA20" s="29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2">
        <f t="shared" si="1"/>
        <v>0</v>
      </c>
      <c r="BB20" s="32">
        <f t="shared" si="2"/>
        <v>1</v>
      </c>
      <c r="BC20" s="32">
        <f t="shared" si="3"/>
        <v>11</v>
      </c>
      <c r="BD20" s="32">
        <f t="shared" si="4"/>
        <v>12</v>
      </c>
      <c r="BE20" s="33">
        <f t="shared" si="5"/>
        <v>91.66666667</v>
      </c>
    </row>
    <row r="21">
      <c r="A21" s="23">
        <v>17.0</v>
      </c>
      <c r="B21" s="24" t="s">
        <v>59</v>
      </c>
      <c r="C21" s="25" t="s">
        <v>60</v>
      </c>
      <c r="D21" s="26" t="s">
        <v>28</v>
      </c>
      <c r="E21" s="26" t="s">
        <v>28</v>
      </c>
      <c r="F21" s="26" t="s">
        <v>28</v>
      </c>
      <c r="G21" s="26" t="s">
        <v>28</v>
      </c>
      <c r="H21" s="26" t="s">
        <v>28</v>
      </c>
      <c r="I21" s="26" t="s">
        <v>28</v>
      </c>
      <c r="J21" s="27" t="s">
        <v>22</v>
      </c>
      <c r="K21" s="26" t="s">
        <v>28</v>
      </c>
      <c r="L21" s="26" t="s">
        <v>28</v>
      </c>
      <c r="M21" s="26" t="s">
        <v>28</v>
      </c>
      <c r="N21" s="26" t="s">
        <v>28</v>
      </c>
      <c r="O21" s="26" t="s">
        <v>28</v>
      </c>
      <c r="P21" s="28"/>
      <c r="Q21" s="28"/>
      <c r="R21" s="28"/>
      <c r="S21" s="28"/>
      <c r="T21" s="28"/>
      <c r="U21" s="29"/>
      <c r="V21" s="29"/>
      <c r="W21" s="29"/>
      <c r="X21" s="29"/>
      <c r="Y21" s="29"/>
      <c r="Z21" s="29"/>
      <c r="AA21" s="29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2">
        <f t="shared" si="1"/>
        <v>0</v>
      </c>
      <c r="BB21" s="32">
        <f t="shared" si="2"/>
        <v>1</v>
      </c>
      <c r="BC21" s="32">
        <f t="shared" si="3"/>
        <v>11</v>
      </c>
      <c r="BD21" s="32">
        <f t="shared" si="4"/>
        <v>12</v>
      </c>
      <c r="BE21" s="33">
        <f t="shared" si="5"/>
        <v>91.66666667</v>
      </c>
    </row>
    <row r="22">
      <c r="A22" s="23">
        <v>18.0</v>
      </c>
      <c r="B22" s="24" t="s">
        <v>61</v>
      </c>
      <c r="C22" s="25" t="s">
        <v>62</v>
      </c>
      <c r="D22" s="26" t="s">
        <v>28</v>
      </c>
      <c r="E22" s="26" t="s">
        <v>28</v>
      </c>
      <c r="F22" s="26" t="s">
        <v>28</v>
      </c>
      <c r="G22" s="26" t="s">
        <v>28</v>
      </c>
      <c r="H22" s="26" t="s">
        <v>28</v>
      </c>
      <c r="I22" s="26" t="s">
        <v>28</v>
      </c>
      <c r="J22" s="26" t="s">
        <v>28</v>
      </c>
      <c r="K22" s="26" t="s">
        <v>28</v>
      </c>
      <c r="L22" s="26" t="s">
        <v>28</v>
      </c>
      <c r="M22" s="26" t="s">
        <v>28</v>
      </c>
      <c r="N22" s="26" t="s">
        <v>28</v>
      </c>
      <c r="O22" s="26" t="s">
        <v>28</v>
      </c>
      <c r="P22" s="28"/>
      <c r="Q22" s="28"/>
      <c r="R22" s="30"/>
      <c r="S22" s="28"/>
      <c r="T22" s="28"/>
      <c r="U22" s="29"/>
      <c r="V22" s="29"/>
      <c r="W22" s="29"/>
      <c r="X22" s="29"/>
      <c r="Y22" s="29"/>
      <c r="Z22" s="29"/>
      <c r="AA22" s="29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2">
        <f t="shared" si="1"/>
        <v>0</v>
      </c>
      <c r="BB22" s="32">
        <f t="shared" si="2"/>
        <v>0</v>
      </c>
      <c r="BC22" s="32">
        <f t="shared" si="3"/>
        <v>12</v>
      </c>
      <c r="BD22" s="32">
        <f t="shared" si="4"/>
        <v>12</v>
      </c>
      <c r="BE22" s="33">
        <f t="shared" si="5"/>
        <v>100</v>
      </c>
    </row>
    <row r="23">
      <c r="A23" s="23">
        <v>19.0</v>
      </c>
      <c r="B23" s="24" t="s">
        <v>63</v>
      </c>
      <c r="C23" s="25" t="s">
        <v>64</v>
      </c>
      <c r="D23" s="26" t="s">
        <v>28</v>
      </c>
      <c r="E23" s="26" t="s">
        <v>28</v>
      </c>
      <c r="F23" s="27" t="s">
        <v>22</v>
      </c>
      <c r="G23" s="26" t="s">
        <v>28</v>
      </c>
      <c r="H23" s="27" t="s">
        <v>22</v>
      </c>
      <c r="I23" s="26" t="s">
        <v>28</v>
      </c>
      <c r="J23" s="27" t="s">
        <v>22</v>
      </c>
      <c r="K23" s="26" t="s">
        <v>28</v>
      </c>
      <c r="L23" s="26" t="s">
        <v>28</v>
      </c>
      <c r="M23" s="26" t="s">
        <v>28</v>
      </c>
      <c r="N23" s="26" t="s">
        <v>28</v>
      </c>
      <c r="O23" s="26" t="s">
        <v>28</v>
      </c>
      <c r="P23" s="43"/>
      <c r="Q23" s="43"/>
      <c r="R23" s="43"/>
      <c r="S23" s="44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32">
        <f t="shared" si="1"/>
        <v>0</v>
      </c>
      <c r="BB23" s="32">
        <f t="shared" si="2"/>
        <v>3</v>
      </c>
      <c r="BC23" s="32">
        <f t="shared" si="3"/>
        <v>9</v>
      </c>
      <c r="BD23" s="32">
        <f t="shared" si="4"/>
        <v>12</v>
      </c>
      <c r="BE23" s="33">
        <f t="shared" si="5"/>
        <v>75</v>
      </c>
    </row>
    <row r="24">
      <c r="A24" s="23">
        <v>20.0</v>
      </c>
      <c r="B24" s="24" t="s">
        <v>65</v>
      </c>
      <c r="C24" s="25" t="s">
        <v>66</v>
      </c>
      <c r="D24" s="26" t="s">
        <v>28</v>
      </c>
      <c r="E24" s="26" t="s">
        <v>28</v>
      </c>
      <c r="F24" s="27" t="s">
        <v>22</v>
      </c>
      <c r="G24" s="27" t="s">
        <v>22</v>
      </c>
      <c r="H24" s="27" t="s">
        <v>22</v>
      </c>
      <c r="I24" s="26" t="s">
        <v>28</v>
      </c>
      <c r="J24" s="26" t="s">
        <v>28</v>
      </c>
      <c r="K24" s="26" t="s">
        <v>28</v>
      </c>
      <c r="L24" s="26" t="s">
        <v>28</v>
      </c>
      <c r="M24" s="27" t="s">
        <v>22</v>
      </c>
      <c r="N24" s="26" t="s">
        <v>28</v>
      </c>
      <c r="O24" s="26" t="s">
        <v>28</v>
      </c>
      <c r="P24" s="43"/>
      <c r="Q24" s="43"/>
      <c r="R24" s="43"/>
      <c r="S24" s="44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32">
        <f t="shared" si="1"/>
        <v>0</v>
      </c>
      <c r="BB24" s="32">
        <f t="shared" si="2"/>
        <v>4</v>
      </c>
      <c r="BC24" s="32">
        <f t="shared" si="3"/>
        <v>8</v>
      </c>
      <c r="BD24" s="32">
        <f t="shared" si="4"/>
        <v>12</v>
      </c>
      <c r="BE24" s="33">
        <f t="shared" si="5"/>
        <v>66.66666667</v>
      </c>
    </row>
    <row r="25">
      <c r="A25" s="23">
        <v>21.0</v>
      </c>
      <c r="B25" s="24" t="s">
        <v>67</v>
      </c>
      <c r="C25" s="25" t="s">
        <v>68</v>
      </c>
      <c r="D25" s="26" t="s">
        <v>28</v>
      </c>
      <c r="E25" s="26" t="s">
        <v>28</v>
      </c>
      <c r="F25" s="26" t="s">
        <v>28</v>
      </c>
      <c r="G25" s="26" t="s">
        <v>28</v>
      </c>
      <c r="H25" s="26" t="s">
        <v>28</v>
      </c>
      <c r="I25" s="26" t="s">
        <v>28</v>
      </c>
      <c r="J25" s="27" t="s">
        <v>22</v>
      </c>
      <c r="K25" s="26" t="s">
        <v>28</v>
      </c>
      <c r="L25" s="26" t="s">
        <v>28</v>
      </c>
      <c r="M25" s="26" t="s">
        <v>28</v>
      </c>
      <c r="N25" s="26" t="s">
        <v>28</v>
      </c>
      <c r="O25" s="26" t="s">
        <v>28</v>
      </c>
      <c r="P25" s="28"/>
      <c r="Q25" s="28"/>
      <c r="R25" s="28"/>
      <c r="S25" s="28"/>
      <c r="T25" s="28"/>
      <c r="U25" s="29"/>
      <c r="V25" s="29"/>
      <c r="W25" s="29"/>
      <c r="X25" s="29"/>
      <c r="Y25" s="29"/>
      <c r="Z25" s="29"/>
      <c r="AA25" s="29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2">
        <f t="shared" si="1"/>
        <v>0</v>
      </c>
      <c r="BB25" s="32">
        <f t="shared" si="2"/>
        <v>1</v>
      </c>
      <c r="BC25" s="32">
        <f t="shared" si="3"/>
        <v>11</v>
      </c>
      <c r="BD25" s="32">
        <f t="shared" si="4"/>
        <v>12</v>
      </c>
      <c r="BE25" s="33">
        <f t="shared" si="5"/>
        <v>91.66666667</v>
      </c>
    </row>
    <row r="26">
      <c r="A26" s="23">
        <v>22.0</v>
      </c>
      <c r="B26" s="24" t="s">
        <v>69</v>
      </c>
      <c r="C26" s="25" t="s">
        <v>70</v>
      </c>
      <c r="D26" s="26" t="s">
        <v>28</v>
      </c>
      <c r="E26" s="27" t="s">
        <v>22</v>
      </c>
      <c r="F26" s="26" t="s">
        <v>28</v>
      </c>
      <c r="G26" s="26" t="s">
        <v>28</v>
      </c>
      <c r="H26" s="26" t="s">
        <v>28</v>
      </c>
      <c r="I26" s="26" t="s">
        <v>28</v>
      </c>
      <c r="J26" s="27" t="s">
        <v>22</v>
      </c>
      <c r="K26" s="26" t="s">
        <v>28</v>
      </c>
      <c r="L26" s="26" t="s">
        <v>28</v>
      </c>
      <c r="M26" s="26" t="s">
        <v>28</v>
      </c>
      <c r="N26" s="26" t="s">
        <v>28</v>
      </c>
      <c r="O26" s="26" t="s">
        <v>28</v>
      </c>
      <c r="P26" s="28"/>
      <c r="Q26" s="28"/>
      <c r="R26" s="28"/>
      <c r="S26" s="28"/>
      <c r="T26" s="28"/>
      <c r="U26" s="29"/>
      <c r="V26" s="29"/>
      <c r="W26" s="29"/>
      <c r="X26" s="29"/>
      <c r="Y26" s="29"/>
      <c r="Z26" s="29"/>
      <c r="AA26" s="29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2">
        <f t="shared" si="1"/>
        <v>0</v>
      </c>
      <c r="BB26" s="32">
        <f t="shared" si="2"/>
        <v>2</v>
      </c>
      <c r="BC26" s="32">
        <f t="shared" si="3"/>
        <v>10</v>
      </c>
      <c r="BD26" s="32">
        <f t="shared" si="4"/>
        <v>12</v>
      </c>
      <c r="BE26" s="33">
        <f t="shared" si="5"/>
        <v>83.33333333</v>
      </c>
    </row>
    <row r="27">
      <c r="A27" s="23">
        <v>23.0</v>
      </c>
      <c r="B27" s="24" t="s">
        <v>71</v>
      </c>
      <c r="C27" s="25" t="s">
        <v>72</v>
      </c>
      <c r="D27" s="26" t="s">
        <v>28</v>
      </c>
      <c r="E27" s="27" t="s">
        <v>22</v>
      </c>
      <c r="F27" s="27" t="s">
        <v>22</v>
      </c>
      <c r="G27" s="26" t="s">
        <v>28</v>
      </c>
      <c r="H27" s="27" t="s">
        <v>22</v>
      </c>
      <c r="I27" s="26" t="s">
        <v>28</v>
      </c>
      <c r="J27" s="26" t="s">
        <v>28</v>
      </c>
      <c r="K27" s="26" t="s">
        <v>28</v>
      </c>
      <c r="L27" s="26" t="s">
        <v>28</v>
      </c>
      <c r="M27" s="26" t="s">
        <v>28</v>
      </c>
      <c r="N27" s="26" t="s">
        <v>28</v>
      </c>
      <c r="O27" s="26" t="s">
        <v>28</v>
      </c>
      <c r="P27" s="28"/>
      <c r="Q27" s="28"/>
      <c r="R27" s="28"/>
      <c r="S27" s="28"/>
      <c r="T27" s="28"/>
      <c r="U27" s="29"/>
      <c r="V27" s="29"/>
      <c r="W27" s="29"/>
      <c r="X27" s="29"/>
      <c r="Y27" s="29"/>
      <c r="Z27" s="29"/>
      <c r="AA27" s="29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2">
        <f t="shared" si="1"/>
        <v>0</v>
      </c>
      <c r="BB27" s="32">
        <f t="shared" si="2"/>
        <v>3</v>
      </c>
      <c r="BC27" s="32">
        <f t="shared" si="3"/>
        <v>9</v>
      </c>
      <c r="BD27" s="32">
        <f t="shared" si="4"/>
        <v>12</v>
      </c>
      <c r="BE27" s="33">
        <f t="shared" si="5"/>
        <v>75</v>
      </c>
    </row>
    <row r="28">
      <c r="A28" s="23">
        <v>24.0</v>
      </c>
      <c r="B28" s="47" t="s">
        <v>73</v>
      </c>
      <c r="C28" s="48" t="s">
        <v>74</v>
      </c>
      <c r="D28" s="26" t="s">
        <v>28</v>
      </c>
      <c r="E28" s="27" t="s">
        <v>22</v>
      </c>
      <c r="F28" s="27" t="s">
        <v>22</v>
      </c>
      <c r="G28" s="26" t="s">
        <v>28</v>
      </c>
      <c r="H28" s="27" t="s">
        <v>22</v>
      </c>
      <c r="I28" s="26" t="s">
        <v>28</v>
      </c>
      <c r="J28" s="26" t="s">
        <v>28</v>
      </c>
      <c r="K28" s="26" t="s">
        <v>28</v>
      </c>
      <c r="L28" s="26" t="s">
        <v>28</v>
      </c>
      <c r="M28" s="27" t="s">
        <v>22</v>
      </c>
      <c r="N28" s="26" t="s">
        <v>28</v>
      </c>
      <c r="O28" s="27" t="s">
        <v>22</v>
      </c>
      <c r="P28" s="28"/>
      <c r="Q28" s="28"/>
      <c r="R28" s="28"/>
      <c r="S28" s="28"/>
      <c r="T28" s="28"/>
      <c r="U28" s="29"/>
      <c r="V28" s="29"/>
      <c r="W28" s="29"/>
      <c r="X28" s="29"/>
      <c r="Y28" s="29"/>
      <c r="Z28" s="29"/>
      <c r="AA28" s="29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2">
        <f t="shared" si="1"/>
        <v>0</v>
      </c>
      <c r="BB28" s="32">
        <f t="shared" si="2"/>
        <v>5</v>
      </c>
      <c r="BC28" s="32">
        <f t="shared" si="3"/>
        <v>7</v>
      </c>
      <c r="BD28" s="32">
        <f t="shared" si="4"/>
        <v>12</v>
      </c>
      <c r="BE28" s="33">
        <f t="shared" si="5"/>
        <v>58.33333333</v>
      </c>
    </row>
    <row r="29">
      <c r="A29" s="23">
        <v>25.0</v>
      </c>
      <c r="B29" s="24" t="s">
        <v>75</v>
      </c>
      <c r="C29" s="25" t="s">
        <v>76</v>
      </c>
      <c r="D29" s="26" t="s">
        <v>28</v>
      </c>
      <c r="E29" s="26" t="s">
        <v>28</v>
      </c>
      <c r="F29" s="26" t="s">
        <v>28</v>
      </c>
      <c r="G29" s="26" t="s">
        <v>28</v>
      </c>
      <c r="H29" s="27" t="s">
        <v>22</v>
      </c>
      <c r="I29" s="26" t="s">
        <v>28</v>
      </c>
      <c r="J29" s="27" t="s">
        <v>22</v>
      </c>
      <c r="K29" s="26" t="s">
        <v>28</v>
      </c>
      <c r="L29" s="26" t="s">
        <v>28</v>
      </c>
      <c r="M29" s="27" t="s">
        <v>22</v>
      </c>
      <c r="N29" s="26" t="s">
        <v>28</v>
      </c>
      <c r="O29" s="26" t="s">
        <v>28</v>
      </c>
      <c r="P29" s="28"/>
      <c r="Q29" s="28"/>
      <c r="R29" s="28"/>
      <c r="S29" s="28"/>
      <c r="T29" s="28"/>
      <c r="U29" s="29"/>
      <c r="V29" s="29"/>
      <c r="W29" s="29"/>
      <c r="X29" s="29"/>
      <c r="Y29" s="29"/>
      <c r="Z29" s="29"/>
      <c r="AA29" s="29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2">
        <f t="shared" si="1"/>
        <v>0</v>
      </c>
      <c r="BB29" s="32">
        <f t="shared" si="2"/>
        <v>3</v>
      </c>
      <c r="BC29" s="32">
        <f t="shared" si="3"/>
        <v>9</v>
      </c>
      <c r="BD29" s="32">
        <f t="shared" si="4"/>
        <v>12</v>
      </c>
      <c r="BE29" s="33">
        <f t="shared" si="5"/>
        <v>75</v>
      </c>
    </row>
    <row r="30">
      <c r="A30" s="23">
        <v>26.0</v>
      </c>
      <c r="B30" s="24" t="s">
        <v>77</v>
      </c>
      <c r="C30" s="25" t="s">
        <v>78</v>
      </c>
      <c r="D30" s="26" t="s">
        <v>28</v>
      </c>
      <c r="E30" s="26" t="s">
        <v>28</v>
      </c>
      <c r="F30" s="26" t="s">
        <v>28</v>
      </c>
      <c r="G30" s="26" t="s">
        <v>28</v>
      </c>
      <c r="H30" s="26" t="s">
        <v>28</v>
      </c>
      <c r="I30" s="26" t="s">
        <v>28</v>
      </c>
      <c r="J30" s="26" t="s">
        <v>28</v>
      </c>
      <c r="K30" s="26" t="s">
        <v>28</v>
      </c>
      <c r="L30" s="26" t="s">
        <v>28</v>
      </c>
      <c r="M30" s="26" t="s">
        <v>28</v>
      </c>
      <c r="N30" s="26" t="s">
        <v>28</v>
      </c>
      <c r="O30" s="26" t="s">
        <v>28</v>
      </c>
      <c r="P30" s="28"/>
      <c r="Q30" s="28"/>
      <c r="R30" s="28"/>
      <c r="S30" s="28"/>
      <c r="T30" s="28"/>
      <c r="U30" s="29"/>
      <c r="V30" s="29"/>
      <c r="W30" s="29"/>
      <c r="X30" s="29"/>
      <c r="Y30" s="29"/>
      <c r="Z30" s="29"/>
      <c r="AA30" s="29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2">
        <f t="shared" si="1"/>
        <v>0</v>
      </c>
      <c r="BB30" s="32">
        <f t="shared" si="2"/>
        <v>0</v>
      </c>
      <c r="BC30" s="32">
        <f t="shared" si="3"/>
        <v>12</v>
      </c>
      <c r="BD30" s="32">
        <f t="shared" si="4"/>
        <v>12</v>
      </c>
      <c r="BE30" s="33">
        <f t="shared" si="5"/>
        <v>100</v>
      </c>
    </row>
    <row r="31">
      <c r="A31" s="23">
        <v>27.0</v>
      </c>
      <c r="B31" s="24" t="s">
        <v>79</v>
      </c>
      <c r="C31" s="25" t="s">
        <v>80</v>
      </c>
      <c r="D31" s="26" t="s">
        <v>28</v>
      </c>
      <c r="E31" s="27" t="s">
        <v>22</v>
      </c>
      <c r="F31" s="27" t="s">
        <v>22</v>
      </c>
      <c r="G31" s="26" t="s">
        <v>28</v>
      </c>
      <c r="H31" s="27" t="s">
        <v>22</v>
      </c>
      <c r="I31" s="26" t="s">
        <v>28</v>
      </c>
      <c r="J31" s="26" t="s">
        <v>28</v>
      </c>
      <c r="K31" s="26" t="s">
        <v>28</v>
      </c>
      <c r="L31" s="26" t="s">
        <v>28</v>
      </c>
      <c r="M31" s="26" t="s">
        <v>28</v>
      </c>
      <c r="N31" s="26" t="s">
        <v>28</v>
      </c>
      <c r="O31" s="26" t="s">
        <v>28</v>
      </c>
      <c r="P31" s="28"/>
      <c r="Q31" s="28"/>
      <c r="R31" s="28"/>
      <c r="S31" s="28"/>
      <c r="T31" s="28"/>
      <c r="U31" s="29"/>
      <c r="V31" s="29"/>
      <c r="W31" s="29"/>
      <c r="X31" s="29"/>
      <c r="Y31" s="29"/>
      <c r="Z31" s="29"/>
      <c r="AA31" s="29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2">
        <f t="shared" si="1"/>
        <v>0</v>
      </c>
      <c r="BB31" s="32">
        <f t="shared" si="2"/>
        <v>3</v>
      </c>
      <c r="BC31" s="32">
        <f t="shared" si="3"/>
        <v>9</v>
      </c>
      <c r="BD31" s="32">
        <f t="shared" si="4"/>
        <v>12</v>
      </c>
      <c r="BE31" s="33">
        <f t="shared" si="5"/>
        <v>75</v>
      </c>
    </row>
    <row r="32">
      <c r="A32" s="23">
        <v>28.0</v>
      </c>
      <c r="B32" s="24" t="s">
        <v>81</v>
      </c>
      <c r="C32" s="25" t="s">
        <v>82</v>
      </c>
      <c r="D32" s="26" t="s">
        <v>28</v>
      </c>
      <c r="E32" s="26" t="s">
        <v>28</v>
      </c>
      <c r="F32" s="26" t="s">
        <v>28</v>
      </c>
      <c r="G32" s="26" t="s">
        <v>28</v>
      </c>
      <c r="H32" s="26" t="s">
        <v>28</v>
      </c>
      <c r="I32" s="26" t="s">
        <v>28</v>
      </c>
      <c r="J32" s="27" t="s">
        <v>22</v>
      </c>
      <c r="K32" s="27" t="s">
        <v>22</v>
      </c>
      <c r="L32" s="26" t="s">
        <v>28</v>
      </c>
      <c r="M32" s="27" t="s">
        <v>22</v>
      </c>
      <c r="N32" s="26" t="s">
        <v>28</v>
      </c>
      <c r="O32" s="26" t="s">
        <v>28</v>
      </c>
      <c r="P32" s="28"/>
      <c r="Q32" s="28"/>
      <c r="R32" s="28"/>
      <c r="S32" s="28"/>
      <c r="T32" s="28"/>
      <c r="U32" s="29"/>
      <c r="V32" s="29"/>
      <c r="W32" s="29"/>
      <c r="X32" s="29"/>
      <c r="Y32" s="29"/>
      <c r="Z32" s="29"/>
      <c r="AA32" s="29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2">
        <f t="shared" si="1"/>
        <v>0</v>
      </c>
      <c r="BB32" s="32">
        <f t="shared" si="2"/>
        <v>3</v>
      </c>
      <c r="BC32" s="32">
        <f t="shared" si="3"/>
        <v>9</v>
      </c>
      <c r="BD32" s="32">
        <f t="shared" si="4"/>
        <v>12</v>
      </c>
      <c r="BE32" s="33">
        <f t="shared" si="5"/>
        <v>75</v>
      </c>
    </row>
    <row r="33">
      <c r="A33" s="23">
        <v>29.0</v>
      </c>
      <c r="B33" s="24" t="s">
        <v>83</v>
      </c>
      <c r="C33" s="25" t="s">
        <v>84</v>
      </c>
      <c r="D33" s="26" t="s">
        <v>28</v>
      </c>
      <c r="E33" s="26" t="s">
        <v>28</v>
      </c>
      <c r="F33" s="26" t="s">
        <v>28</v>
      </c>
      <c r="G33" s="26" t="s">
        <v>28</v>
      </c>
      <c r="H33" s="26" t="s">
        <v>28</v>
      </c>
      <c r="I33" s="26" t="s">
        <v>28</v>
      </c>
      <c r="J33" s="26" t="s">
        <v>28</v>
      </c>
      <c r="K33" s="26" t="s">
        <v>28</v>
      </c>
      <c r="L33" s="26" t="s">
        <v>28</v>
      </c>
      <c r="M33" s="27" t="s">
        <v>22</v>
      </c>
      <c r="N33" s="26" t="s">
        <v>28</v>
      </c>
      <c r="O33" s="26" t="s">
        <v>28</v>
      </c>
      <c r="P33" s="28"/>
      <c r="Q33" s="28"/>
      <c r="R33" s="28"/>
      <c r="S33" s="28"/>
      <c r="T33" s="28"/>
      <c r="U33" s="29"/>
      <c r="V33" s="29"/>
      <c r="W33" s="29"/>
      <c r="X33" s="29"/>
      <c r="Y33" s="29"/>
      <c r="Z33" s="29"/>
      <c r="AA33" s="29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2">
        <f t="shared" si="1"/>
        <v>0</v>
      </c>
      <c r="BB33" s="32">
        <f t="shared" si="2"/>
        <v>1</v>
      </c>
      <c r="BC33" s="32">
        <f t="shared" si="3"/>
        <v>11</v>
      </c>
      <c r="BD33" s="32">
        <f t="shared" si="4"/>
        <v>12</v>
      </c>
      <c r="BE33" s="33">
        <f t="shared" si="5"/>
        <v>91.66666667</v>
      </c>
    </row>
    <row r="34">
      <c r="A34" s="23">
        <v>30.0</v>
      </c>
      <c r="B34" s="24" t="s">
        <v>85</v>
      </c>
      <c r="C34" s="25" t="s">
        <v>86</v>
      </c>
      <c r="D34" s="26" t="s">
        <v>28</v>
      </c>
      <c r="E34" s="26" t="s">
        <v>28</v>
      </c>
      <c r="F34" s="26" t="s">
        <v>28</v>
      </c>
      <c r="G34" s="26" t="s">
        <v>28</v>
      </c>
      <c r="H34" s="26" t="s">
        <v>28</v>
      </c>
      <c r="I34" s="26" t="s">
        <v>28</v>
      </c>
      <c r="J34" s="26" t="s">
        <v>28</v>
      </c>
      <c r="K34" s="26" t="s">
        <v>28</v>
      </c>
      <c r="L34" s="26" t="s">
        <v>28</v>
      </c>
      <c r="M34" s="26" t="s">
        <v>28</v>
      </c>
      <c r="N34" s="26" t="s">
        <v>28</v>
      </c>
      <c r="O34" s="26" t="s">
        <v>28</v>
      </c>
      <c r="P34" s="28"/>
      <c r="Q34" s="28"/>
      <c r="R34" s="28"/>
      <c r="S34" s="28"/>
      <c r="T34" s="28"/>
      <c r="U34" s="29"/>
      <c r="V34" s="29"/>
      <c r="W34" s="29"/>
      <c r="X34" s="29"/>
      <c r="Y34" s="29"/>
      <c r="Z34" s="29"/>
      <c r="AA34" s="29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2">
        <f t="shared" si="1"/>
        <v>0</v>
      </c>
      <c r="BB34" s="32">
        <f t="shared" si="2"/>
        <v>0</v>
      </c>
      <c r="BC34" s="32">
        <f t="shared" si="3"/>
        <v>12</v>
      </c>
      <c r="BD34" s="32">
        <f t="shared" si="4"/>
        <v>12</v>
      </c>
      <c r="BE34" s="33">
        <f t="shared" si="5"/>
        <v>100</v>
      </c>
    </row>
    <row r="35">
      <c r="A35" s="23">
        <v>31.0</v>
      </c>
      <c r="B35" s="24" t="s">
        <v>87</v>
      </c>
      <c r="C35" s="25" t="s">
        <v>88</v>
      </c>
      <c r="D35" s="26" t="s">
        <v>28</v>
      </c>
      <c r="E35" s="27" t="s">
        <v>22</v>
      </c>
      <c r="F35" s="27" t="s">
        <v>22</v>
      </c>
      <c r="G35" s="26" t="s">
        <v>28</v>
      </c>
      <c r="H35" s="26" t="s">
        <v>28</v>
      </c>
      <c r="I35" s="26" t="s">
        <v>28</v>
      </c>
      <c r="J35" s="26" t="s">
        <v>28</v>
      </c>
      <c r="K35" s="26" t="s">
        <v>28</v>
      </c>
      <c r="L35" s="26" t="s">
        <v>28</v>
      </c>
      <c r="M35" s="26" t="s">
        <v>28</v>
      </c>
      <c r="N35" s="26" t="s">
        <v>28</v>
      </c>
      <c r="O35" s="26" t="s">
        <v>28</v>
      </c>
      <c r="P35" s="31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2">
        <f t="shared" si="1"/>
        <v>0</v>
      </c>
      <c r="BB35" s="32">
        <f t="shared" si="2"/>
        <v>2</v>
      </c>
      <c r="BC35" s="32">
        <f t="shared" si="3"/>
        <v>10</v>
      </c>
      <c r="BD35" s="32">
        <f t="shared" si="4"/>
        <v>12</v>
      </c>
      <c r="BE35" s="33">
        <f t="shared" si="5"/>
        <v>83.33333333</v>
      </c>
    </row>
    <row r="36">
      <c r="A36" s="23">
        <v>32.0</v>
      </c>
      <c r="B36" s="24" t="s">
        <v>89</v>
      </c>
      <c r="C36" s="25" t="s">
        <v>90</v>
      </c>
      <c r="D36" s="26" t="s">
        <v>28</v>
      </c>
      <c r="E36" s="26" t="s">
        <v>28</v>
      </c>
      <c r="F36" s="26" t="s">
        <v>28</v>
      </c>
      <c r="G36" s="26" t="s">
        <v>28</v>
      </c>
      <c r="H36" s="26" t="s">
        <v>28</v>
      </c>
      <c r="I36" s="26" t="s">
        <v>28</v>
      </c>
      <c r="J36" s="27" t="s">
        <v>22</v>
      </c>
      <c r="K36" s="26" t="s">
        <v>28</v>
      </c>
      <c r="L36" s="26" t="s">
        <v>28</v>
      </c>
      <c r="M36" s="27" t="s">
        <v>22</v>
      </c>
      <c r="N36" s="26" t="s">
        <v>28</v>
      </c>
      <c r="O36" s="26" t="s">
        <v>28</v>
      </c>
      <c r="P36" s="28"/>
      <c r="Q36" s="28"/>
      <c r="R36" s="28"/>
      <c r="S36" s="28"/>
      <c r="T36" s="28"/>
      <c r="U36" s="29"/>
      <c r="V36" s="29"/>
      <c r="W36" s="29"/>
      <c r="X36" s="29"/>
      <c r="Y36" s="29"/>
      <c r="Z36" s="29"/>
      <c r="AA36" s="29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2">
        <f t="shared" si="1"/>
        <v>0</v>
      </c>
      <c r="BB36" s="32">
        <f t="shared" si="2"/>
        <v>2</v>
      </c>
      <c r="BC36" s="32">
        <f t="shared" si="3"/>
        <v>10</v>
      </c>
      <c r="BD36" s="32">
        <f t="shared" si="4"/>
        <v>12</v>
      </c>
      <c r="BE36" s="33">
        <f t="shared" si="5"/>
        <v>83.33333333</v>
      </c>
    </row>
    <row r="37">
      <c r="A37" s="23">
        <v>33.0</v>
      </c>
      <c r="B37" s="24" t="s">
        <v>91</v>
      </c>
      <c r="C37" s="25" t="s">
        <v>92</v>
      </c>
      <c r="D37" s="26" t="s">
        <v>28</v>
      </c>
      <c r="E37" s="26" t="s">
        <v>28</v>
      </c>
      <c r="F37" s="26" t="s">
        <v>28</v>
      </c>
      <c r="G37" s="26" t="s">
        <v>28</v>
      </c>
      <c r="H37" s="26" t="s">
        <v>28</v>
      </c>
      <c r="I37" s="26" t="s">
        <v>28</v>
      </c>
      <c r="J37" s="26" t="s">
        <v>28</v>
      </c>
      <c r="K37" s="26" t="s">
        <v>28</v>
      </c>
      <c r="L37" s="26" t="s">
        <v>28</v>
      </c>
      <c r="M37" s="26" t="s">
        <v>28</v>
      </c>
      <c r="N37" s="26" t="s">
        <v>28</v>
      </c>
      <c r="O37" s="26" t="s">
        <v>28</v>
      </c>
      <c r="P37" s="28"/>
      <c r="Q37" s="28"/>
      <c r="R37" s="28"/>
      <c r="S37" s="28"/>
      <c r="T37" s="28"/>
      <c r="U37" s="29"/>
      <c r="V37" s="29"/>
      <c r="W37" s="29"/>
      <c r="X37" s="29"/>
      <c r="Y37" s="29"/>
      <c r="Z37" s="29"/>
      <c r="AA37" s="29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2">
        <f t="shared" si="1"/>
        <v>0</v>
      </c>
      <c r="BB37" s="32">
        <f t="shared" si="2"/>
        <v>0</v>
      </c>
      <c r="BC37" s="32">
        <f t="shared" si="3"/>
        <v>12</v>
      </c>
      <c r="BD37" s="32">
        <f t="shared" si="4"/>
        <v>12</v>
      </c>
      <c r="BE37" s="33">
        <f t="shared" si="5"/>
        <v>100</v>
      </c>
    </row>
    <row r="38">
      <c r="A38" s="23">
        <v>34.0</v>
      </c>
      <c r="B38" s="24" t="s">
        <v>93</v>
      </c>
      <c r="C38" s="25" t="s">
        <v>94</v>
      </c>
      <c r="D38" s="26" t="s">
        <v>28</v>
      </c>
      <c r="E38" s="26" t="s">
        <v>28</v>
      </c>
      <c r="F38" s="26" t="s">
        <v>28</v>
      </c>
      <c r="G38" s="26" t="s">
        <v>28</v>
      </c>
      <c r="H38" s="26" t="s">
        <v>28</v>
      </c>
      <c r="I38" s="26" t="s">
        <v>28</v>
      </c>
      <c r="J38" s="26" t="s">
        <v>28</v>
      </c>
      <c r="K38" s="26" t="s">
        <v>28</v>
      </c>
      <c r="L38" s="26" t="s">
        <v>28</v>
      </c>
      <c r="M38" s="26" t="s">
        <v>28</v>
      </c>
      <c r="N38" s="26" t="s">
        <v>28</v>
      </c>
      <c r="O38" s="26" t="s">
        <v>28</v>
      </c>
      <c r="P38" s="30"/>
      <c r="Q38" s="28"/>
      <c r="R38" s="28"/>
      <c r="S38" s="28"/>
      <c r="T38" s="30"/>
      <c r="U38" s="29"/>
      <c r="V38" s="29"/>
      <c r="W38" s="29"/>
      <c r="X38" s="29"/>
      <c r="Y38" s="29"/>
      <c r="Z38" s="29"/>
      <c r="AA38" s="29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2">
        <f t="shared" si="1"/>
        <v>0</v>
      </c>
      <c r="BB38" s="32">
        <f t="shared" si="2"/>
        <v>0</v>
      </c>
      <c r="BC38" s="32">
        <f t="shared" si="3"/>
        <v>12</v>
      </c>
      <c r="BD38" s="32">
        <f t="shared" si="4"/>
        <v>12</v>
      </c>
      <c r="BE38" s="33">
        <f t="shared" si="5"/>
        <v>100</v>
      </c>
    </row>
    <row r="39">
      <c r="A39" s="23">
        <v>35.0</v>
      </c>
      <c r="B39" s="24" t="s">
        <v>95</v>
      </c>
      <c r="C39" s="25" t="s">
        <v>96</v>
      </c>
      <c r="D39" s="26" t="s">
        <v>28</v>
      </c>
      <c r="E39" s="26" t="s">
        <v>28</v>
      </c>
      <c r="F39" s="26" t="s">
        <v>28</v>
      </c>
      <c r="G39" s="26" t="s">
        <v>28</v>
      </c>
      <c r="H39" s="26" t="s">
        <v>28</v>
      </c>
      <c r="I39" s="26" t="s">
        <v>28</v>
      </c>
      <c r="J39" s="26" t="s">
        <v>28</v>
      </c>
      <c r="K39" s="26" t="s">
        <v>28</v>
      </c>
      <c r="L39" s="26" t="s">
        <v>28</v>
      </c>
      <c r="M39" s="26" t="s">
        <v>28</v>
      </c>
      <c r="N39" s="26" t="s">
        <v>28</v>
      </c>
      <c r="O39" s="26" t="s">
        <v>28</v>
      </c>
      <c r="P39" s="28"/>
      <c r="Q39" s="28"/>
      <c r="R39" s="28"/>
      <c r="S39" s="28"/>
      <c r="T39" s="28"/>
      <c r="U39" s="29"/>
      <c r="V39" s="29"/>
      <c r="W39" s="29"/>
      <c r="X39" s="29"/>
      <c r="Y39" s="29"/>
      <c r="Z39" s="29"/>
      <c r="AA39" s="29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2">
        <f t="shared" si="1"/>
        <v>0</v>
      </c>
      <c r="BB39" s="32">
        <f t="shared" si="2"/>
        <v>0</v>
      </c>
      <c r="BC39" s="32">
        <f t="shared" si="3"/>
        <v>12</v>
      </c>
      <c r="BD39" s="32">
        <f t="shared" si="4"/>
        <v>12</v>
      </c>
      <c r="BE39" s="33">
        <f t="shared" si="5"/>
        <v>100</v>
      </c>
    </row>
    <row r="40">
      <c r="A40" s="23">
        <v>36.0</v>
      </c>
      <c r="B40" s="24" t="s">
        <v>97</v>
      </c>
      <c r="C40" s="25" t="s">
        <v>98</v>
      </c>
      <c r="D40" s="26" t="s">
        <v>28</v>
      </c>
      <c r="E40" s="27" t="s">
        <v>22</v>
      </c>
      <c r="F40" s="26" t="s">
        <v>28</v>
      </c>
      <c r="G40" s="26" t="s">
        <v>28</v>
      </c>
      <c r="H40" s="26" t="s">
        <v>28</v>
      </c>
      <c r="I40" s="26" t="s">
        <v>28</v>
      </c>
      <c r="J40" s="26" t="s">
        <v>28</v>
      </c>
      <c r="K40" s="26" t="s">
        <v>28</v>
      </c>
      <c r="L40" s="26" t="s">
        <v>28</v>
      </c>
      <c r="M40" s="27" t="s">
        <v>22</v>
      </c>
      <c r="N40" s="26" t="s">
        <v>28</v>
      </c>
      <c r="O40" s="26" t="s">
        <v>28</v>
      </c>
      <c r="P40" s="28"/>
      <c r="Q40" s="28"/>
      <c r="R40" s="28"/>
      <c r="S40" s="28"/>
      <c r="T40" s="28"/>
      <c r="U40" s="29"/>
      <c r="V40" s="29"/>
      <c r="W40" s="29"/>
      <c r="X40" s="29"/>
      <c r="Y40" s="29"/>
      <c r="Z40" s="29"/>
      <c r="AA40" s="29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2">
        <f t="shared" si="1"/>
        <v>0</v>
      </c>
      <c r="BB40" s="32">
        <f t="shared" si="2"/>
        <v>2</v>
      </c>
      <c r="BC40" s="32">
        <f t="shared" si="3"/>
        <v>10</v>
      </c>
      <c r="BD40" s="32">
        <f t="shared" si="4"/>
        <v>12</v>
      </c>
      <c r="BE40" s="33">
        <f t="shared" si="5"/>
        <v>83.33333333</v>
      </c>
    </row>
    <row r="41">
      <c r="A41" s="23">
        <v>37.0</v>
      </c>
      <c r="B41" s="24" t="s">
        <v>99</v>
      </c>
      <c r="C41" s="25" t="s">
        <v>100</v>
      </c>
      <c r="D41" s="26" t="s">
        <v>28</v>
      </c>
      <c r="E41" s="26" t="s">
        <v>28</v>
      </c>
      <c r="F41" s="26" t="s">
        <v>28</v>
      </c>
      <c r="G41" s="26" t="s">
        <v>28</v>
      </c>
      <c r="H41" s="26" t="s">
        <v>28</v>
      </c>
      <c r="I41" s="26" t="s">
        <v>28</v>
      </c>
      <c r="J41" s="26" t="s">
        <v>28</v>
      </c>
      <c r="K41" s="26" t="s">
        <v>28</v>
      </c>
      <c r="L41" s="27" t="s">
        <v>22</v>
      </c>
      <c r="M41" s="27" t="s">
        <v>22</v>
      </c>
      <c r="N41" s="27" t="s">
        <v>22</v>
      </c>
      <c r="O41" s="26" t="s">
        <v>28</v>
      </c>
      <c r="P41" s="28"/>
      <c r="Q41" s="28"/>
      <c r="R41" s="28"/>
      <c r="S41" s="28"/>
      <c r="T41" s="30"/>
      <c r="U41" s="29"/>
      <c r="V41" s="29"/>
      <c r="W41" s="29"/>
      <c r="X41" s="29"/>
      <c r="Y41" s="29"/>
      <c r="Z41" s="29"/>
      <c r="AA41" s="29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2">
        <f t="shared" si="1"/>
        <v>0</v>
      </c>
      <c r="BB41" s="32">
        <f t="shared" si="2"/>
        <v>3</v>
      </c>
      <c r="BC41" s="32">
        <f t="shared" si="3"/>
        <v>9</v>
      </c>
      <c r="BD41" s="32">
        <f t="shared" si="4"/>
        <v>12</v>
      </c>
      <c r="BE41" s="33">
        <f t="shared" si="5"/>
        <v>75</v>
      </c>
    </row>
    <row r="42">
      <c r="A42" s="23">
        <v>38.0</v>
      </c>
      <c r="B42" s="24" t="s">
        <v>101</v>
      </c>
      <c r="C42" s="25" t="s">
        <v>102</v>
      </c>
      <c r="D42" s="26" t="s">
        <v>28</v>
      </c>
      <c r="E42" s="26" t="s">
        <v>28</v>
      </c>
      <c r="F42" s="26" t="s">
        <v>28</v>
      </c>
      <c r="G42" s="26" t="s">
        <v>28</v>
      </c>
      <c r="H42" s="26" t="s">
        <v>28</v>
      </c>
      <c r="I42" s="26" t="s">
        <v>28</v>
      </c>
      <c r="J42" s="26" t="s">
        <v>28</v>
      </c>
      <c r="K42" s="26" t="s">
        <v>28</v>
      </c>
      <c r="L42" s="26" t="s">
        <v>28</v>
      </c>
      <c r="M42" s="26" t="s">
        <v>28</v>
      </c>
      <c r="N42" s="26" t="s">
        <v>28</v>
      </c>
      <c r="O42" s="26" t="s">
        <v>28</v>
      </c>
      <c r="P42" s="28"/>
      <c r="Q42" s="30"/>
      <c r="R42" s="28"/>
      <c r="S42" s="28"/>
      <c r="T42" s="28"/>
      <c r="U42" s="29"/>
      <c r="V42" s="29"/>
      <c r="W42" s="29"/>
      <c r="X42" s="29"/>
      <c r="Y42" s="29"/>
      <c r="Z42" s="29"/>
      <c r="AA42" s="29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2">
        <f t="shared" si="1"/>
        <v>0</v>
      </c>
      <c r="BB42" s="32">
        <f t="shared" si="2"/>
        <v>0</v>
      </c>
      <c r="BC42" s="32">
        <f t="shared" si="3"/>
        <v>12</v>
      </c>
      <c r="BD42" s="32">
        <f t="shared" si="4"/>
        <v>12</v>
      </c>
      <c r="BE42" s="33">
        <f t="shared" si="5"/>
        <v>100</v>
      </c>
    </row>
    <row r="43">
      <c r="A43" s="23">
        <v>39.0</v>
      </c>
      <c r="B43" s="24" t="s">
        <v>103</v>
      </c>
      <c r="C43" s="25" t="s">
        <v>104</v>
      </c>
      <c r="D43" s="26" t="s">
        <v>28</v>
      </c>
      <c r="E43" s="26" t="s">
        <v>28</v>
      </c>
      <c r="F43" s="26" t="s">
        <v>28</v>
      </c>
      <c r="G43" s="26" t="s">
        <v>28</v>
      </c>
      <c r="H43" s="26" t="s">
        <v>28</v>
      </c>
      <c r="I43" s="26" t="s">
        <v>28</v>
      </c>
      <c r="J43" s="26" t="s">
        <v>28</v>
      </c>
      <c r="K43" s="26" t="s">
        <v>28</v>
      </c>
      <c r="L43" s="26" t="s">
        <v>28</v>
      </c>
      <c r="M43" s="26" t="s">
        <v>28</v>
      </c>
      <c r="N43" s="26" t="s">
        <v>28</v>
      </c>
      <c r="O43" s="26" t="s">
        <v>28</v>
      </c>
      <c r="P43" s="28"/>
      <c r="Q43" s="28"/>
      <c r="R43" s="28"/>
      <c r="S43" s="28"/>
      <c r="T43" s="28"/>
      <c r="U43" s="29"/>
      <c r="V43" s="29"/>
      <c r="W43" s="29"/>
      <c r="X43" s="29"/>
      <c r="Y43" s="29"/>
      <c r="Z43" s="29"/>
      <c r="AA43" s="29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2">
        <f t="shared" si="1"/>
        <v>0</v>
      </c>
      <c r="BB43" s="32">
        <f t="shared" si="2"/>
        <v>0</v>
      </c>
      <c r="BC43" s="32">
        <f t="shared" si="3"/>
        <v>12</v>
      </c>
      <c r="BD43" s="32">
        <f t="shared" si="4"/>
        <v>12</v>
      </c>
      <c r="BE43" s="33">
        <f t="shared" si="5"/>
        <v>100</v>
      </c>
    </row>
    <row r="44">
      <c r="A44" s="23">
        <v>40.0</v>
      </c>
      <c r="B44" s="24" t="s">
        <v>105</v>
      </c>
      <c r="C44" s="25" t="s">
        <v>106</v>
      </c>
      <c r="D44" s="26" t="s">
        <v>28</v>
      </c>
      <c r="E44" s="26" t="s">
        <v>28</v>
      </c>
      <c r="F44" s="26" t="s">
        <v>28</v>
      </c>
      <c r="G44" s="26" t="s">
        <v>28</v>
      </c>
      <c r="H44" s="27" t="s">
        <v>22</v>
      </c>
      <c r="I44" s="26" t="s">
        <v>28</v>
      </c>
      <c r="J44" s="26" t="s">
        <v>28</v>
      </c>
      <c r="K44" s="26" t="s">
        <v>28</v>
      </c>
      <c r="L44" s="27" t="s">
        <v>22</v>
      </c>
      <c r="M44" s="27" t="s">
        <v>22</v>
      </c>
      <c r="N44" s="27" t="s">
        <v>22</v>
      </c>
      <c r="O44" s="27" t="s">
        <v>22</v>
      </c>
      <c r="P44" s="31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2">
        <f t="shared" si="1"/>
        <v>0</v>
      </c>
      <c r="BB44" s="32">
        <f t="shared" si="2"/>
        <v>5</v>
      </c>
      <c r="BC44" s="32">
        <f t="shared" si="3"/>
        <v>7</v>
      </c>
      <c r="BD44" s="32">
        <f t="shared" si="4"/>
        <v>12</v>
      </c>
      <c r="BE44" s="33">
        <f t="shared" si="5"/>
        <v>58.33333333</v>
      </c>
    </row>
    <row r="45">
      <c r="A45" s="23">
        <v>41.0</v>
      </c>
      <c r="B45" s="35" t="s">
        <v>107</v>
      </c>
      <c r="C45" s="36" t="s">
        <v>108</v>
      </c>
      <c r="D45" s="37" t="s">
        <v>28</v>
      </c>
      <c r="E45" s="37" t="s">
        <v>28</v>
      </c>
      <c r="F45" s="27" t="s">
        <v>22</v>
      </c>
      <c r="G45" s="27" t="s">
        <v>22</v>
      </c>
      <c r="H45" s="27" t="s">
        <v>22</v>
      </c>
      <c r="I45" s="27" t="s">
        <v>22</v>
      </c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39"/>
      <c r="W45" s="39"/>
      <c r="X45" s="39"/>
      <c r="Y45" s="39"/>
      <c r="Z45" s="39"/>
      <c r="AA45" s="39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1">
        <f t="shared" si="1"/>
        <v>0</v>
      </c>
      <c r="BB45" s="41">
        <f t="shared" si="2"/>
        <v>4</v>
      </c>
      <c r="BC45" s="41">
        <f t="shared" si="3"/>
        <v>2</v>
      </c>
      <c r="BD45" s="41">
        <f t="shared" si="4"/>
        <v>6</v>
      </c>
      <c r="BE45" s="42">
        <f t="shared" si="5"/>
        <v>33.33333333</v>
      </c>
    </row>
    <row r="46">
      <c r="A46" s="23">
        <v>42.0</v>
      </c>
      <c r="B46" s="24" t="s">
        <v>109</v>
      </c>
      <c r="C46" s="25" t="s">
        <v>110</v>
      </c>
      <c r="D46" s="27" t="s">
        <v>22</v>
      </c>
      <c r="E46" s="27" t="s">
        <v>22</v>
      </c>
      <c r="F46" s="27" t="s">
        <v>22</v>
      </c>
      <c r="G46" s="26" t="s">
        <v>28</v>
      </c>
      <c r="H46" s="27" t="s">
        <v>22</v>
      </c>
      <c r="I46" s="26" t="s">
        <v>28</v>
      </c>
      <c r="J46" s="26" t="s">
        <v>28</v>
      </c>
      <c r="K46" s="26" t="s">
        <v>28</v>
      </c>
      <c r="L46" s="26" t="s">
        <v>28</v>
      </c>
      <c r="M46" s="26" t="s">
        <v>28</v>
      </c>
      <c r="N46" s="26" t="s">
        <v>28</v>
      </c>
      <c r="O46" s="27" t="s">
        <v>22</v>
      </c>
      <c r="P46" s="28"/>
      <c r="Q46" s="28"/>
      <c r="R46" s="28"/>
      <c r="S46" s="28"/>
      <c r="T46" s="28"/>
      <c r="U46" s="29"/>
      <c r="V46" s="29"/>
      <c r="W46" s="29"/>
      <c r="X46" s="29"/>
      <c r="Y46" s="29"/>
      <c r="Z46" s="29"/>
      <c r="AA46" s="29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2">
        <f t="shared" si="1"/>
        <v>0</v>
      </c>
      <c r="BB46" s="32">
        <f t="shared" si="2"/>
        <v>5</v>
      </c>
      <c r="BC46" s="32">
        <f t="shared" si="3"/>
        <v>7</v>
      </c>
      <c r="BD46" s="32">
        <f t="shared" si="4"/>
        <v>12</v>
      </c>
      <c r="BE46" s="33">
        <f t="shared" si="5"/>
        <v>58.33333333</v>
      </c>
    </row>
    <row r="47">
      <c r="A47" s="23">
        <v>43.0</v>
      </c>
      <c r="B47" s="24" t="s">
        <v>111</v>
      </c>
      <c r="C47" s="25" t="s">
        <v>112</v>
      </c>
      <c r="D47" s="26" t="s">
        <v>28</v>
      </c>
      <c r="E47" s="26" t="s">
        <v>28</v>
      </c>
      <c r="F47" s="26" t="s">
        <v>28</v>
      </c>
      <c r="G47" s="26" t="s">
        <v>28</v>
      </c>
      <c r="H47" s="26" t="s">
        <v>28</v>
      </c>
      <c r="I47" s="26" t="s">
        <v>28</v>
      </c>
      <c r="J47" s="26" t="s">
        <v>28</v>
      </c>
      <c r="K47" s="26" t="s">
        <v>28</v>
      </c>
      <c r="L47" s="26" t="s">
        <v>28</v>
      </c>
      <c r="M47" s="26" t="s">
        <v>28</v>
      </c>
      <c r="N47" s="26" t="s">
        <v>28</v>
      </c>
      <c r="O47" s="26" t="s">
        <v>28</v>
      </c>
      <c r="P47" s="31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2">
        <f t="shared" si="1"/>
        <v>0</v>
      </c>
      <c r="BB47" s="32">
        <f t="shared" si="2"/>
        <v>0</v>
      </c>
      <c r="BC47" s="32">
        <f t="shared" si="3"/>
        <v>12</v>
      </c>
      <c r="BD47" s="32">
        <f t="shared" si="4"/>
        <v>12</v>
      </c>
      <c r="BE47" s="33">
        <f t="shared" si="5"/>
        <v>100</v>
      </c>
    </row>
    <row r="48">
      <c r="A48" s="23">
        <v>44.0</v>
      </c>
      <c r="B48" s="24" t="s">
        <v>113</v>
      </c>
      <c r="C48" s="25" t="s">
        <v>114</v>
      </c>
      <c r="D48" s="26" t="s">
        <v>28</v>
      </c>
      <c r="E48" s="26" t="s">
        <v>28</v>
      </c>
      <c r="F48" s="26" t="s">
        <v>28</v>
      </c>
      <c r="G48" s="26" t="s">
        <v>28</v>
      </c>
      <c r="H48" s="26" t="s">
        <v>28</v>
      </c>
      <c r="I48" s="26" t="s">
        <v>28</v>
      </c>
      <c r="J48" s="26" t="s">
        <v>28</v>
      </c>
      <c r="K48" s="26" t="s">
        <v>28</v>
      </c>
      <c r="L48" s="26" t="s">
        <v>28</v>
      </c>
      <c r="M48" s="26" t="s">
        <v>28</v>
      </c>
      <c r="N48" s="26" t="s">
        <v>28</v>
      </c>
      <c r="O48" s="26" t="s">
        <v>28</v>
      </c>
      <c r="P48" s="28"/>
      <c r="Q48" s="28"/>
      <c r="R48" s="28"/>
      <c r="S48" s="28"/>
      <c r="T48" s="28"/>
      <c r="U48" s="29"/>
      <c r="V48" s="29"/>
      <c r="W48" s="29"/>
      <c r="X48" s="29"/>
      <c r="Y48" s="29"/>
      <c r="Z48" s="29"/>
      <c r="AA48" s="29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2">
        <f t="shared" si="1"/>
        <v>0</v>
      </c>
      <c r="BB48" s="32">
        <f t="shared" si="2"/>
        <v>0</v>
      </c>
      <c r="BC48" s="32">
        <f t="shared" si="3"/>
        <v>12</v>
      </c>
      <c r="BD48" s="32">
        <f t="shared" si="4"/>
        <v>12</v>
      </c>
      <c r="BE48" s="33">
        <f t="shared" si="5"/>
        <v>100</v>
      </c>
    </row>
    <row r="49">
      <c r="A49" s="23">
        <v>45.0</v>
      </c>
      <c r="B49" s="24" t="s">
        <v>115</v>
      </c>
      <c r="C49" s="25" t="s">
        <v>116</v>
      </c>
      <c r="D49" s="26" t="s">
        <v>28</v>
      </c>
      <c r="E49" s="27" t="s">
        <v>22</v>
      </c>
      <c r="F49" s="27" t="s">
        <v>22</v>
      </c>
      <c r="G49" s="26" t="s">
        <v>28</v>
      </c>
      <c r="H49" s="27" t="s">
        <v>22</v>
      </c>
      <c r="I49" s="26" t="s">
        <v>28</v>
      </c>
      <c r="J49" s="26" t="s">
        <v>28</v>
      </c>
      <c r="K49" s="27" t="s">
        <v>22</v>
      </c>
      <c r="L49" s="26" t="s">
        <v>28</v>
      </c>
      <c r="M49" s="27" t="s">
        <v>22</v>
      </c>
      <c r="N49" s="26" t="s">
        <v>28</v>
      </c>
      <c r="O49" s="26" t="s">
        <v>28</v>
      </c>
      <c r="P49" s="28"/>
      <c r="Q49" s="28"/>
      <c r="R49" s="28"/>
      <c r="S49" s="28"/>
      <c r="T49" s="28"/>
      <c r="U49" s="29"/>
      <c r="V49" s="29"/>
      <c r="W49" s="29"/>
      <c r="X49" s="29"/>
      <c r="Y49" s="29"/>
      <c r="Z49" s="29"/>
      <c r="AA49" s="29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2">
        <f t="shared" si="1"/>
        <v>0</v>
      </c>
      <c r="BB49" s="32">
        <f t="shared" si="2"/>
        <v>5</v>
      </c>
      <c r="BC49" s="32">
        <f t="shared" si="3"/>
        <v>7</v>
      </c>
      <c r="BD49" s="32">
        <f t="shared" si="4"/>
        <v>12</v>
      </c>
      <c r="BE49" s="33">
        <f t="shared" si="5"/>
        <v>58.33333333</v>
      </c>
    </row>
    <row r="50">
      <c r="A50" s="23">
        <v>46.0</v>
      </c>
      <c r="B50" s="24" t="s">
        <v>117</v>
      </c>
      <c r="C50" s="25" t="s">
        <v>118</v>
      </c>
      <c r="D50" s="26" t="s">
        <v>28</v>
      </c>
      <c r="E50" s="26" t="s">
        <v>28</v>
      </c>
      <c r="F50" s="26" t="s">
        <v>28</v>
      </c>
      <c r="G50" s="26" t="s">
        <v>28</v>
      </c>
      <c r="H50" s="26" t="s">
        <v>28</v>
      </c>
      <c r="I50" s="26" t="s">
        <v>28</v>
      </c>
      <c r="J50" s="26" t="s">
        <v>28</v>
      </c>
      <c r="K50" s="26" t="s">
        <v>28</v>
      </c>
      <c r="L50" s="27" t="s">
        <v>22</v>
      </c>
      <c r="M50" s="27" t="s">
        <v>22</v>
      </c>
      <c r="N50" s="26" t="s">
        <v>28</v>
      </c>
      <c r="O50" s="26" t="s">
        <v>28</v>
      </c>
      <c r="P50" s="28"/>
      <c r="Q50" s="28"/>
      <c r="R50" s="28"/>
      <c r="S50" s="28"/>
      <c r="T50" s="28"/>
      <c r="U50" s="29"/>
      <c r="V50" s="29"/>
      <c r="W50" s="29"/>
      <c r="X50" s="29"/>
      <c r="Y50" s="29"/>
      <c r="Z50" s="29"/>
      <c r="AA50" s="29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2">
        <f t="shared" si="1"/>
        <v>0</v>
      </c>
      <c r="BB50" s="32">
        <f t="shared" si="2"/>
        <v>2</v>
      </c>
      <c r="BC50" s="32">
        <f t="shared" si="3"/>
        <v>10</v>
      </c>
      <c r="BD50" s="32">
        <f t="shared" si="4"/>
        <v>12</v>
      </c>
      <c r="BE50" s="33">
        <f t="shared" si="5"/>
        <v>83.33333333</v>
      </c>
    </row>
    <row r="51">
      <c r="A51" s="23">
        <v>47.0</v>
      </c>
      <c r="B51" s="35" t="s">
        <v>119</v>
      </c>
      <c r="C51" s="36" t="s">
        <v>120</v>
      </c>
      <c r="D51" s="37" t="s">
        <v>28</v>
      </c>
      <c r="E51" s="37" t="s">
        <v>28</v>
      </c>
      <c r="F51" s="27" t="s">
        <v>22</v>
      </c>
      <c r="G51" s="27" t="s">
        <v>22</v>
      </c>
      <c r="H51" s="27" t="s">
        <v>22</v>
      </c>
      <c r="I51" s="27" t="s">
        <v>22</v>
      </c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39"/>
      <c r="W51" s="39"/>
      <c r="X51" s="39"/>
      <c r="Y51" s="39"/>
      <c r="Z51" s="39"/>
      <c r="AA51" s="39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1">
        <f t="shared" si="1"/>
        <v>0</v>
      </c>
      <c r="BB51" s="41">
        <f t="shared" si="2"/>
        <v>4</v>
      </c>
      <c r="BC51" s="41">
        <f t="shared" si="3"/>
        <v>2</v>
      </c>
      <c r="BD51" s="41">
        <f t="shared" si="4"/>
        <v>6</v>
      </c>
      <c r="BE51" s="42">
        <f t="shared" si="5"/>
        <v>33.33333333</v>
      </c>
    </row>
    <row r="52">
      <c r="A52" s="23">
        <v>48.0</v>
      </c>
      <c r="B52" s="24" t="s">
        <v>121</v>
      </c>
      <c r="C52" s="25" t="s">
        <v>122</v>
      </c>
      <c r="D52" s="26" t="s">
        <v>28</v>
      </c>
      <c r="E52" s="26" t="s">
        <v>28</v>
      </c>
      <c r="F52" s="26" t="s">
        <v>28</v>
      </c>
      <c r="G52" s="26" t="s">
        <v>28</v>
      </c>
      <c r="H52" s="26" t="s">
        <v>28</v>
      </c>
      <c r="I52" s="26" t="s">
        <v>28</v>
      </c>
      <c r="J52" s="26" t="s">
        <v>28</v>
      </c>
      <c r="K52" s="26" t="s">
        <v>28</v>
      </c>
      <c r="L52" s="26" t="s">
        <v>28</v>
      </c>
      <c r="M52" s="26" t="s">
        <v>28</v>
      </c>
      <c r="N52" s="26" t="s">
        <v>28</v>
      </c>
      <c r="O52" s="26" t="s">
        <v>28</v>
      </c>
      <c r="P52" s="28"/>
      <c r="Q52" s="28"/>
      <c r="R52" s="28"/>
      <c r="S52" s="28"/>
      <c r="T52" s="28"/>
      <c r="U52" s="29"/>
      <c r="V52" s="29"/>
      <c r="W52" s="29"/>
      <c r="X52" s="29"/>
      <c r="Y52" s="29"/>
      <c r="Z52" s="29"/>
      <c r="AA52" s="29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2">
        <f t="shared" si="1"/>
        <v>0</v>
      </c>
      <c r="BB52" s="32">
        <f t="shared" si="2"/>
        <v>0</v>
      </c>
      <c r="BC52" s="32">
        <f t="shared" si="3"/>
        <v>12</v>
      </c>
      <c r="BD52" s="32">
        <f t="shared" si="4"/>
        <v>12</v>
      </c>
      <c r="BE52" s="33">
        <f t="shared" si="5"/>
        <v>100</v>
      </c>
    </row>
    <row r="53">
      <c r="A53" s="23">
        <v>49.0</v>
      </c>
      <c r="B53" s="24" t="s">
        <v>123</v>
      </c>
      <c r="C53" s="25" t="s">
        <v>124</v>
      </c>
      <c r="D53" s="26" t="s">
        <v>28</v>
      </c>
      <c r="E53" s="26" t="s">
        <v>28</v>
      </c>
      <c r="F53" s="26" t="s">
        <v>28</v>
      </c>
      <c r="G53" s="26" t="s">
        <v>28</v>
      </c>
      <c r="H53" s="26" t="s">
        <v>28</v>
      </c>
      <c r="I53" s="26" t="s">
        <v>28</v>
      </c>
      <c r="J53" s="27" t="s">
        <v>22</v>
      </c>
      <c r="K53" s="26" t="s">
        <v>28</v>
      </c>
      <c r="L53" s="26" t="s">
        <v>28</v>
      </c>
      <c r="M53" s="26" t="s">
        <v>28</v>
      </c>
      <c r="N53" s="26" t="s">
        <v>28</v>
      </c>
      <c r="O53" s="26" t="s">
        <v>28</v>
      </c>
      <c r="P53" s="28"/>
      <c r="Q53" s="28"/>
      <c r="R53" s="28"/>
      <c r="S53" s="28"/>
      <c r="T53" s="28"/>
      <c r="U53" s="29"/>
      <c r="V53" s="29"/>
      <c r="W53" s="29"/>
      <c r="X53" s="29"/>
      <c r="Y53" s="29"/>
      <c r="Z53" s="29"/>
      <c r="AA53" s="29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2">
        <f t="shared" si="1"/>
        <v>0</v>
      </c>
      <c r="BB53" s="32">
        <f t="shared" si="2"/>
        <v>1</v>
      </c>
      <c r="BC53" s="32">
        <f t="shared" si="3"/>
        <v>11</v>
      </c>
      <c r="BD53" s="32">
        <f t="shared" si="4"/>
        <v>12</v>
      </c>
      <c r="BE53" s="33">
        <f t="shared" si="5"/>
        <v>91.66666667</v>
      </c>
    </row>
    <row r="54">
      <c r="A54" s="23">
        <v>50.0</v>
      </c>
      <c r="B54" s="24" t="s">
        <v>125</v>
      </c>
      <c r="C54" s="25" t="s">
        <v>126</v>
      </c>
      <c r="D54" s="26" t="s">
        <v>28</v>
      </c>
      <c r="E54" s="26" t="s">
        <v>28</v>
      </c>
      <c r="F54" s="26" t="s">
        <v>28</v>
      </c>
      <c r="G54" s="26" t="s">
        <v>28</v>
      </c>
      <c r="H54" s="26" t="s">
        <v>28</v>
      </c>
      <c r="I54" s="26" t="s">
        <v>28</v>
      </c>
      <c r="J54" s="26" t="s">
        <v>28</v>
      </c>
      <c r="K54" s="26" t="s">
        <v>28</v>
      </c>
      <c r="L54" s="26" t="s">
        <v>28</v>
      </c>
      <c r="M54" s="26" t="s">
        <v>28</v>
      </c>
      <c r="N54" s="26" t="s">
        <v>28</v>
      </c>
      <c r="O54" s="26" t="s">
        <v>28</v>
      </c>
      <c r="P54" s="28"/>
      <c r="Q54" s="28"/>
      <c r="R54" s="28"/>
      <c r="S54" s="28"/>
      <c r="T54" s="28"/>
      <c r="U54" s="29"/>
      <c r="V54" s="29"/>
      <c r="W54" s="29"/>
      <c r="X54" s="29"/>
      <c r="Y54" s="29"/>
      <c r="Z54" s="29"/>
      <c r="AA54" s="29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2">
        <f t="shared" si="1"/>
        <v>0</v>
      </c>
      <c r="BB54" s="32">
        <f t="shared" si="2"/>
        <v>0</v>
      </c>
      <c r="BC54" s="32">
        <f t="shared" si="3"/>
        <v>12</v>
      </c>
      <c r="BD54" s="32">
        <f t="shared" si="4"/>
        <v>12</v>
      </c>
      <c r="BE54" s="33">
        <f t="shared" si="5"/>
        <v>100</v>
      </c>
    </row>
    <row r="55">
      <c r="A55" s="23">
        <v>51.0</v>
      </c>
      <c r="B55" s="24" t="s">
        <v>127</v>
      </c>
      <c r="C55" s="25" t="s">
        <v>128</v>
      </c>
      <c r="D55" s="26" t="s">
        <v>28</v>
      </c>
      <c r="E55" s="26" t="s">
        <v>28</v>
      </c>
      <c r="F55" s="26" t="s">
        <v>28</v>
      </c>
      <c r="G55" s="26" t="s">
        <v>28</v>
      </c>
      <c r="H55" s="26" t="s">
        <v>28</v>
      </c>
      <c r="I55" s="26" t="s">
        <v>28</v>
      </c>
      <c r="J55" s="26" t="s">
        <v>28</v>
      </c>
      <c r="K55" s="26" t="s">
        <v>28</v>
      </c>
      <c r="L55" s="26" t="s">
        <v>28</v>
      </c>
      <c r="M55" s="26" t="s">
        <v>28</v>
      </c>
      <c r="N55" s="26" t="s">
        <v>28</v>
      </c>
      <c r="O55" s="26" t="s">
        <v>28</v>
      </c>
      <c r="P55" s="28"/>
      <c r="Q55" s="28"/>
      <c r="R55" s="28"/>
      <c r="S55" s="28"/>
      <c r="T55" s="28"/>
      <c r="U55" s="29"/>
      <c r="V55" s="29"/>
      <c r="W55" s="29"/>
      <c r="X55" s="29"/>
      <c r="Y55" s="29"/>
      <c r="Z55" s="29"/>
      <c r="AA55" s="29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2">
        <f t="shared" si="1"/>
        <v>0</v>
      </c>
      <c r="BB55" s="32">
        <f t="shared" si="2"/>
        <v>0</v>
      </c>
      <c r="BC55" s="32">
        <f t="shared" si="3"/>
        <v>12</v>
      </c>
      <c r="BD55" s="32">
        <f t="shared" si="4"/>
        <v>12</v>
      </c>
      <c r="BE55" s="33">
        <f t="shared" si="5"/>
        <v>100</v>
      </c>
    </row>
    <row r="56">
      <c r="A56" s="23">
        <v>52.0</v>
      </c>
      <c r="B56" s="24" t="s">
        <v>129</v>
      </c>
      <c r="C56" s="25" t="s">
        <v>130</v>
      </c>
      <c r="D56" s="26" t="s">
        <v>28</v>
      </c>
      <c r="E56" s="26" t="s">
        <v>28</v>
      </c>
      <c r="F56" s="26" t="s">
        <v>28</v>
      </c>
      <c r="G56" s="26" t="s">
        <v>28</v>
      </c>
      <c r="H56" s="26" t="s">
        <v>28</v>
      </c>
      <c r="I56" s="26" t="s">
        <v>28</v>
      </c>
      <c r="J56" s="26" t="s">
        <v>28</v>
      </c>
      <c r="K56" s="26" t="s">
        <v>28</v>
      </c>
      <c r="L56" s="26" t="s">
        <v>28</v>
      </c>
      <c r="M56" s="26" t="s">
        <v>28</v>
      </c>
      <c r="N56" s="26" t="s">
        <v>28</v>
      </c>
      <c r="O56" s="26" t="s">
        <v>28</v>
      </c>
      <c r="P56" s="28"/>
      <c r="Q56" s="28"/>
      <c r="R56" s="28"/>
      <c r="S56" s="28"/>
      <c r="T56" s="28"/>
      <c r="U56" s="29"/>
      <c r="V56" s="29"/>
      <c r="W56" s="29"/>
      <c r="X56" s="29"/>
      <c r="Y56" s="29"/>
      <c r="Z56" s="29"/>
      <c r="AA56" s="29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2">
        <f t="shared" si="1"/>
        <v>0</v>
      </c>
      <c r="BB56" s="32">
        <f t="shared" si="2"/>
        <v>0</v>
      </c>
      <c r="BC56" s="32">
        <f t="shared" si="3"/>
        <v>12</v>
      </c>
      <c r="BD56" s="32">
        <f t="shared" si="4"/>
        <v>12</v>
      </c>
      <c r="BE56" s="33">
        <f t="shared" si="5"/>
        <v>100</v>
      </c>
    </row>
    <row r="57">
      <c r="A57" s="23">
        <v>53.0</v>
      </c>
      <c r="B57" s="24" t="s">
        <v>131</v>
      </c>
      <c r="C57" s="25" t="s">
        <v>132</v>
      </c>
      <c r="D57" s="26" t="s">
        <v>28</v>
      </c>
      <c r="E57" s="26" t="s">
        <v>28</v>
      </c>
      <c r="F57" s="26" t="s">
        <v>28</v>
      </c>
      <c r="G57" s="26" t="s">
        <v>28</v>
      </c>
      <c r="H57" s="26" t="s">
        <v>28</v>
      </c>
      <c r="I57" s="26" t="s">
        <v>28</v>
      </c>
      <c r="J57" s="26" t="s">
        <v>28</v>
      </c>
      <c r="K57" s="26" t="s">
        <v>28</v>
      </c>
      <c r="L57" s="26" t="s">
        <v>28</v>
      </c>
      <c r="M57" s="26" t="s">
        <v>28</v>
      </c>
      <c r="N57" s="26" t="s">
        <v>28</v>
      </c>
      <c r="O57" s="26" t="s">
        <v>28</v>
      </c>
      <c r="P57" s="28"/>
      <c r="Q57" s="30"/>
      <c r="R57" s="28"/>
      <c r="S57" s="28"/>
      <c r="T57" s="28"/>
      <c r="U57" s="29"/>
      <c r="V57" s="29"/>
      <c r="W57" s="29"/>
      <c r="X57" s="29"/>
      <c r="Y57" s="29"/>
      <c r="Z57" s="29"/>
      <c r="AA57" s="29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2">
        <f t="shared" si="1"/>
        <v>0</v>
      </c>
      <c r="BB57" s="32">
        <f t="shared" si="2"/>
        <v>0</v>
      </c>
      <c r="BC57" s="32">
        <f t="shared" si="3"/>
        <v>12</v>
      </c>
      <c r="BD57" s="32">
        <f t="shared" si="4"/>
        <v>12</v>
      </c>
      <c r="BE57" s="33">
        <f t="shared" si="5"/>
        <v>100</v>
      </c>
    </row>
    <row r="58">
      <c r="A58" s="23">
        <v>54.0</v>
      </c>
      <c r="B58" s="24" t="s">
        <v>133</v>
      </c>
      <c r="C58" s="25" t="s">
        <v>134</v>
      </c>
      <c r="D58" s="26" t="s">
        <v>28</v>
      </c>
      <c r="E58" s="26" t="s">
        <v>28</v>
      </c>
      <c r="F58" s="26" t="s">
        <v>28</v>
      </c>
      <c r="G58" s="26" t="s">
        <v>28</v>
      </c>
      <c r="H58" s="26" t="s">
        <v>28</v>
      </c>
      <c r="I58" s="26" t="s">
        <v>28</v>
      </c>
      <c r="J58" s="26" t="s">
        <v>28</v>
      </c>
      <c r="K58" s="26" t="s">
        <v>28</v>
      </c>
      <c r="L58" s="26" t="s">
        <v>28</v>
      </c>
      <c r="M58" s="26" t="s">
        <v>28</v>
      </c>
      <c r="N58" s="26" t="s">
        <v>28</v>
      </c>
      <c r="O58" s="26" t="s">
        <v>28</v>
      </c>
      <c r="P58" s="28"/>
      <c r="Q58" s="28"/>
      <c r="R58" s="28"/>
      <c r="S58" s="28"/>
      <c r="T58" s="28"/>
      <c r="U58" s="29"/>
      <c r="V58" s="29"/>
      <c r="W58" s="29"/>
      <c r="X58" s="29"/>
      <c r="Y58" s="29"/>
      <c r="Z58" s="29"/>
      <c r="AA58" s="29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2">
        <f t="shared" si="1"/>
        <v>0</v>
      </c>
      <c r="BB58" s="32">
        <f t="shared" si="2"/>
        <v>0</v>
      </c>
      <c r="BC58" s="32">
        <f t="shared" si="3"/>
        <v>12</v>
      </c>
      <c r="BD58" s="32">
        <f t="shared" si="4"/>
        <v>12</v>
      </c>
      <c r="BE58" s="33">
        <f t="shared" si="5"/>
        <v>100</v>
      </c>
    </row>
    <row r="59">
      <c r="A59" s="23">
        <v>55.0</v>
      </c>
      <c r="B59" s="24" t="s">
        <v>135</v>
      </c>
      <c r="C59" s="25" t="s">
        <v>136</v>
      </c>
      <c r="D59" s="26" t="s">
        <v>28</v>
      </c>
      <c r="E59" s="26" t="s">
        <v>28</v>
      </c>
      <c r="F59" s="26" t="s">
        <v>28</v>
      </c>
      <c r="G59" s="26" t="s">
        <v>28</v>
      </c>
      <c r="H59" s="26" t="s">
        <v>28</v>
      </c>
      <c r="I59" s="27" t="s">
        <v>22</v>
      </c>
      <c r="J59" s="26" t="s">
        <v>28</v>
      </c>
      <c r="K59" s="26" t="s">
        <v>28</v>
      </c>
      <c r="L59" s="26" t="s">
        <v>28</v>
      </c>
      <c r="M59" s="26" t="s">
        <v>28</v>
      </c>
      <c r="N59" s="26" t="s">
        <v>28</v>
      </c>
      <c r="O59" s="26" t="s">
        <v>28</v>
      </c>
      <c r="P59" s="28"/>
      <c r="Q59" s="28"/>
      <c r="R59" s="28"/>
      <c r="S59" s="28"/>
      <c r="T59" s="28"/>
      <c r="U59" s="29"/>
      <c r="V59" s="29"/>
      <c r="W59" s="29"/>
      <c r="X59" s="29"/>
      <c r="Y59" s="29"/>
      <c r="Z59" s="29"/>
      <c r="AA59" s="29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2">
        <f t="shared" si="1"/>
        <v>0</v>
      </c>
      <c r="BB59" s="32">
        <f t="shared" si="2"/>
        <v>1</v>
      </c>
      <c r="BC59" s="32">
        <f t="shared" si="3"/>
        <v>11</v>
      </c>
      <c r="BD59" s="32">
        <f t="shared" si="4"/>
        <v>12</v>
      </c>
      <c r="BE59" s="33">
        <f t="shared" si="5"/>
        <v>91.66666667</v>
      </c>
    </row>
    <row r="60">
      <c r="A60" s="23">
        <v>56.0</v>
      </c>
      <c r="B60" s="24" t="s">
        <v>137</v>
      </c>
      <c r="C60" s="25" t="s">
        <v>138</v>
      </c>
      <c r="D60" s="26" t="s">
        <v>28</v>
      </c>
      <c r="E60" s="27" t="s">
        <v>22</v>
      </c>
      <c r="F60" s="26" t="s">
        <v>28</v>
      </c>
      <c r="G60" s="26" t="s">
        <v>28</v>
      </c>
      <c r="H60" s="26" t="s">
        <v>28</v>
      </c>
      <c r="I60" s="26" t="s">
        <v>28</v>
      </c>
      <c r="J60" s="26" t="s">
        <v>28</v>
      </c>
      <c r="K60" s="26" t="s">
        <v>28</v>
      </c>
      <c r="L60" s="26" t="s">
        <v>28</v>
      </c>
      <c r="M60" s="26" t="s">
        <v>28</v>
      </c>
      <c r="N60" s="26" t="s">
        <v>28</v>
      </c>
      <c r="O60" s="26" t="s">
        <v>28</v>
      </c>
      <c r="P60" s="30"/>
      <c r="Q60" s="30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2">
        <f t="shared" si="1"/>
        <v>0</v>
      </c>
      <c r="BB60" s="32">
        <f t="shared" si="2"/>
        <v>1</v>
      </c>
      <c r="BC60" s="32">
        <f t="shared" si="3"/>
        <v>11</v>
      </c>
      <c r="BD60" s="32">
        <f t="shared" si="4"/>
        <v>12</v>
      </c>
      <c r="BE60" s="33">
        <f t="shared" si="5"/>
        <v>91.66666667</v>
      </c>
    </row>
    <row r="61">
      <c r="A61" s="23">
        <v>57.0</v>
      </c>
      <c r="B61" s="24" t="s">
        <v>139</v>
      </c>
      <c r="C61" s="25" t="s">
        <v>140</v>
      </c>
      <c r="D61" s="26" t="s">
        <v>28</v>
      </c>
      <c r="E61" s="26" t="s">
        <v>28</v>
      </c>
      <c r="F61" s="26" t="s">
        <v>28</v>
      </c>
      <c r="G61" s="26" t="s">
        <v>28</v>
      </c>
      <c r="H61" s="26" t="s">
        <v>28</v>
      </c>
      <c r="I61" s="26" t="s">
        <v>28</v>
      </c>
      <c r="J61" s="26" t="s">
        <v>28</v>
      </c>
      <c r="K61" s="26" t="s">
        <v>28</v>
      </c>
      <c r="L61" s="26" t="s">
        <v>28</v>
      </c>
      <c r="M61" s="26" t="s">
        <v>28</v>
      </c>
      <c r="N61" s="26" t="s">
        <v>28</v>
      </c>
      <c r="O61" s="26" t="s">
        <v>28</v>
      </c>
      <c r="P61" s="31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2">
        <f t="shared" si="1"/>
        <v>0</v>
      </c>
      <c r="BB61" s="32">
        <f t="shared" si="2"/>
        <v>0</v>
      </c>
      <c r="BC61" s="32">
        <f t="shared" si="3"/>
        <v>12</v>
      </c>
      <c r="BD61" s="32">
        <f t="shared" si="4"/>
        <v>12</v>
      </c>
      <c r="BE61" s="33">
        <f t="shared" si="5"/>
        <v>100</v>
      </c>
    </row>
    <row r="62">
      <c r="A62" s="23">
        <v>58.0</v>
      </c>
      <c r="B62" s="24" t="s">
        <v>141</v>
      </c>
      <c r="C62" s="25" t="s">
        <v>142</v>
      </c>
      <c r="D62" s="26" t="s">
        <v>28</v>
      </c>
      <c r="E62" s="27" t="s">
        <v>22</v>
      </c>
      <c r="F62" s="27" t="s">
        <v>22</v>
      </c>
      <c r="G62" s="26" t="s">
        <v>28</v>
      </c>
      <c r="H62" s="26" t="s">
        <v>28</v>
      </c>
      <c r="I62" s="26" t="s">
        <v>28</v>
      </c>
      <c r="J62" s="26" t="s">
        <v>28</v>
      </c>
      <c r="K62" s="26" t="s">
        <v>28</v>
      </c>
      <c r="L62" s="26" t="s">
        <v>28</v>
      </c>
      <c r="M62" s="26" t="s">
        <v>28</v>
      </c>
      <c r="N62" s="26" t="s">
        <v>28</v>
      </c>
      <c r="O62" s="26" t="s">
        <v>28</v>
      </c>
      <c r="P62" s="28"/>
      <c r="Q62" s="28"/>
      <c r="R62" s="28"/>
      <c r="S62" s="28"/>
      <c r="T62" s="28"/>
      <c r="U62" s="29"/>
      <c r="V62" s="29"/>
      <c r="W62" s="29"/>
      <c r="X62" s="29"/>
      <c r="Y62" s="29"/>
      <c r="Z62" s="29"/>
      <c r="AA62" s="29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2">
        <f t="shared" si="1"/>
        <v>0</v>
      </c>
      <c r="BB62" s="32">
        <f t="shared" si="2"/>
        <v>2</v>
      </c>
      <c r="BC62" s="32">
        <f t="shared" si="3"/>
        <v>10</v>
      </c>
      <c r="BD62" s="32">
        <f t="shared" si="4"/>
        <v>12</v>
      </c>
      <c r="BE62" s="33">
        <f t="shared" si="5"/>
        <v>83.33333333</v>
      </c>
    </row>
    <row r="63">
      <c r="A63" s="23">
        <v>59.0</v>
      </c>
      <c r="B63" s="24" t="s">
        <v>143</v>
      </c>
      <c r="C63" s="25" t="s">
        <v>144</v>
      </c>
      <c r="D63" s="26" t="s">
        <v>28</v>
      </c>
      <c r="E63" s="27" t="s">
        <v>22</v>
      </c>
      <c r="F63" s="26" t="s">
        <v>28</v>
      </c>
      <c r="G63" s="26" t="s">
        <v>28</v>
      </c>
      <c r="H63" s="26" t="s">
        <v>28</v>
      </c>
      <c r="I63" s="26" t="s">
        <v>28</v>
      </c>
      <c r="J63" s="26" t="s">
        <v>28</v>
      </c>
      <c r="K63" s="26" t="s">
        <v>28</v>
      </c>
      <c r="L63" s="26" t="s">
        <v>28</v>
      </c>
      <c r="M63" s="26" t="s">
        <v>28</v>
      </c>
      <c r="N63" s="26" t="s">
        <v>28</v>
      </c>
      <c r="O63" s="26" t="s">
        <v>28</v>
      </c>
      <c r="P63" s="28"/>
      <c r="Q63" s="28"/>
      <c r="R63" s="28"/>
      <c r="S63" s="28"/>
      <c r="T63" s="28"/>
      <c r="U63" s="29"/>
      <c r="V63" s="29"/>
      <c r="W63" s="29"/>
      <c r="X63" s="29"/>
      <c r="Y63" s="29"/>
      <c r="Z63" s="29"/>
      <c r="AA63" s="29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2">
        <f t="shared" si="1"/>
        <v>0</v>
      </c>
      <c r="BB63" s="32">
        <f t="shared" si="2"/>
        <v>1</v>
      </c>
      <c r="BC63" s="32">
        <f t="shared" si="3"/>
        <v>11</v>
      </c>
      <c r="BD63" s="32">
        <f t="shared" si="4"/>
        <v>12</v>
      </c>
      <c r="BE63" s="33">
        <f t="shared" si="5"/>
        <v>91.66666667</v>
      </c>
    </row>
    <row r="64">
      <c r="A64" s="23">
        <v>60.0</v>
      </c>
      <c r="B64" s="24" t="s">
        <v>145</v>
      </c>
      <c r="C64" s="25" t="s">
        <v>146</v>
      </c>
      <c r="D64" s="26" t="s">
        <v>28</v>
      </c>
      <c r="E64" s="26" t="s">
        <v>28</v>
      </c>
      <c r="F64" s="26" t="s">
        <v>28</v>
      </c>
      <c r="G64" s="26" t="s">
        <v>28</v>
      </c>
      <c r="H64" s="26" t="s">
        <v>28</v>
      </c>
      <c r="I64" s="26" t="s">
        <v>28</v>
      </c>
      <c r="J64" s="26" t="s">
        <v>28</v>
      </c>
      <c r="K64" s="26" t="s">
        <v>28</v>
      </c>
      <c r="L64" s="26" t="s">
        <v>28</v>
      </c>
      <c r="M64" s="26" t="s">
        <v>28</v>
      </c>
      <c r="N64" s="26" t="s">
        <v>28</v>
      </c>
      <c r="O64" s="26" t="s">
        <v>28</v>
      </c>
      <c r="P64" s="30"/>
      <c r="Q64" s="28"/>
      <c r="R64" s="28"/>
      <c r="S64" s="28"/>
      <c r="T64" s="28"/>
      <c r="U64" s="29"/>
      <c r="V64" s="29"/>
      <c r="W64" s="29"/>
      <c r="X64" s="29"/>
      <c r="Y64" s="29"/>
      <c r="Z64" s="29"/>
      <c r="AA64" s="29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2">
        <f t="shared" si="1"/>
        <v>0</v>
      </c>
      <c r="BB64" s="32">
        <f t="shared" si="2"/>
        <v>0</v>
      </c>
      <c r="BC64" s="32">
        <f t="shared" si="3"/>
        <v>12</v>
      </c>
      <c r="BD64" s="32">
        <f t="shared" si="4"/>
        <v>12</v>
      </c>
      <c r="BE64" s="33">
        <f t="shared" si="5"/>
        <v>100</v>
      </c>
    </row>
    <row r="65">
      <c r="A65" s="23">
        <v>61.0</v>
      </c>
      <c r="B65" s="24" t="s">
        <v>147</v>
      </c>
      <c r="C65" s="25" t="s">
        <v>148</v>
      </c>
      <c r="D65" s="26" t="s">
        <v>28</v>
      </c>
      <c r="E65" s="26" t="s">
        <v>28</v>
      </c>
      <c r="F65" s="26" t="s">
        <v>28</v>
      </c>
      <c r="G65" s="26" t="s">
        <v>28</v>
      </c>
      <c r="H65" s="26" t="s">
        <v>28</v>
      </c>
      <c r="I65" s="26" t="s">
        <v>28</v>
      </c>
      <c r="J65" s="26" t="s">
        <v>28</v>
      </c>
      <c r="K65" s="27" t="s">
        <v>22</v>
      </c>
      <c r="L65" s="27" t="s">
        <v>22</v>
      </c>
      <c r="M65" s="27" t="s">
        <v>22</v>
      </c>
      <c r="N65" s="27" t="s">
        <v>22</v>
      </c>
      <c r="O65" s="26" t="s">
        <v>28</v>
      </c>
      <c r="P65" s="31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2">
        <f t="shared" si="1"/>
        <v>0</v>
      </c>
      <c r="BB65" s="32">
        <f t="shared" si="2"/>
        <v>4</v>
      </c>
      <c r="BC65" s="32">
        <f t="shared" si="3"/>
        <v>8</v>
      </c>
      <c r="BD65" s="32">
        <f t="shared" si="4"/>
        <v>12</v>
      </c>
      <c r="BE65" s="33">
        <f t="shared" si="5"/>
        <v>66.66666667</v>
      </c>
    </row>
    <row r="66">
      <c r="A66" s="23">
        <v>62.0</v>
      </c>
      <c r="B66" s="24" t="s">
        <v>149</v>
      </c>
      <c r="C66" s="25" t="s">
        <v>150</v>
      </c>
      <c r="D66" s="26" t="s">
        <v>28</v>
      </c>
      <c r="E66" s="26" t="s">
        <v>28</v>
      </c>
      <c r="F66" s="26" t="s">
        <v>28</v>
      </c>
      <c r="G66" s="26" t="s">
        <v>28</v>
      </c>
      <c r="H66" s="26" t="s">
        <v>28</v>
      </c>
      <c r="I66" s="26" t="s">
        <v>28</v>
      </c>
      <c r="J66" s="26" t="s">
        <v>28</v>
      </c>
      <c r="K66" s="26" t="s">
        <v>28</v>
      </c>
      <c r="L66" s="26" t="s">
        <v>28</v>
      </c>
      <c r="M66" s="26" t="s">
        <v>28</v>
      </c>
      <c r="N66" s="26" t="s">
        <v>28</v>
      </c>
      <c r="O66" s="26" t="s">
        <v>28</v>
      </c>
      <c r="P66" s="28"/>
      <c r="Q66" s="28"/>
      <c r="R66" s="28"/>
      <c r="S66" s="28"/>
      <c r="T66" s="30"/>
      <c r="U66" s="29"/>
      <c r="V66" s="29"/>
      <c r="W66" s="29"/>
      <c r="X66" s="29"/>
      <c r="Y66" s="29"/>
      <c r="Z66" s="29"/>
      <c r="AA66" s="29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2">
        <f t="shared" si="1"/>
        <v>0</v>
      </c>
      <c r="BB66" s="32">
        <f t="shared" si="2"/>
        <v>0</v>
      </c>
      <c r="BC66" s="32">
        <f t="shared" si="3"/>
        <v>12</v>
      </c>
      <c r="BD66" s="32">
        <f t="shared" si="4"/>
        <v>12</v>
      </c>
      <c r="BE66" s="33">
        <f t="shared" si="5"/>
        <v>100</v>
      </c>
    </row>
    <row r="67">
      <c r="A67" s="23">
        <v>63.0</v>
      </c>
      <c r="B67" s="24" t="s">
        <v>151</v>
      </c>
      <c r="C67" s="25" t="s">
        <v>152</v>
      </c>
      <c r="D67" s="26" t="s">
        <v>28</v>
      </c>
      <c r="E67" s="26" t="s">
        <v>28</v>
      </c>
      <c r="F67" s="26" t="s">
        <v>28</v>
      </c>
      <c r="G67" s="26" t="s">
        <v>28</v>
      </c>
      <c r="H67" s="26" t="s">
        <v>28</v>
      </c>
      <c r="I67" s="26" t="s">
        <v>28</v>
      </c>
      <c r="J67" s="26" t="s">
        <v>28</v>
      </c>
      <c r="K67" s="26" t="s">
        <v>28</v>
      </c>
      <c r="L67" s="26" t="s">
        <v>28</v>
      </c>
      <c r="M67" s="26" t="s">
        <v>28</v>
      </c>
      <c r="N67" s="26" t="s">
        <v>28</v>
      </c>
      <c r="O67" s="26" t="s">
        <v>28</v>
      </c>
      <c r="P67" s="28"/>
      <c r="Q67" s="28"/>
      <c r="R67" s="28"/>
      <c r="S67" s="28"/>
      <c r="T67" s="28"/>
      <c r="U67" s="29"/>
      <c r="V67" s="29"/>
      <c r="W67" s="29"/>
      <c r="X67" s="29"/>
      <c r="Y67" s="29"/>
      <c r="Z67" s="29"/>
      <c r="AA67" s="29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2">
        <f t="shared" si="1"/>
        <v>0</v>
      </c>
      <c r="BB67" s="32">
        <f t="shared" si="2"/>
        <v>0</v>
      </c>
      <c r="BC67" s="32">
        <f t="shared" si="3"/>
        <v>12</v>
      </c>
      <c r="BD67" s="32">
        <f t="shared" si="4"/>
        <v>12</v>
      </c>
      <c r="BE67" s="33">
        <f t="shared" si="5"/>
        <v>100</v>
      </c>
    </row>
    <row r="68">
      <c r="A68" s="23">
        <v>64.0</v>
      </c>
      <c r="B68" s="24" t="s">
        <v>153</v>
      </c>
      <c r="C68" s="25" t="s">
        <v>154</v>
      </c>
      <c r="D68" s="26" t="s">
        <v>28</v>
      </c>
      <c r="E68" s="26" t="s">
        <v>28</v>
      </c>
      <c r="F68" s="26" t="s">
        <v>28</v>
      </c>
      <c r="G68" s="26" t="s">
        <v>28</v>
      </c>
      <c r="H68" s="26" t="s">
        <v>28</v>
      </c>
      <c r="I68" s="26" t="s">
        <v>28</v>
      </c>
      <c r="J68" s="26" t="s">
        <v>28</v>
      </c>
      <c r="K68" s="26" t="s">
        <v>28</v>
      </c>
      <c r="L68" s="26" t="s">
        <v>28</v>
      </c>
      <c r="M68" s="26" t="s">
        <v>28</v>
      </c>
      <c r="N68" s="26" t="s">
        <v>28</v>
      </c>
      <c r="O68" s="26" t="s">
        <v>28</v>
      </c>
      <c r="P68" s="30"/>
      <c r="Q68" s="30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2">
        <f t="shared" si="1"/>
        <v>0</v>
      </c>
      <c r="BB68" s="32">
        <f t="shared" si="2"/>
        <v>0</v>
      </c>
      <c r="BC68" s="32">
        <f t="shared" si="3"/>
        <v>12</v>
      </c>
      <c r="BD68" s="32">
        <f t="shared" si="4"/>
        <v>12</v>
      </c>
      <c r="BE68" s="33">
        <f t="shared" si="5"/>
        <v>100</v>
      </c>
    </row>
    <row r="69">
      <c r="A69" s="23">
        <v>65.0</v>
      </c>
      <c r="B69" s="24" t="s">
        <v>155</v>
      </c>
      <c r="C69" s="25" t="s">
        <v>156</v>
      </c>
      <c r="D69" s="26" t="s">
        <v>28</v>
      </c>
      <c r="E69" s="26" t="s">
        <v>28</v>
      </c>
      <c r="F69" s="26" t="s">
        <v>28</v>
      </c>
      <c r="G69" s="26" t="s">
        <v>28</v>
      </c>
      <c r="H69" s="26" t="s">
        <v>28</v>
      </c>
      <c r="I69" s="26" t="s">
        <v>28</v>
      </c>
      <c r="J69" s="26" t="s">
        <v>28</v>
      </c>
      <c r="K69" s="26" t="s">
        <v>28</v>
      </c>
      <c r="L69" s="26" t="s">
        <v>28</v>
      </c>
      <c r="M69" s="26" t="s">
        <v>28</v>
      </c>
      <c r="N69" s="26" t="s">
        <v>28</v>
      </c>
      <c r="O69" s="26" t="s">
        <v>28</v>
      </c>
      <c r="P69" s="30"/>
      <c r="Q69" s="28"/>
      <c r="R69" s="30"/>
      <c r="S69" s="30"/>
      <c r="T69" s="29"/>
      <c r="U69" s="29"/>
      <c r="V69" s="29"/>
      <c r="W69" s="29"/>
      <c r="X69" s="29"/>
      <c r="Y69" s="29"/>
      <c r="Z69" s="29"/>
      <c r="AA69" s="29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2">
        <f t="shared" si="1"/>
        <v>0</v>
      </c>
      <c r="BB69" s="32">
        <f t="shared" si="2"/>
        <v>0</v>
      </c>
      <c r="BC69" s="32">
        <f t="shared" si="3"/>
        <v>12</v>
      </c>
      <c r="BD69" s="32">
        <f t="shared" si="4"/>
        <v>12</v>
      </c>
      <c r="BE69" s="33">
        <f t="shared" si="5"/>
        <v>100</v>
      </c>
    </row>
    <row r="70">
      <c r="A70" s="23">
        <v>66.0</v>
      </c>
      <c r="B70" s="24" t="s">
        <v>157</v>
      </c>
      <c r="C70" s="25" t="s">
        <v>158</v>
      </c>
      <c r="D70" s="26" t="s">
        <v>28</v>
      </c>
      <c r="E70" s="27" t="s">
        <v>22</v>
      </c>
      <c r="F70" s="26" t="s">
        <v>28</v>
      </c>
      <c r="G70" s="26" t="s">
        <v>28</v>
      </c>
      <c r="H70" s="26" t="s">
        <v>28</v>
      </c>
      <c r="I70" s="26" t="s">
        <v>28</v>
      </c>
      <c r="J70" s="26" t="s">
        <v>28</v>
      </c>
      <c r="K70" s="26" t="s">
        <v>28</v>
      </c>
      <c r="L70" s="26" t="s">
        <v>28</v>
      </c>
      <c r="M70" s="26" t="s">
        <v>28</v>
      </c>
      <c r="N70" s="26" t="s">
        <v>28</v>
      </c>
      <c r="O70" s="26" t="s">
        <v>28</v>
      </c>
      <c r="P70" s="28"/>
      <c r="Q70" s="28"/>
      <c r="R70" s="28"/>
      <c r="S70" s="28"/>
      <c r="T70" s="28"/>
      <c r="U70" s="29"/>
      <c r="V70" s="29"/>
      <c r="W70" s="29"/>
      <c r="X70" s="29"/>
      <c r="Y70" s="29"/>
      <c r="Z70" s="29"/>
      <c r="AA70" s="29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2">
        <f t="shared" si="1"/>
        <v>0</v>
      </c>
      <c r="BB70" s="32">
        <f t="shared" si="2"/>
        <v>1</v>
      </c>
      <c r="BC70" s="32">
        <f t="shared" si="3"/>
        <v>11</v>
      </c>
      <c r="BD70" s="32">
        <f t="shared" si="4"/>
        <v>12</v>
      </c>
      <c r="BE70" s="33">
        <f t="shared" si="5"/>
        <v>91.66666667</v>
      </c>
    </row>
    <row r="71">
      <c r="A71" s="49">
        <v>67.0</v>
      </c>
      <c r="B71" s="35" t="s">
        <v>159</v>
      </c>
      <c r="C71" s="36" t="s">
        <v>160</v>
      </c>
      <c r="D71" s="37" t="s">
        <v>28</v>
      </c>
      <c r="E71" s="27" t="s">
        <v>22</v>
      </c>
      <c r="F71" s="27" t="s">
        <v>22</v>
      </c>
      <c r="G71" s="37" t="s">
        <v>28</v>
      </c>
      <c r="H71" s="27" t="s">
        <v>22</v>
      </c>
      <c r="I71" s="27" t="s">
        <v>22</v>
      </c>
      <c r="J71" s="37" t="s">
        <v>28</v>
      </c>
      <c r="K71" s="27" t="s">
        <v>22</v>
      </c>
      <c r="L71" s="27" t="s">
        <v>22</v>
      </c>
      <c r="M71" s="27" t="s">
        <v>22</v>
      </c>
      <c r="N71" s="27" t="s">
        <v>22</v>
      </c>
      <c r="O71" s="38"/>
      <c r="P71" s="38"/>
      <c r="Q71" s="38"/>
      <c r="R71" s="38"/>
      <c r="S71" s="38"/>
      <c r="T71" s="38"/>
      <c r="U71" s="39"/>
      <c r="V71" s="39"/>
      <c r="W71" s="39"/>
      <c r="X71" s="39"/>
      <c r="Y71" s="39"/>
      <c r="Z71" s="39"/>
      <c r="AA71" s="39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1">
        <f t="shared" si="1"/>
        <v>0</v>
      </c>
      <c r="BB71" s="41">
        <f t="shared" si="2"/>
        <v>8</v>
      </c>
      <c r="BC71" s="41">
        <f t="shared" si="3"/>
        <v>3</v>
      </c>
      <c r="BD71" s="41">
        <f t="shared" si="4"/>
        <v>11</v>
      </c>
      <c r="BE71" s="42">
        <f t="shared" si="5"/>
        <v>27.27272727</v>
      </c>
    </row>
    <row r="72">
      <c r="A72" s="23">
        <v>68.0</v>
      </c>
      <c r="B72" s="24" t="s">
        <v>161</v>
      </c>
      <c r="C72" s="25" t="s">
        <v>162</v>
      </c>
      <c r="D72" s="26" t="s">
        <v>28</v>
      </c>
      <c r="E72" s="26" t="s">
        <v>28</v>
      </c>
      <c r="F72" s="26" t="s">
        <v>28</v>
      </c>
      <c r="G72" s="26" t="s">
        <v>28</v>
      </c>
      <c r="H72" s="26" t="s">
        <v>28</v>
      </c>
      <c r="I72" s="27" t="s">
        <v>22</v>
      </c>
      <c r="J72" s="26" t="s">
        <v>28</v>
      </c>
      <c r="K72" s="26" t="s">
        <v>28</v>
      </c>
      <c r="L72" s="26" t="s">
        <v>28</v>
      </c>
      <c r="M72" s="26" t="s">
        <v>28</v>
      </c>
      <c r="N72" s="26" t="s">
        <v>28</v>
      </c>
      <c r="O72" s="26" t="s">
        <v>28</v>
      </c>
      <c r="P72" s="28"/>
      <c r="Q72" s="28"/>
      <c r="R72" s="30"/>
      <c r="S72" s="28"/>
      <c r="T72" s="28"/>
      <c r="U72" s="29"/>
      <c r="V72" s="29"/>
      <c r="W72" s="29"/>
      <c r="X72" s="29"/>
      <c r="Y72" s="29"/>
      <c r="Z72" s="29"/>
      <c r="AA72" s="29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2">
        <f t="shared" si="1"/>
        <v>0</v>
      </c>
      <c r="BB72" s="32">
        <f t="shared" si="2"/>
        <v>1</v>
      </c>
      <c r="BC72" s="32">
        <f t="shared" si="3"/>
        <v>11</v>
      </c>
      <c r="BD72" s="32">
        <f t="shared" si="4"/>
        <v>12</v>
      </c>
      <c r="BE72" s="33">
        <f t="shared" si="5"/>
        <v>91.66666667</v>
      </c>
    </row>
    <row r="73">
      <c r="A73" s="23">
        <v>69.0</v>
      </c>
      <c r="B73" s="24" t="s">
        <v>163</v>
      </c>
      <c r="C73" s="25" t="s">
        <v>164</v>
      </c>
      <c r="D73" s="26" t="s">
        <v>28</v>
      </c>
      <c r="E73" s="26" t="s">
        <v>28</v>
      </c>
      <c r="F73" s="26" t="s">
        <v>28</v>
      </c>
      <c r="G73" s="26" t="s">
        <v>28</v>
      </c>
      <c r="H73" s="26" t="s">
        <v>28</v>
      </c>
      <c r="I73" s="26" t="s">
        <v>28</v>
      </c>
      <c r="J73" s="26" t="s">
        <v>28</v>
      </c>
      <c r="K73" s="26" t="s">
        <v>28</v>
      </c>
      <c r="L73" s="26" t="s">
        <v>28</v>
      </c>
      <c r="M73" s="26" t="s">
        <v>28</v>
      </c>
      <c r="N73" s="26" t="s">
        <v>28</v>
      </c>
      <c r="O73" s="26" t="s">
        <v>28</v>
      </c>
      <c r="P73" s="28"/>
      <c r="Q73" s="28"/>
      <c r="R73" s="28"/>
      <c r="S73" s="28"/>
      <c r="T73" s="28"/>
      <c r="U73" s="29"/>
      <c r="V73" s="29"/>
      <c r="W73" s="29"/>
      <c r="X73" s="29"/>
      <c r="Y73" s="29"/>
      <c r="Z73" s="29"/>
      <c r="AA73" s="29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2">
        <f t="shared" si="1"/>
        <v>0</v>
      </c>
      <c r="BB73" s="32">
        <f t="shared" si="2"/>
        <v>0</v>
      </c>
      <c r="BC73" s="32">
        <f t="shared" si="3"/>
        <v>12</v>
      </c>
      <c r="BD73" s="32">
        <f t="shared" si="4"/>
        <v>12</v>
      </c>
      <c r="BE73" s="33">
        <f t="shared" si="5"/>
        <v>100</v>
      </c>
    </row>
    <row r="74">
      <c r="A74" s="23">
        <v>70.0</v>
      </c>
      <c r="B74" s="24" t="s">
        <v>165</v>
      </c>
      <c r="C74" s="25" t="s">
        <v>166</v>
      </c>
      <c r="D74" s="26" t="s">
        <v>28</v>
      </c>
      <c r="E74" s="26" t="s">
        <v>28</v>
      </c>
      <c r="F74" s="26" t="s">
        <v>28</v>
      </c>
      <c r="G74" s="26" t="s">
        <v>28</v>
      </c>
      <c r="H74" s="26" t="s">
        <v>28</v>
      </c>
      <c r="I74" s="26" t="s">
        <v>28</v>
      </c>
      <c r="J74" s="26" t="s">
        <v>28</v>
      </c>
      <c r="K74" s="26" t="s">
        <v>28</v>
      </c>
      <c r="L74" s="26" t="s">
        <v>28</v>
      </c>
      <c r="M74" s="26" t="s">
        <v>28</v>
      </c>
      <c r="N74" s="26" t="s">
        <v>28</v>
      </c>
      <c r="O74" s="26" t="s">
        <v>28</v>
      </c>
      <c r="P74" s="28"/>
      <c r="Q74" s="28"/>
      <c r="R74" s="28"/>
      <c r="S74" s="28"/>
      <c r="T74" s="28"/>
      <c r="U74" s="29"/>
      <c r="V74" s="29"/>
      <c r="W74" s="29"/>
      <c r="X74" s="29"/>
      <c r="Y74" s="29"/>
      <c r="Z74" s="29"/>
      <c r="AA74" s="29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2">
        <f t="shared" si="1"/>
        <v>0</v>
      </c>
      <c r="BB74" s="32">
        <f t="shared" si="2"/>
        <v>0</v>
      </c>
      <c r="BC74" s="32">
        <f t="shared" si="3"/>
        <v>12</v>
      </c>
      <c r="BD74" s="32">
        <f t="shared" si="4"/>
        <v>12</v>
      </c>
      <c r="BE74" s="33">
        <f t="shared" si="5"/>
        <v>100</v>
      </c>
    </row>
    <row r="75">
      <c r="A75" s="23">
        <v>71.0</v>
      </c>
      <c r="B75" s="24" t="s">
        <v>167</v>
      </c>
      <c r="C75" s="25" t="s">
        <v>168</v>
      </c>
      <c r="D75" s="26" t="s">
        <v>28</v>
      </c>
      <c r="E75" s="26" t="s">
        <v>28</v>
      </c>
      <c r="F75" s="26" t="s">
        <v>28</v>
      </c>
      <c r="G75" s="26" t="s">
        <v>28</v>
      </c>
      <c r="H75" s="26" t="s">
        <v>28</v>
      </c>
      <c r="I75" s="26" t="s">
        <v>28</v>
      </c>
      <c r="J75" s="26" t="s">
        <v>28</v>
      </c>
      <c r="K75" s="26" t="s">
        <v>28</v>
      </c>
      <c r="L75" s="26" t="s">
        <v>28</v>
      </c>
      <c r="M75" s="26" t="s">
        <v>28</v>
      </c>
      <c r="N75" s="26" t="s">
        <v>28</v>
      </c>
      <c r="O75" s="26" t="s">
        <v>28</v>
      </c>
      <c r="P75" s="30"/>
      <c r="Q75" s="28"/>
      <c r="R75" s="28"/>
      <c r="S75" s="28"/>
      <c r="T75" s="28"/>
      <c r="U75" s="29"/>
      <c r="V75" s="29"/>
      <c r="W75" s="29"/>
      <c r="X75" s="29"/>
      <c r="Y75" s="29"/>
      <c r="Z75" s="29"/>
      <c r="AA75" s="29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2">
        <f t="shared" si="1"/>
        <v>0</v>
      </c>
      <c r="BB75" s="32">
        <f t="shared" si="2"/>
        <v>0</v>
      </c>
      <c r="BC75" s="32">
        <f t="shared" si="3"/>
        <v>12</v>
      </c>
      <c r="BD75" s="32">
        <f t="shared" si="4"/>
        <v>12</v>
      </c>
      <c r="BE75" s="33">
        <f t="shared" si="5"/>
        <v>100</v>
      </c>
    </row>
    <row r="76">
      <c r="A76" s="23">
        <v>72.0</v>
      </c>
      <c r="B76" s="24" t="s">
        <v>169</v>
      </c>
      <c r="C76" s="25" t="s">
        <v>170</v>
      </c>
      <c r="D76" s="26" t="s">
        <v>28</v>
      </c>
      <c r="E76" s="27" t="s">
        <v>22</v>
      </c>
      <c r="F76" s="27" t="s">
        <v>22</v>
      </c>
      <c r="G76" s="26" t="s">
        <v>28</v>
      </c>
      <c r="H76" s="26" t="s">
        <v>28</v>
      </c>
      <c r="I76" s="26" t="s">
        <v>28</v>
      </c>
      <c r="J76" s="26" t="s">
        <v>28</v>
      </c>
      <c r="K76" s="26" t="s">
        <v>28</v>
      </c>
      <c r="L76" s="26" t="s">
        <v>28</v>
      </c>
      <c r="M76" s="26" t="s">
        <v>28</v>
      </c>
      <c r="N76" s="26" t="s">
        <v>28</v>
      </c>
      <c r="O76" s="26" t="s">
        <v>28</v>
      </c>
      <c r="P76" s="50"/>
      <c r="Q76" s="51"/>
      <c r="R76" s="51"/>
      <c r="S76" s="51"/>
      <c r="T76" s="51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32">
        <f t="shared" si="1"/>
        <v>0</v>
      </c>
      <c r="BB76" s="32">
        <f t="shared" si="2"/>
        <v>2</v>
      </c>
      <c r="BC76" s="32">
        <f t="shared" si="3"/>
        <v>10</v>
      </c>
      <c r="BD76" s="32">
        <f t="shared" si="4"/>
        <v>12</v>
      </c>
      <c r="BE76" s="33">
        <f t="shared" si="5"/>
        <v>83.33333333</v>
      </c>
    </row>
    <row r="77">
      <c r="A77" s="23">
        <v>73.0</v>
      </c>
      <c r="B77" s="47" t="s">
        <v>171</v>
      </c>
      <c r="C77" s="25" t="s">
        <v>172</v>
      </c>
      <c r="D77" s="26" t="s">
        <v>28</v>
      </c>
      <c r="E77" s="27" t="s">
        <v>22</v>
      </c>
      <c r="F77" s="27" t="s">
        <v>22</v>
      </c>
      <c r="G77" s="26" t="s">
        <v>28</v>
      </c>
      <c r="H77" s="26" t="s">
        <v>28</v>
      </c>
      <c r="I77" s="26" t="s">
        <v>28</v>
      </c>
      <c r="J77" s="26" t="s">
        <v>28</v>
      </c>
      <c r="K77" s="26" t="s">
        <v>28</v>
      </c>
      <c r="L77" s="26" t="s">
        <v>28</v>
      </c>
      <c r="M77" s="26" t="s">
        <v>28</v>
      </c>
      <c r="N77" s="26" t="s">
        <v>28</v>
      </c>
      <c r="O77" s="26" t="s">
        <v>28</v>
      </c>
      <c r="P77" s="50"/>
      <c r="Q77" s="51"/>
      <c r="R77" s="51"/>
      <c r="S77" s="51"/>
      <c r="T77" s="51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32">
        <f t="shared" si="1"/>
        <v>0</v>
      </c>
      <c r="BB77" s="32">
        <f t="shared" si="2"/>
        <v>2</v>
      </c>
      <c r="BC77" s="32">
        <f t="shared" si="3"/>
        <v>10</v>
      </c>
      <c r="BD77" s="32">
        <f t="shared" si="4"/>
        <v>12</v>
      </c>
      <c r="BE77" s="33">
        <f t="shared" si="5"/>
        <v>83.33333333</v>
      </c>
    </row>
    <row r="78">
      <c r="A78" s="23">
        <v>74.0</v>
      </c>
      <c r="B78" s="24" t="s">
        <v>173</v>
      </c>
      <c r="C78" s="25" t="s">
        <v>174</v>
      </c>
      <c r="D78" s="26" t="s">
        <v>28</v>
      </c>
      <c r="E78" s="26" t="s">
        <v>28</v>
      </c>
      <c r="F78" s="26" t="s">
        <v>28</v>
      </c>
      <c r="G78" s="26" t="s">
        <v>28</v>
      </c>
      <c r="H78" s="26" t="s">
        <v>28</v>
      </c>
      <c r="I78" s="26" t="s">
        <v>28</v>
      </c>
      <c r="J78" s="26" t="s">
        <v>28</v>
      </c>
      <c r="K78" s="26" t="s">
        <v>28</v>
      </c>
      <c r="L78" s="26" t="s">
        <v>28</v>
      </c>
      <c r="M78" s="26" t="s">
        <v>28</v>
      </c>
      <c r="N78" s="26" t="s">
        <v>28</v>
      </c>
      <c r="O78" s="26" t="s">
        <v>28</v>
      </c>
      <c r="P78" s="50"/>
      <c r="Q78" s="51"/>
      <c r="R78" s="51"/>
      <c r="S78" s="51"/>
      <c r="T78" s="51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32">
        <f t="shared" si="1"/>
        <v>0</v>
      </c>
      <c r="BB78" s="32">
        <f t="shared" si="2"/>
        <v>0</v>
      </c>
      <c r="BC78" s="32">
        <f t="shared" si="3"/>
        <v>12</v>
      </c>
      <c r="BD78" s="32">
        <f t="shared" si="4"/>
        <v>12</v>
      </c>
      <c r="BE78" s="33">
        <f t="shared" si="5"/>
        <v>100</v>
      </c>
    </row>
    <row r="79">
      <c r="A79" s="23">
        <v>75.0</v>
      </c>
      <c r="B79" s="24" t="s">
        <v>175</v>
      </c>
      <c r="C79" s="25" t="s">
        <v>176</v>
      </c>
      <c r="D79" s="26" t="s">
        <v>28</v>
      </c>
      <c r="E79" s="26" t="s">
        <v>28</v>
      </c>
      <c r="F79" s="26" t="s">
        <v>28</v>
      </c>
      <c r="G79" s="26" t="s">
        <v>28</v>
      </c>
      <c r="H79" s="27" t="s">
        <v>22</v>
      </c>
      <c r="I79" s="26" t="s">
        <v>28</v>
      </c>
      <c r="J79" s="26" t="s">
        <v>28</v>
      </c>
      <c r="K79" s="26" t="s">
        <v>28</v>
      </c>
      <c r="L79" s="26" t="s">
        <v>28</v>
      </c>
      <c r="M79" s="26" t="s">
        <v>28</v>
      </c>
      <c r="N79" s="26" t="s">
        <v>28</v>
      </c>
      <c r="O79" s="26" t="s">
        <v>28</v>
      </c>
      <c r="P79" s="50"/>
      <c r="Q79" s="51"/>
      <c r="R79" s="51"/>
      <c r="S79" s="51"/>
      <c r="T79" s="51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32">
        <f t="shared" si="1"/>
        <v>0</v>
      </c>
      <c r="BB79" s="32">
        <f t="shared" si="2"/>
        <v>1</v>
      </c>
      <c r="BC79" s="32">
        <f t="shared" si="3"/>
        <v>11</v>
      </c>
      <c r="BD79" s="32">
        <f t="shared" si="4"/>
        <v>12</v>
      </c>
      <c r="BE79" s="33">
        <f t="shared" si="5"/>
        <v>91.66666667</v>
      </c>
    </row>
    <row r="80">
      <c r="A80" s="23">
        <v>76.0</v>
      </c>
      <c r="B80" s="24" t="s">
        <v>177</v>
      </c>
      <c r="C80" s="25" t="s">
        <v>178</v>
      </c>
      <c r="D80" s="26" t="s">
        <v>28</v>
      </c>
      <c r="E80" s="26" t="s">
        <v>28</v>
      </c>
      <c r="F80" s="27" t="s">
        <v>22</v>
      </c>
      <c r="G80" s="26" t="s">
        <v>28</v>
      </c>
      <c r="H80" s="26" t="s">
        <v>28</v>
      </c>
      <c r="I80" s="26" t="s">
        <v>28</v>
      </c>
      <c r="J80" s="26" t="s">
        <v>28</v>
      </c>
      <c r="K80" s="26" t="s">
        <v>28</v>
      </c>
      <c r="L80" s="26" t="s">
        <v>28</v>
      </c>
      <c r="M80" s="26" t="s">
        <v>28</v>
      </c>
      <c r="N80" s="26" t="s">
        <v>28</v>
      </c>
      <c r="O80" s="26" t="s">
        <v>28</v>
      </c>
      <c r="P80" s="50"/>
      <c r="Q80" s="51"/>
      <c r="R80" s="51"/>
      <c r="S80" s="51"/>
      <c r="T80" s="51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32">
        <f t="shared" si="1"/>
        <v>0</v>
      </c>
      <c r="BB80" s="32">
        <f t="shared" si="2"/>
        <v>1</v>
      </c>
      <c r="BC80" s="32">
        <f t="shared" si="3"/>
        <v>11</v>
      </c>
      <c r="BD80" s="32">
        <f t="shared" si="4"/>
        <v>12</v>
      </c>
      <c r="BE80" s="33">
        <f t="shared" si="5"/>
        <v>91.66666667</v>
      </c>
    </row>
    <row r="81">
      <c r="A81" s="23">
        <v>77.0</v>
      </c>
      <c r="B81" s="24" t="s">
        <v>179</v>
      </c>
      <c r="C81" s="25" t="s">
        <v>180</v>
      </c>
      <c r="D81" s="26" t="s">
        <v>28</v>
      </c>
      <c r="E81" s="26" t="s">
        <v>28</v>
      </c>
      <c r="F81" s="26" t="s">
        <v>28</v>
      </c>
      <c r="G81" s="26" t="s">
        <v>28</v>
      </c>
      <c r="H81" s="26" t="s">
        <v>28</v>
      </c>
      <c r="I81" s="26" t="s">
        <v>28</v>
      </c>
      <c r="J81" s="26" t="s">
        <v>28</v>
      </c>
      <c r="K81" s="26" t="s">
        <v>28</v>
      </c>
      <c r="L81" s="26" t="s">
        <v>28</v>
      </c>
      <c r="M81" s="26" t="s">
        <v>28</v>
      </c>
      <c r="N81" s="26" t="s">
        <v>28</v>
      </c>
      <c r="O81" s="26" t="s">
        <v>28</v>
      </c>
      <c r="P81" s="50"/>
      <c r="Q81" s="51"/>
      <c r="R81" s="51"/>
      <c r="S81" s="51"/>
      <c r="T81" s="51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32">
        <f t="shared" si="1"/>
        <v>0</v>
      </c>
      <c r="BB81" s="32">
        <f t="shared" si="2"/>
        <v>0</v>
      </c>
      <c r="BC81" s="32">
        <f t="shared" si="3"/>
        <v>12</v>
      </c>
      <c r="BD81" s="32">
        <f t="shared" si="4"/>
        <v>12</v>
      </c>
      <c r="BE81" s="33">
        <f t="shared" si="5"/>
        <v>100</v>
      </c>
    </row>
    <row r="82">
      <c r="A82" s="23">
        <v>78.0</v>
      </c>
      <c r="B82" s="24" t="s">
        <v>181</v>
      </c>
      <c r="C82" s="25" t="s">
        <v>182</v>
      </c>
      <c r="D82" s="26" t="s">
        <v>28</v>
      </c>
      <c r="E82" s="26" t="s">
        <v>28</v>
      </c>
      <c r="F82" s="26" t="s">
        <v>28</v>
      </c>
      <c r="G82" s="26" t="s">
        <v>28</v>
      </c>
      <c r="H82" s="26" t="s">
        <v>28</v>
      </c>
      <c r="I82" s="26" t="s">
        <v>28</v>
      </c>
      <c r="J82" s="26" t="s">
        <v>28</v>
      </c>
      <c r="K82" s="26" t="s">
        <v>28</v>
      </c>
      <c r="L82" s="26" t="s">
        <v>28</v>
      </c>
      <c r="M82" s="26" t="s">
        <v>28</v>
      </c>
      <c r="N82" s="26" t="s">
        <v>28</v>
      </c>
      <c r="O82" s="26" t="s">
        <v>28</v>
      </c>
      <c r="P82" s="50"/>
      <c r="Q82" s="51"/>
      <c r="R82" s="51"/>
      <c r="S82" s="51"/>
      <c r="T82" s="51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32">
        <f t="shared" si="1"/>
        <v>0</v>
      </c>
      <c r="BB82" s="32">
        <f t="shared" si="2"/>
        <v>0</v>
      </c>
      <c r="BC82" s="32">
        <f t="shared" si="3"/>
        <v>12</v>
      </c>
      <c r="BD82" s="32">
        <f t="shared" si="4"/>
        <v>12</v>
      </c>
      <c r="BE82" s="33">
        <f t="shared" si="5"/>
        <v>100</v>
      </c>
    </row>
    <row r="83">
      <c r="A83" s="23">
        <v>79.0</v>
      </c>
      <c r="B83" s="47" t="s">
        <v>183</v>
      </c>
      <c r="C83" s="25" t="s">
        <v>184</v>
      </c>
      <c r="D83" s="26" t="s">
        <v>28</v>
      </c>
      <c r="E83" s="27" t="s">
        <v>22</v>
      </c>
      <c r="F83" s="27" t="s">
        <v>22</v>
      </c>
      <c r="G83" s="26" t="s">
        <v>28</v>
      </c>
      <c r="H83" s="27" t="s">
        <v>22</v>
      </c>
      <c r="I83" s="27" t="s">
        <v>22</v>
      </c>
      <c r="J83" s="26" t="s">
        <v>28</v>
      </c>
      <c r="K83" s="26" t="s">
        <v>28</v>
      </c>
      <c r="L83" s="26" t="s">
        <v>28</v>
      </c>
      <c r="M83" s="26" t="s">
        <v>28</v>
      </c>
      <c r="N83" s="27" t="s">
        <v>22</v>
      </c>
      <c r="O83" s="26" t="s">
        <v>28</v>
      </c>
      <c r="P83" s="50"/>
      <c r="Q83" s="51"/>
      <c r="R83" s="51"/>
      <c r="S83" s="51"/>
      <c r="T83" s="51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32">
        <f t="shared" si="1"/>
        <v>0</v>
      </c>
      <c r="BB83" s="32">
        <f t="shared" si="2"/>
        <v>5</v>
      </c>
      <c r="BC83" s="32">
        <f t="shared" si="3"/>
        <v>7</v>
      </c>
      <c r="BD83" s="32">
        <f t="shared" si="4"/>
        <v>12</v>
      </c>
      <c r="BE83" s="33">
        <f t="shared" si="5"/>
        <v>58.33333333</v>
      </c>
    </row>
    <row r="84">
      <c r="A84" s="23">
        <v>80.0</v>
      </c>
      <c r="B84" s="35" t="s">
        <v>185</v>
      </c>
      <c r="C84" s="52" t="s">
        <v>186</v>
      </c>
      <c r="D84" s="37" t="s">
        <v>28</v>
      </c>
      <c r="E84" s="37" t="s">
        <v>28</v>
      </c>
      <c r="F84" s="37" t="s">
        <v>28</v>
      </c>
      <c r="G84" s="37" t="s">
        <v>28</v>
      </c>
      <c r="H84" s="37" t="s">
        <v>28</v>
      </c>
      <c r="I84" s="27" t="s">
        <v>22</v>
      </c>
      <c r="J84" s="27" t="s">
        <v>22</v>
      </c>
      <c r="K84" s="27" t="s">
        <v>22</v>
      </c>
      <c r="L84" s="27" t="s">
        <v>22</v>
      </c>
      <c r="M84" s="27" t="s">
        <v>22</v>
      </c>
      <c r="N84" s="53"/>
      <c r="O84" s="53"/>
      <c r="P84" s="54"/>
      <c r="Q84" s="53"/>
      <c r="R84" s="53"/>
      <c r="S84" s="53"/>
      <c r="T84" s="53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41">
        <f t="shared" si="1"/>
        <v>0</v>
      </c>
      <c r="BB84" s="41">
        <f t="shared" si="2"/>
        <v>5</v>
      </c>
      <c r="BC84" s="41">
        <f t="shared" si="3"/>
        <v>5</v>
      </c>
      <c r="BD84" s="41">
        <f t="shared" si="4"/>
        <v>10</v>
      </c>
      <c r="BE84" s="42">
        <f t="shared" si="5"/>
        <v>50</v>
      </c>
    </row>
    <row r="85">
      <c r="A85" s="23">
        <v>81.0</v>
      </c>
      <c r="B85" s="24" t="s">
        <v>187</v>
      </c>
      <c r="C85" s="25" t="s">
        <v>188</v>
      </c>
      <c r="D85" s="26" t="s">
        <v>28</v>
      </c>
      <c r="E85" s="27" t="s">
        <v>22</v>
      </c>
      <c r="F85" s="26" t="s">
        <v>28</v>
      </c>
      <c r="G85" s="26" t="s">
        <v>28</v>
      </c>
      <c r="H85" s="26" t="s">
        <v>28</v>
      </c>
      <c r="I85" s="26" t="s">
        <v>28</v>
      </c>
      <c r="J85" s="26" t="s">
        <v>28</v>
      </c>
      <c r="K85" s="26" t="s">
        <v>28</v>
      </c>
      <c r="L85" s="26" t="s">
        <v>28</v>
      </c>
      <c r="M85" s="26" t="s">
        <v>28</v>
      </c>
      <c r="N85" s="26" t="s">
        <v>28</v>
      </c>
      <c r="O85" s="26" t="s">
        <v>28</v>
      </c>
      <c r="P85" s="50"/>
      <c r="Q85" s="51"/>
      <c r="R85" s="51"/>
      <c r="S85" s="51"/>
      <c r="T85" s="51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32">
        <f t="shared" si="1"/>
        <v>0</v>
      </c>
      <c r="BB85" s="32">
        <f t="shared" si="2"/>
        <v>1</v>
      </c>
      <c r="BC85" s="32">
        <f t="shared" si="3"/>
        <v>11</v>
      </c>
      <c r="BD85" s="32">
        <f t="shared" si="4"/>
        <v>12</v>
      </c>
      <c r="BE85" s="33">
        <f t="shared" si="5"/>
        <v>91.66666667</v>
      </c>
    </row>
    <row r="86">
      <c r="A86" s="23">
        <v>82.0</v>
      </c>
      <c r="B86" s="24" t="s">
        <v>189</v>
      </c>
      <c r="C86" s="25" t="s">
        <v>190</v>
      </c>
      <c r="D86" s="26" t="s">
        <v>28</v>
      </c>
      <c r="E86" s="27" t="s">
        <v>22</v>
      </c>
      <c r="F86" s="27" t="s">
        <v>22</v>
      </c>
      <c r="G86" s="26" t="s">
        <v>28</v>
      </c>
      <c r="H86" s="26" t="s">
        <v>28</v>
      </c>
      <c r="I86" s="26" t="s">
        <v>28</v>
      </c>
      <c r="J86" s="26" t="s">
        <v>28</v>
      </c>
      <c r="K86" s="26" t="s">
        <v>28</v>
      </c>
      <c r="L86" s="26" t="s">
        <v>28</v>
      </c>
      <c r="M86" s="26" t="s">
        <v>28</v>
      </c>
      <c r="N86" s="27" t="s">
        <v>22</v>
      </c>
      <c r="O86" s="27" t="s">
        <v>22</v>
      </c>
      <c r="P86" s="50"/>
      <c r="Q86" s="51"/>
      <c r="R86" s="51"/>
      <c r="S86" s="51"/>
      <c r="T86" s="51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32">
        <f t="shared" si="1"/>
        <v>0</v>
      </c>
      <c r="BB86" s="32">
        <f t="shared" si="2"/>
        <v>4</v>
      </c>
      <c r="BC86" s="32">
        <f t="shared" si="3"/>
        <v>8</v>
      </c>
      <c r="BD86" s="32">
        <f t="shared" si="4"/>
        <v>12</v>
      </c>
      <c r="BE86" s="33">
        <f t="shared" si="5"/>
        <v>66.66666667</v>
      </c>
    </row>
    <row r="87">
      <c r="A87" s="55"/>
      <c r="B87" s="55"/>
      <c r="C87" s="56" t="s">
        <v>191</v>
      </c>
      <c r="D87" s="57">
        <f t="shared" ref="D87:AZ87" si="6">COUNTIF(D5:D86,"P")+COUNTIF(D5:D86,"L")</f>
        <v>81</v>
      </c>
      <c r="E87" s="57">
        <f t="shared" si="6"/>
        <v>62</v>
      </c>
      <c r="F87" s="57">
        <f t="shared" si="6"/>
        <v>62</v>
      </c>
      <c r="G87" s="57">
        <f t="shared" si="6"/>
        <v>79</v>
      </c>
      <c r="H87" s="57">
        <f t="shared" si="6"/>
        <v>66</v>
      </c>
      <c r="I87" s="57">
        <f t="shared" si="6"/>
        <v>73</v>
      </c>
      <c r="J87" s="57">
        <f t="shared" si="6"/>
        <v>59</v>
      </c>
      <c r="K87" s="57">
        <f t="shared" si="6"/>
        <v>72</v>
      </c>
      <c r="L87" s="57">
        <f t="shared" si="6"/>
        <v>71</v>
      </c>
      <c r="M87" s="57">
        <f t="shared" si="6"/>
        <v>64</v>
      </c>
      <c r="N87" s="57">
        <f t="shared" si="6"/>
        <v>71</v>
      </c>
      <c r="O87" s="57">
        <f t="shared" si="6"/>
        <v>70</v>
      </c>
      <c r="P87" s="57">
        <f t="shared" si="6"/>
        <v>0</v>
      </c>
      <c r="Q87" s="57">
        <f t="shared" si="6"/>
        <v>0</v>
      </c>
      <c r="R87" s="57">
        <f t="shared" si="6"/>
        <v>0</v>
      </c>
      <c r="S87" s="57">
        <f t="shared" si="6"/>
        <v>0</v>
      </c>
      <c r="T87" s="57">
        <f t="shared" si="6"/>
        <v>0</v>
      </c>
      <c r="U87" s="57">
        <f t="shared" si="6"/>
        <v>0</v>
      </c>
      <c r="V87" s="57">
        <f t="shared" si="6"/>
        <v>0</v>
      </c>
      <c r="W87" s="57">
        <f t="shared" si="6"/>
        <v>0</v>
      </c>
      <c r="X87" s="57">
        <f t="shared" si="6"/>
        <v>0</v>
      </c>
      <c r="Y87" s="57">
        <f t="shared" si="6"/>
        <v>0</v>
      </c>
      <c r="Z87" s="57">
        <f t="shared" si="6"/>
        <v>0</v>
      </c>
      <c r="AA87" s="57">
        <f t="shared" si="6"/>
        <v>0</v>
      </c>
      <c r="AB87" s="57">
        <f t="shared" si="6"/>
        <v>0</v>
      </c>
      <c r="AC87" s="57">
        <f t="shared" si="6"/>
        <v>0</v>
      </c>
      <c r="AD87" s="57">
        <f t="shared" si="6"/>
        <v>0</v>
      </c>
      <c r="AE87" s="57">
        <f t="shared" si="6"/>
        <v>0</v>
      </c>
      <c r="AF87" s="57">
        <f t="shared" si="6"/>
        <v>0</v>
      </c>
      <c r="AG87" s="57">
        <f t="shared" si="6"/>
        <v>0</v>
      </c>
      <c r="AH87" s="57">
        <f t="shared" si="6"/>
        <v>0</v>
      </c>
      <c r="AI87" s="57">
        <f t="shared" si="6"/>
        <v>0</v>
      </c>
      <c r="AJ87" s="57">
        <f t="shared" si="6"/>
        <v>0</v>
      </c>
      <c r="AK87" s="57">
        <f t="shared" si="6"/>
        <v>0</v>
      </c>
      <c r="AL87" s="57">
        <f t="shared" si="6"/>
        <v>0</v>
      </c>
      <c r="AM87" s="57">
        <f t="shared" si="6"/>
        <v>0</v>
      </c>
      <c r="AN87" s="57">
        <f t="shared" si="6"/>
        <v>0</v>
      </c>
      <c r="AO87" s="57">
        <f t="shared" si="6"/>
        <v>0</v>
      </c>
      <c r="AP87" s="57">
        <f t="shared" si="6"/>
        <v>0</v>
      </c>
      <c r="AQ87" s="57">
        <f t="shared" si="6"/>
        <v>0</v>
      </c>
      <c r="AR87" s="57">
        <f t="shared" si="6"/>
        <v>0</v>
      </c>
      <c r="AS87" s="57">
        <f t="shared" si="6"/>
        <v>0</v>
      </c>
      <c r="AT87" s="57">
        <f t="shared" si="6"/>
        <v>0</v>
      </c>
      <c r="AU87" s="57">
        <f t="shared" si="6"/>
        <v>0</v>
      </c>
      <c r="AV87" s="57">
        <f t="shared" si="6"/>
        <v>0</v>
      </c>
      <c r="AW87" s="57">
        <f t="shared" si="6"/>
        <v>0</v>
      </c>
      <c r="AX87" s="57">
        <f t="shared" si="6"/>
        <v>0</v>
      </c>
      <c r="AY87" s="57">
        <f t="shared" si="6"/>
        <v>0</v>
      </c>
      <c r="AZ87" s="57">
        <f t="shared" si="6"/>
        <v>0</v>
      </c>
      <c r="BA87" s="32">
        <f t="shared" si="1"/>
        <v>0</v>
      </c>
      <c r="BB87" s="32">
        <f t="shared" si="2"/>
        <v>0</v>
      </c>
      <c r="BC87" s="32">
        <f t="shared" si="3"/>
        <v>0</v>
      </c>
      <c r="BD87" s="32">
        <f t="shared" si="4"/>
        <v>0</v>
      </c>
      <c r="BE87" s="33" t="str">
        <f t="shared" si="5"/>
        <v>#DIV/0!</v>
      </c>
    </row>
    <row r="88">
      <c r="A88" s="58"/>
      <c r="B88" s="55"/>
      <c r="C88" s="59" t="s">
        <v>192</v>
      </c>
      <c r="D88" s="60">
        <v>82.0</v>
      </c>
      <c r="E88" s="60">
        <v>82.0</v>
      </c>
      <c r="F88" s="60">
        <v>82.0</v>
      </c>
      <c r="G88" s="60">
        <v>82.0</v>
      </c>
      <c r="H88" s="60">
        <v>82.0</v>
      </c>
      <c r="I88" s="60">
        <v>82.0</v>
      </c>
      <c r="J88" s="60">
        <v>82.0</v>
      </c>
      <c r="K88" s="60">
        <v>82.0</v>
      </c>
      <c r="L88" s="60">
        <v>82.0</v>
      </c>
      <c r="M88" s="60">
        <v>82.0</v>
      </c>
      <c r="N88" s="60">
        <v>82.0</v>
      </c>
      <c r="O88" s="60">
        <v>82.0</v>
      </c>
      <c r="P88" s="60">
        <v>82.0</v>
      </c>
      <c r="Q88" s="60">
        <v>82.0</v>
      </c>
      <c r="R88" s="60">
        <v>82.0</v>
      </c>
      <c r="S88" s="60">
        <v>82.0</v>
      </c>
      <c r="T88" s="60">
        <v>82.0</v>
      </c>
      <c r="U88" s="60">
        <v>82.0</v>
      </c>
      <c r="V88" s="60">
        <v>82.0</v>
      </c>
      <c r="W88" s="60">
        <v>82.0</v>
      </c>
      <c r="X88" s="60">
        <v>82.0</v>
      </c>
      <c r="Y88" s="60">
        <v>82.0</v>
      </c>
      <c r="Z88" s="60">
        <v>82.0</v>
      </c>
      <c r="AA88" s="60">
        <v>82.0</v>
      </c>
      <c r="AB88" s="60">
        <v>82.0</v>
      </c>
      <c r="AC88" s="60">
        <v>82.0</v>
      </c>
      <c r="AD88" s="60">
        <v>82.0</v>
      </c>
      <c r="AE88" s="60">
        <v>82.0</v>
      </c>
      <c r="AF88" s="60">
        <v>82.0</v>
      </c>
      <c r="AG88" s="60">
        <v>82.0</v>
      </c>
      <c r="AH88" s="60">
        <v>82.0</v>
      </c>
      <c r="AI88" s="60">
        <v>82.0</v>
      </c>
      <c r="AJ88" s="60">
        <v>82.0</v>
      </c>
      <c r="AK88" s="60">
        <v>82.0</v>
      </c>
      <c r="AL88" s="60">
        <v>82.0</v>
      </c>
      <c r="AM88" s="60">
        <v>82.0</v>
      </c>
      <c r="AN88" s="60">
        <v>82.0</v>
      </c>
      <c r="AO88" s="60">
        <v>82.0</v>
      </c>
      <c r="AP88" s="60">
        <v>82.0</v>
      </c>
      <c r="AQ88" s="60">
        <v>82.0</v>
      </c>
      <c r="AR88" s="60">
        <v>82.0</v>
      </c>
      <c r="AS88" s="60">
        <v>82.0</v>
      </c>
      <c r="AT88" s="60">
        <v>82.0</v>
      </c>
      <c r="AU88" s="60">
        <v>82.0</v>
      </c>
      <c r="AV88" s="60">
        <v>82.0</v>
      </c>
      <c r="AW88" s="60">
        <v>82.0</v>
      </c>
      <c r="AX88" s="60">
        <v>82.0</v>
      </c>
      <c r="AY88" s="60">
        <v>82.0</v>
      </c>
      <c r="AZ88" s="60">
        <v>82.0</v>
      </c>
      <c r="BA88" s="34"/>
      <c r="BB88" s="34"/>
      <c r="BC88" s="34"/>
      <c r="BD88" s="34"/>
      <c r="BE88" s="61"/>
    </row>
    <row r="89">
      <c r="A89" s="55"/>
      <c r="B89" s="55"/>
      <c r="C89" s="62" t="s">
        <v>193</v>
      </c>
      <c r="D89" s="63">
        <f t="shared" ref="D89:AZ89" si="7">SUM(D87/D88)*100</f>
        <v>98.7804878</v>
      </c>
      <c r="E89" s="63">
        <f t="shared" si="7"/>
        <v>75.6097561</v>
      </c>
      <c r="F89" s="63">
        <f t="shared" si="7"/>
        <v>75.6097561</v>
      </c>
      <c r="G89" s="63">
        <f t="shared" si="7"/>
        <v>96.34146341</v>
      </c>
      <c r="H89" s="63">
        <f t="shared" si="7"/>
        <v>80.48780488</v>
      </c>
      <c r="I89" s="63">
        <f t="shared" si="7"/>
        <v>89.02439024</v>
      </c>
      <c r="J89" s="63">
        <f t="shared" si="7"/>
        <v>71.95121951</v>
      </c>
      <c r="K89" s="63">
        <f t="shared" si="7"/>
        <v>87.80487805</v>
      </c>
      <c r="L89" s="63">
        <f t="shared" si="7"/>
        <v>86.58536585</v>
      </c>
      <c r="M89" s="63">
        <f t="shared" si="7"/>
        <v>78.04878049</v>
      </c>
      <c r="N89" s="63">
        <f t="shared" si="7"/>
        <v>86.58536585</v>
      </c>
      <c r="O89" s="63">
        <f t="shared" si="7"/>
        <v>85.36585366</v>
      </c>
      <c r="P89" s="63">
        <f t="shared" si="7"/>
        <v>0</v>
      </c>
      <c r="Q89" s="63">
        <f t="shared" si="7"/>
        <v>0</v>
      </c>
      <c r="R89" s="63">
        <f t="shared" si="7"/>
        <v>0</v>
      </c>
      <c r="S89" s="63">
        <f t="shared" si="7"/>
        <v>0</v>
      </c>
      <c r="T89" s="63">
        <f t="shared" si="7"/>
        <v>0</v>
      </c>
      <c r="U89" s="63">
        <f t="shared" si="7"/>
        <v>0</v>
      </c>
      <c r="V89" s="63">
        <f t="shared" si="7"/>
        <v>0</v>
      </c>
      <c r="W89" s="63">
        <f t="shared" si="7"/>
        <v>0</v>
      </c>
      <c r="X89" s="63">
        <f t="shared" si="7"/>
        <v>0</v>
      </c>
      <c r="Y89" s="63">
        <f t="shared" si="7"/>
        <v>0</v>
      </c>
      <c r="Z89" s="63">
        <f t="shared" si="7"/>
        <v>0</v>
      </c>
      <c r="AA89" s="63">
        <f t="shared" si="7"/>
        <v>0</v>
      </c>
      <c r="AB89" s="63">
        <f t="shared" si="7"/>
        <v>0</v>
      </c>
      <c r="AC89" s="63">
        <f t="shared" si="7"/>
        <v>0</v>
      </c>
      <c r="AD89" s="63">
        <f t="shared" si="7"/>
        <v>0</v>
      </c>
      <c r="AE89" s="63">
        <f t="shared" si="7"/>
        <v>0</v>
      </c>
      <c r="AF89" s="63">
        <f t="shared" si="7"/>
        <v>0</v>
      </c>
      <c r="AG89" s="63">
        <f t="shared" si="7"/>
        <v>0</v>
      </c>
      <c r="AH89" s="63">
        <f t="shared" si="7"/>
        <v>0</v>
      </c>
      <c r="AI89" s="63">
        <f t="shared" si="7"/>
        <v>0</v>
      </c>
      <c r="AJ89" s="63">
        <f t="shared" si="7"/>
        <v>0</v>
      </c>
      <c r="AK89" s="63">
        <f t="shared" si="7"/>
        <v>0</v>
      </c>
      <c r="AL89" s="63">
        <f t="shared" si="7"/>
        <v>0</v>
      </c>
      <c r="AM89" s="63">
        <f t="shared" si="7"/>
        <v>0</v>
      </c>
      <c r="AN89" s="63">
        <f t="shared" si="7"/>
        <v>0</v>
      </c>
      <c r="AO89" s="63">
        <f t="shared" si="7"/>
        <v>0</v>
      </c>
      <c r="AP89" s="63">
        <f t="shared" si="7"/>
        <v>0</v>
      </c>
      <c r="AQ89" s="63">
        <f t="shared" si="7"/>
        <v>0</v>
      </c>
      <c r="AR89" s="63">
        <f t="shared" si="7"/>
        <v>0</v>
      </c>
      <c r="AS89" s="63">
        <f t="shared" si="7"/>
        <v>0</v>
      </c>
      <c r="AT89" s="63">
        <f t="shared" si="7"/>
        <v>0</v>
      </c>
      <c r="AU89" s="63">
        <f t="shared" si="7"/>
        <v>0</v>
      </c>
      <c r="AV89" s="63">
        <f t="shared" si="7"/>
        <v>0</v>
      </c>
      <c r="AW89" s="63">
        <f t="shared" si="7"/>
        <v>0</v>
      </c>
      <c r="AX89" s="63">
        <f t="shared" si="7"/>
        <v>0</v>
      </c>
      <c r="AY89" s="63">
        <f t="shared" si="7"/>
        <v>0</v>
      </c>
      <c r="AZ89" s="63">
        <f t="shared" si="7"/>
        <v>0</v>
      </c>
      <c r="BA89" s="34"/>
      <c r="BB89" s="34"/>
      <c r="BC89" s="34"/>
      <c r="BD89" s="34"/>
      <c r="BE89" s="61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</row>
    <row r="94">
      <c r="A94" s="1" t="s">
        <v>194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3"/>
    </row>
    <row r="95">
      <c r="A95" s="4" t="s">
        <v>1</v>
      </c>
      <c r="B95" s="5" t="s">
        <v>2</v>
      </c>
      <c r="C95" s="6" t="s">
        <v>3</v>
      </c>
      <c r="D95" s="7" t="s">
        <v>4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3"/>
    </row>
    <row r="96" ht="62.25" customHeight="1">
      <c r="A96" s="8"/>
      <c r="B96" s="8"/>
      <c r="C96" s="8"/>
      <c r="D96" s="9" t="s">
        <v>5</v>
      </c>
      <c r="E96" s="10" t="s">
        <v>6</v>
      </c>
      <c r="F96" s="10" t="s">
        <v>6</v>
      </c>
      <c r="G96" s="10" t="s">
        <v>6</v>
      </c>
      <c r="H96" s="10" t="s">
        <v>6</v>
      </c>
      <c r="I96" s="65" t="s">
        <v>7</v>
      </c>
      <c r="J96" s="66" t="s">
        <v>195</v>
      </c>
      <c r="K96" s="66" t="s">
        <v>195</v>
      </c>
      <c r="L96" s="66" t="s">
        <v>195</v>
      </c>
      <c r="M96" s="66" t="s">
        <v>195</v>
      </c>
      <c r="N96" s="66" t="s">
        <v>195</v>
      </c>
      <c r="O96" s="66" t="s">
        <v>195</v>
      </c>
      <c r="P96" s="67"/>
      <c r="Q96" s="67"/>
      <c r="R96" s="67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9"/>
      <c r="AY96" s="69"/>
      <c r="AZ96" s="68"/>
      <c r="BA96" s="18" t="s">
        <v>21</v>
      </c>
      <c r="BB96" s="19" t="s">
        <v>22</v>
      </c>
      <c r="BC96" s="20" t="s">
        <v>23</v>
      </c>
      <c r="BD96" s="21" t="s">
        <v>24</v>
      </c>
      <c r="BE96" s="22" t="s">
        <v>25</v>
      </c>
    </row>
    <row r="97" ht="57.75" customHeight="1">
      <c r="A97" s="15"/>
      <c r="B97" s="15"/>
      <c r="C97" s="15"/>
      <c r="D97" s="10" t="s">
        <v>196</v>
      </c>
      <c r="E97" s="10" t="s">
        <v>10</v>
      </c>
      <c r="F97" s="66" t="s">
        <v>197</v>
      </c>
      <c r="G97" s="66" t="s">
        <v>198</v>
      </c>
      <c r="H97" s="66" t="s">
        <v>199</v>
      </c>
      <c r="I97" s="66" t="s">
        <v>200</v>
      </c>
      <c r="J97" s="66" t="s">
        <v>201</v>
      </c>
      <c r="K97" s="66" t="s">
        <v>202</v>
      </c>
      <c r="L97" s="66" t="s">
        <v>203</v>
      </c>
      <c r="M97" s="66" t="s">
        <v>204</v>
      </c>
      <c r="N97" s="66" t="s">
        <v>205</v>
      </c>
      <c r="O97" s="66" t="s">
        <v>206</v>
      </c>
      <c r="P97" s="67"/>
      <c r="Q97" s="70"/>
      <c r="R97" s="70"/>
      <c r="S97" s="69"/>
      <c r="T97" s="69"/>
      <c r="U97" s="69"/>
      <c r="V97" s="69"/>
      <c r="W97" s="69"/>
      <c r="X97" s="69"/>
      <c r="Y97" s="69"/>
      <c r="Z97" s="69"/>
      <c r="AA97" s="68"/>
      <c r="AB97" s="68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8"/>
      <c r="BA97" s="32">
        <f t="shared" ref="BA97:BA179" si="8">COUNTIF(D97:AZ97,"L")</f>
        <v>0</v>
      </c>
      <c r="BB97" s="32">
        <f t="shared" ref="BB97:BB179" si="9">COUNTIF(D97:AZ97,"A")</f>
        <v>0</v>
      </c>
      <c r="BC97" s="32">
        <f t="shared" ref="BC97:BC179" si="10">COUNTIF(D97:AZ97,"p")</f>
        <v>0</v>
      </c>
      <c r="BD97" s="32">
        <f t="shared" ref="BD97:BD179" si="11">SUM(BA97:BC97)</f>
        <v>0</v>
      </c>
      <c r="BE97" s="33" t="str">
        <f t="shared" ref="BE97:BE179" si="12">SUM(BA97,BC97)/BD97*100</f>
        <v>#DIV/0!</v>
      </c>
    </row>
    <row r="98">
      <c r="A98" s="24">
        <v>1.0</v>
      </c>
      <c r="B98" s="24" t="s">
        <v>207</v>
      </c>
      <c r="C98" s="25" t="s">
        <v>208</v>
      </c>
      <c r="D98" s="26" t="s">
        <v>28</v>
      </c>
      <c r="E98" s="26" t="s">
        <v>28</v>
      </c>
      <c r="F98" s="26" t="s">
        <v>28</v>
      </c>
      <c r="G98" s="26" t="s">
        <v>28</v>
      </c>
      <c r="H98" s="26" t="s">
        <v>28</v>
      </c>
      <c r="I98" s="26" t="s">
        <v>28</v>
      </c>
      <c r="J98" s="26" t="s">
        <v>28</v>
      </c>
      <c r="K98" s="26" t="s">
        <v>28</v>
      </c>
      <c r="L98" s="26" t="s">
        <v>28</v>
      </c>
      <c r="M98" s="26" t="s">
        <v>28</v>
      </c>
      <c r="N98" s="26" t="s">
        <v>28</v>
      </c>
      <c r="O98" s="26" t="s">
        <v>28</v>
      </c>
      <c r="P98" s="43"/>
      <c r="Q98" s="43"/>
      <c r="R98" s="43"/>
      <c r="S98" s="44"/>
      <c r="T98" s="45"/>
      <c r="U98" s="45"/>
      <c r="V98" s="45"/>
      <c r="W98" s="45"/>
      <c r="X98" s="45"/>
      <c r="Y98" s="45"/>
      <c r="Z98" s="45"/>
      <c r="AA98" s="45"/>
      <c r="AB98" s="71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32">
        <f t="shared" si="8"/>
        <v>0</v>
      </c>
      <c r="BB98" s="32">
        <f t="shared" si="9"/>
        <v>0</v>
      </c>
      <c r="BC98" s="32">
        <f t="shared" si="10"/>
        <v>12</v>
      </c>
      <c r="BD98" s="32">
        <f t="shared" si="11"/>
        <v>12</v>
      </c>
      <c r="BE98" s="33">
        <f t="shared" si="12"/>
        <v>100</v>
      </c>
    </row>
    <row r="99">
      <c r="A99" s="24">
        <v>2.0</v>
      </c>
      <c r="B99" s="24" t="s">
        <v>209</v>
      </c>
      <c r="C99" s="25" t="s">
        <v>210</v>
      </c>
      <c r="D99" s="26" t="s">
        <v>28</v>
      </c>
      <c r="E99" s="27" t="s">
        <v>22</v>
      </c>
      <c r="F99" s="26" t="s">
        <v>28</v>
      </c>
      <c r="G99" s="26" t="s">
        <v>28</v>
      </c>
      <c r="H99" s="26" t="s">
        <v>28</v>
      </c>
      <c r="I99" s="26" t="s">
        <v>28</v>
      </c>
      <c r="J99" s="26" t="s">
        <v>28</v>
      </c>
      <c r="K99" s="26" t="s">
        <v>28</v>
      </c>
      <c r="L99" s="26" t="s">
        <v>28</v>
      </c>
      <c r="M99" s="27" t="s">
        <v>22</v>
      </c>
      <c r="N99" s="26" t="s">
        <v>28</v>
      </c>
      <c r="O99" s="26" t="s">
        <v>28</v>
      </c>
      <c r="P99" s="43"/>
      <c r="Q99" s="43"/>
      <c r="R99" s="43"/>
      <c r="S99" s="44"/>
      <c r="T99" s="45"/>
      <c r="U99" s="45"/>
      <c r="V99" s="45"/>
      <c r="W99" s="45"/>
      <c r="X99" s="45"/>
      <c r="Y99" s="45"/>
      <c r="Z99" s="45"/>
      <c r="AA99" s="45"/>
      <c r="AB99" s="46"/>
      <c r="AC99" s="46"/>
      <c r="AD99" s="46"/>
      <c r="AE99" s="55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32">
        <f t="shared" si="8"/>
        <v>0</v>
      </c>
      <c r="BB99" s="32">
        <f t="shared" si="9"/>
        <v>2</v>
      </c>
      <c r="BC99" s="32">
        <f t="shared" si="10"/>
        <v>10</v>
      </c>
      <c r="BD99" s="32">
        <f t="shared" si="11"/>
        <v>12</v>
      </c>
      <c r="BE99" s="33">
        <f t="shared" si="12"/>
        <v>83.33333333</v>
      </c>
    </row>
    <row r="100">
      <c r="A100" s="24">
        <v>3.0</v>
      </c>
      <c r="B100" s="24" t="s">
        <v>211</v>
      </c>
      <c r="C100" s="25" t="s">
        <v>212</v>
      </c>
      <c r="D100" s="26" t="s">
        <v>28</v>
      </c>
      <c r="E100" s="26" t="s">
        <v>28</v>
      </c>
      <c r="F100" s="26" t="s">
        <v>28</v>
      </c>
      <c r="G100" s="27" t="s">
        <v>22</v>
      </c>
      <c r="H100" s="27" t="s">
        <v>22</v>
      </c>
      <c r="I100" s="26" t="s">
        <v>28</v>
      </c>
      <c r="J100" s="26" t="s">
        <v>28</v>
      </c>
      <c r="K100" s="26" t="s">
        <v>28</v>
      </c>
      <c r="L100" s="26" t="s">
        <v>28</v>
      </c>
      <c r="M100" s="26" t="s">
        <v>28</v>
      </c>
      <c r="N100" s="26" t="s">
        <v>28</v>
      </c>
      <c r="O100" s="26" t="s">
        <v>28</v>
      </c>
      <c r="P100" s="30"/>
      <c r="Q100" s="28"/>
      <c r="R100" s="30"/>
      <c r="S100" s="30"/>
      <c r="T100" s="28"/>
      <c r="U100" s="29"/>
      <c r="V100" s="29"/>
      <c r="W100" s="29"/>
      <c r="X100" s="29"/>
      <c r="Y100" s="29"/>
      <c r="Z100" s="29"/>
      <c r="AA100" s="29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2">
        <f t="shared" si="8"/>
        <v>0</v>
      </c>
      <c r="BB100" s="32">
        <f t="shared" si="9"/>
        <v>2</v>
      </c>
      <c r="BC100" s="32">
        <f t="shared" si="10"/>
        <v>10</v>
      </c>
      <c r="BD100" s="32">
        <f t="shared" si="11"/>
        <v>12</v>
      </c>
      <c r="BE100" s="33">
        <f t="shared" si="12"/>
        <v>83.33333333</v>
      </c>
    </row>
    <row r="101">
      <c r="A101" s="24">
        <v>4.0</v>
      </c>
      <c r="B101" s="24" t="s">
        <v>213</v>
      </c>
      <c r="C101" s="25" t="s">
        <v>214</v>
      </c>
      <c r="D101" s="26" t="s">
        <v>28</v>
      </c>
      <c r="E101" s="26" t="s">
        <v>28</v>
      </c>
      <c r="F101" s="26" t="s">
        <v>28</v>
      </c>
      <c r="G101" s="27" t="s">
        <v>22</v>
      </c>
      <c r="H101" s="27" t="s">
        <v>22</v>
      </c>
      <c r="I101" s="26" t="s">
        <v>28</v>
      </c>
      <c r="J101" s="26" t="s">
        <v>28</v>
      </c>
      <c r="K101" s="26" t="s">
        <v>28</v>
      </c>
      <c r="L101" s="26" t="s">
        <v>28</v>
      </c>
      <c r="M101" s="26" t="s">
        <v>28</v>
      </c>
      <c r="N101" s="26" t="s">
        <v>28</v>
      </c>
      <c r="O101" s="26" t="s">
        <v>28</v>
      </c>
      <c r="P101" s="28"/>
      <c r="Q101" s="30"/>
      <c r="R101" s="28"/>
      <c r="S101" s="28"/>
      <c r="T101" s="30"/>
      <c r="U101" s="29"/>
      <c r="V101" s="29"/>
      <c r="W101" s="29"/>
      <c r="X101" s="29"/>
      <c r="Y101" s="29"/>
      <c r="Z101" s="29"/>
      <c r="AA101" s="29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2">
        <f t="shared" si="8"/>
        <v>0</v>
      </c>
      <c r="BB101" s="32">
        <f t="shared" si="9"/>
        <v>2</v>
      </c>
      <c r="BC101" s="32">
        <f t="shared" si="10"/>
        <v>10</v>
      </c>
      <c r="BD101" s="32">
        <f t="shared" si="11"/>
        <v>12</v>
      </c>
      <c r="BE101" s="33">
        <f t="shared" si="12"/>
        <v>83.33333333</v>
      </c>
    </row>
    <row r="102">
      <c r="A102" s="24">
        <v>5.0</v>
      </c>
      <c r="B102" s="24" t="s">
        <v>215</v>
      </c>
      <c r="C102" s="25" t="s">
        <v>216</v>
      </c>
      <c r="D102" s="26" t="s">
        <v>28</v>
      </c>
      <c r="E102" s="27" t="s">
        <v>22</v>
      </c>
      <c r="F102" s="26" t="s">
        <v>28</v>
      </c>
      <c r="G102" s="26" t="s">
        <v>28</v>
      </c>
      <c r="H102" s="26" t="s">
        <v>28</v>
      </c>
      <c r="I102" s="26" t="s">
        <v>28</v>
      </c>
      <c r="J102" s="26" t="s">
        <v>28</v>
      </c>
      <c r="K102" s="26" t="s">
        <v>28</v>
      </c>
      <c r="L102" s="26" t="s">
        <v>28</v>
      </c>
      <c r="M102" s="26" t="s">
        <v>28</v>
      </c>
      <c r="N102" s="27" t="s">
        <v>22</v>
      </c>
      <c r="O102" s="26" t="s">
        <v>28</v>
      </c>
      <c r="P102" s="43"/>
      <c r="Q102" s="43"/>
      <c r="R102" s="43"/>
      <c r="S102" s="44"/>
      <c r="T102" s="45"/>
      <c r="U102" s="45"/>
      <c r="V102" s="45"/>
      <c r="W102" s="45"/>
      <c r="X102" s="45"/>
      <c r="Y102" s="45"/>
      <c r="Z102" s="45"/>
      <c r="AA102" s="45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32">
        <f t="shared" si="8"/>
        <v>0</v>
      </c>
      <c r="BB102" s="32">
        <f t="shared" si="9"/>
        <v>2</v>
      </c>
      <c r="BC102" s="32">
        <f t="shared" si="10"/>
        <v>10</v>
      </c>
      <c r="BD102" s="32">
        <f t="shared" si="11"/>
        <v>12</v>
      </c>
      <c r="BE102" s="33">
        <f t="shared" si="12"/>
        <v>83.33333333</v>
      </c>
    </row>
    <row r="103">
      <c r="A103" s="24">
        <v>6.0</v>
      </c>
      <c r="B103" s="24" t="s">
        <v>217</v>
      </c>
      <c r="C103" s="25" t="s">
        <v>218</v>
      </c>
      <c r="D103" s="26" t="s">
        <v>28</v>
      </c>
      <c r="E103" s="26" t="s">
        <v>28</v>
      </c>
      <c r="F103" s="26" t="s">
        <v>28</v>
      </c>
      <c r="G103" s="26" t="s">
        <v>28</v>
      </c>
      <c r="H103" s="27" t="s">
        <v>22</v>
      </c>
      <c r="I103" s="26" t="s">
        <v>28</v>
      </c>
      <c r="J103" s="26" t="s">
        <v>28</v>
      </c>
      <c r="K103" s="26" t="s">
        <v>28</v>
      </c>
      <c r="L103" s="26" t="s">
        <v>28</v>
      </c>
      <c r="M103" s="26" t="s">
        <v>28</v>
      </c>
      <c r="N103" s="26" t="s">
        <v>28</v>
      </c>
      <c r="O103" s="26" t="s">
        <v>28</v>
      </c>
      <c r="P103" s="43"/>
      <c r="Q103" s="43"/>
      <c r="R103" s="43"/>
      <c r="S103" s="44"/>
      <c r="T103" s="45"/>
      <c r="U103" s="45"/>
      <c r="V103" s="45"/>
      <c r="W103" s="45"/>
      <c r="X103" s="45"/>
      <c r="Y103" s="45"/>
      <c r="Z103" s="45"/>
      <c r="AA103" s="45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32">
        <f t="shared" si="8"/>
        <v>0</v>
      </c>
      <c r="BB103" s="32">
        <f t="shared" si="9"/>
        <v>1</v>
      </c>
      <c r="BC103" s="32">
        <f t="shared" si="10"/>
        <v>11</v>
      </c>
      <c r="BD103" s="32">
        <f t="shared" si="11"/>
        <v>12</v>
      </c>
      <c r="BE103" s="33">
        <f t="shared" si="12"/>
        <v>91.66666667</v>
      </c>
    </row>
    <row r="104">
      <c r="A104" s="24">
        <v>7.0</v>
      </c>
      <c r="B104" s="35" t="s">
        <v>219</v>
      </c>
      <c r="C104" s="36" t="s">
        <v>220</v>
      </c>
      <c r="D104" s="26" t="s">
        <v>28</v>
      </c>
      <c r="E104" s="26" t="s">
        <v>28</v>
      </c>
      <c r="F104" s="26" t="s">
        <v>28</v>
      </c>
      <c r="G104" s="27" t="s">
        <v>22</v>
      </c>
      <c r="H104" s="26" t="s">
        <v>28</v>
      </c>
      <c r="I104" s="26" t="s">
        <v>28</v>
      </c>
      <c r="J104" s="27" t="s">
        <v>22</v>
      </c>
      <c r="K104" s="27" t="s">
        <v>22</v>
      </c>
      <c r="L104" s="27" t="s">
        <v>22</v>
      </c>
      <c r="M104" s="27" t="s">
        <v>22</v>
      </c>
      <c r="N104" s="27" t="s">
        <v>22</v>
      </c>
      <c r="O104" s="27" t="s">
        <v>22</v>
      </c>
      <c r="P104" s="43"/>
      <c r="Q104" s="43"/>
      <c r="R104" s="43"/>
      <c r="S104" s="44"/>
      <c r="T104" s="45"/>
      <c r="U104" s="45"/>
      <c r="V104" s="45"/>
      <c r="W104" s="45"/>
      <c r="X104" s="45"/>
      <c r="Y104" s="45"/>
      <c r="Z104" s="45"/>
      <c r="AA104" s="45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32">
        <f t="shared" si="8"/>
        <v>0</v>
      </c>
      <c r="BB104" s="32">
        <f t="shared" si="9"/>
        <v>7</v>
      </c>
      <c r="BC104" s="32">
        <f t="shared" si="10"/>
        <v>5</v>
      </c>
      <c r="BD104" s="32">
        <f t="shared" si="11"/>
        <v>12</v>
      </c>
      <c r="BE104" s="33">
        <f t="shared" si="12"/>
        <v>41.66666667</v>
      </c>
    </row>
    <row r="105">
      <c r="A105" s="24">
        <v>8.0</v>
      </c>
      <c r="B105" s="24" t="s">
        <v>221</v>
      </c>
      <c r="C105" s="25" t="s">
        <v>222</v>
      </c>
      <c r="D105" s="26" t="s">
        <v>28</v>
      </c>
      <c r="E105" s="26" t="s">
        <v>28</v>
      </c>
      <c r="F105" s="26" t="s">
        <v>28</v>
      </c>
      <c r="G105" s="26" t="s">
        <v>28</v>
      </c>
      <c r="H105" s="26" t="s">
        <v>28</v>
      </c>
      <c r="I105" s="26" t="s">
        <v>28</v>
      </c>
      <c r="J105" s="26" t="s">
        <v>28</v>
      </c>
      <c r="K105" s="26" t="s">
        <v>28</v>
      </c>
      <c r="L105" s="26" t="s">
        <v>28</v>
      </c>
      <c r="M105" s="26" t="s">
        <v>28</v>
      </c>
      <c r="N105" s="26" t="s">
        <v>28</v>
      </c>
      <c r="O105" s="26" t="s">
        <v>28</v>
      </c>
      <c r="P105" s="43"/>
      <c r="Q105" s="43"/>
      <c r="R105" s="43"/>
      <c r="S105" s="44"/>
      <c r="T105" s="45"/>
      <c r="U105" s="45"/>
      <c r="V105" s="45"/>
      <c r="W105" s="45"/>
      <c r="X105" s="45"/>
      <c r="Y105" s="45"/>
      <c r="Z105" s="45"/>
      <c r="AA105" s="45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32">
        <f t="shared" si="8"/>
        <v>0</v>
      </c>
      <c r="BB105" s="32">
        <f t="shared" si="9"/>
        <v>0</v>
      </c>
      <c r="BC105" s="32">
        <f t="shared" si="10"/>
        <v>12</v>
      </c>
      <c r="BD105" s="32">
        <f t="shared" si="11"/>
        <v>12</v>
      </c>
      <c r="BE105" s="33">
        <f t="shared" si="12"/>
        <v>100</v>
      </c>
    </row>
    <row r="106">
      <c r="A106" s="24">
        <v>9.0</v>
      </c>
      <c r="B106" s="24" t="s">
        <v>223</v>
      </c>
      <c r="C106" s="25" t="s">
        <v>224</v>
      </c>
      <c r="D106" s="26" t="s">
        <v>28</v>
      </c>
      <c r="E106" s="26" t="s">
        <v>28</v>
      </c>
      <c r="F106" s="26" t="s">
        <v>28</v>
      </c>
      <c r="G106" s="26" t="s">
        <v>28</v>
      </c>
      <c r="H106" s="26" t="s">
        <v>28</v>
      </c>
      <c r="I106" s="26" t="s">
        <v>28</v>
      </c>
      <c r="J106" s="27" t="s">
        <v>22</v>
      </c>
      <c r="K106" s="26" t="s">
        <v>28</v>
      </c>
      <c r="L106" s="26" t="s">
        <v>28</v>
      </c>
      <c r="M106" s="26" t="s">
        <v>28</v>
      </c>
      <c r="N106" s="26" t="s">
        <v>28</v>
      </c>
      <c r="O106" s="26" t="s">
        <v>28</v>
      </c>
      <c r="P106" s="43"/>
      <c r="Q106" s="43"/>
      <c r="R106" s="43"/>
      <c r="S106" s="44"/>
      <c r="T106" s="45"/>
      <c r="U106" s="45"/>
      <c r="V106" s="45"/>
      <c r="W106" s="45"/>
      <c r="X106" s="45"/>
      <c r="Y106" s="45"/>
      <c r="Z106" s="45"/>
      <c r="AA106" s="45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32">
        <f t="shared" si="8"/>
        <v>0</v>
      </c>
      <c r="BB106" s="32">
        <f t="shared" si="9"/>
        <v>1</v>
      </c>
      <c r="BC106" s="32">
        <f t="shared" si="10"/>
        <v>11</v>
      </c>
      <c r="BD106" s="32">
        <f t="shared" si="11"/>
        <v>12</v>
      </c>
      <c r="BE106" s="33">
        <f t="shared" si="12"/>
        <v>91.66666667</v>
      </c>
    </row>
    <row r="107">
      <c r="A107" s="24">
        <v>10.0</v>
      </c>
      <c r="B107" s="24" t="s">
        <v>225</v>
      </c>
      <c r="C107" s="25" t="s">
        <v>226</v>
      </c>
      <c r="D107" s="26" t="s">
        <v>28</v>
      </c>
      <c r="E107" s="26" t="s">
        <v>28</v>
      </c>
      <c r="F107" s="26" t="s">
        <v>28</v>
      </c>
      <c r="G107" s="26" t="s">
        <v>28</v>
      </c>
      <c r="H107" s="26" t="s">
        <v>28</v>
      </c>
      <c r="I107" s="26" t="s">
        <v>28</v>
      </c>
      <c r="J107" s="26" t="s">
        <v>28</v>
      </c>
      <c r="K107" s="26" t="s">
        <v>28</v>
      </c>
      <c r="L107" s="26" t="s">
        <v>28</v>
      </c>
      <c r="M107" s="26" t="s">
        <v>28</v>
      </c>
      <c r="N107" s="26" t="s">
        <v>28</v>
      </c>
      <c r="O107" s="26" t="s">
        <v>28</v>
      </c>
      <c r="P107" s="71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32">
        <f t="shared" si="8"/>
        <v>0</v>
      </c>
      <c r="BB107" s="32">
        <f t="shared" si="9"/>
        <v>0</v>
      </c>
      <c r="BC107" s="32">
        <f t="shared" si="10"/>
        <v>12</v>
      </c>
      <c r="BD107" s="32">
        <f t="shared" si="11"/>
        <v>12</v>
      </c>
      <c r="BE107" s="33">
        <f t="shared" si="12"/>
        <v>100</v>
      </c>
    </row>
    <row r="108">
      <c r="A108" s="24">
        <v>11.0</v>
      </c>
      <c r="B108" s="24" t="s">
        <v>227</v>
      </c>
      <c r="C108" s="25" t="s">
        <v>228</v>
      </c>
      <c r="D108" s="26" t="s">
        <v>28</v>
      </c>
      <c r="E108" s="26" t="s">
        <v>28</v>
      </c>
      <c r="F108" s="26" t="s">
        <v>28</v>
      </c>
      <c r="G108" s="26" t="s">
        <v>28</v>
      </c>
      <c r="H108" s="26" t="s">
        <v>28</v>
      </c>
      <c r="I108" s="26" t="s">
        <v>28</v>
      </c>
      <c r="J108" s="26" t="s">
        <v>28</v>
      </c>
      <c r="K108" s="26" t="s">
        <v>28</v>
      </c>
      <c r="L108" s="26" t="s">
        <v>28</v>
      </c>
      <c r="M108" s="26" t="s">
        <v>28</v>
      </c>
      <c r="N108" s="26" t="s">
        <v>28</v>
      </c>
      <c r="O108" s="26" t="s">
        <v>28</v>
      </c>
      <c r="P108" s="71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32">
        <f t="shared" si="8"/>
        <v>0</v>
      </c>
      <c r="BB108" s="32">
        <f t="shared" si="9"/>
        <v>0</v>
      </c>
      <c r="BC108" s="32">
        <f t="shared" si="10"/>
        <v>12</v>
      </c>
      <c r="BD108" s="32">
        <f t="shared" si="11"/>
        <v>12</v>
      </c>
      <c r="BE108" s="33">
        <f t="shared" si="12"/>
        <v>100</v>
      </c>
    </row>
    <row r="109">
      <c r="A109" s="24">
        <v>12.0</v>
      </c>
      <c r="B109" s="24" t="s">
        <v>229</v>
      </c>
      <c r="C109" s="25" t="s">
        <v>230</v>
      </c>
      <c r="D109" s="26" t="s">
        <v>28</v>
      </c>
      <c r="E109" s="27" t="s">
        <v>22</v>
      </c>
      <c r="F109" s="26" t="s">
        <v>28</v>
      </c>
      <c r="G109" s="26" t="s">
        <v>28</v>
      </c>
      <c r="H109" s="26" t="s">
        <v>28</v>
      </c>
      <c r="I109" s="26" t="s">
        <v>28</v>
      </c>
      <c r="J109" s="26" t="s">
        <v>28</v>
      </c>
      <c r="K109" s="27" t="s">
        <v>22</v>
      </c>
      <c r="L109" s="26" t="s">
        <v>28</v>
      </c>
      <c r="M109" s="26" t="s">
        <v>28</v>
      </c>
      <c r="N109" s="26" t="s">
        <v>28</v>
      </c>
      <c r="O109" s="26" t="s">
        <v>28</v>
      </c>
      <c r="P109" s="43"/>
      <c r="Q109" s="43"/>
      <c r="R109" s="43"/>
      <c r="S109" s="44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32">
        <f t="shared" si="8"/>
        <v>0</v>
      </c>
      <c r="BB109" s="32">
        <f t="shared" si="9"/>
        <v>2</v>
      </c>
      <c r="BC109" s="32">
        <f t="shared" si="10"/>
        <v>10</v>
      </c>
      <c r="BD109" s="32">
        <f t="shared" si="11"/>
        <v>12</v>
      </c>
      <c r="BE109" s="33">
        <f t="shared" si="12"/>
        <v>83.33333333</v>
      </c>
    </row>
    <row r="110">
      <c r="A110" s="24">
        <v>13.0</v>
      </c>
      <c r="B110" s="24" t="s">
        <v>231</v>
      </c>
      <c r="C110" s="25" t="s">
        <v>232</v>
      </c>
      <c r="D110" s="26" t="s">
        <v>28</v>
      </c>
      <c r="E110" s="26" t="s">
        <v>28</v>
      </c>
      <c r="F110" s="26" t="s">
        <v>28</v>
      </c>
      <c r="G110" s="26" t="s">
        <v>28</v>
      </c>
      <c r="H110" s="26" t="s">
        <v>28</v>
      </c>
      <c r="I110" s="26" t="s">
        <v>28</v>
      </c>
      <c r="J110" s="26" t="s">
        <v>28</v>
      </c>
      <c r="K110" s="26" t="s">
        <v>28</v>
      </c>
      <c r="L110" s="26" t="s">
        <v>28</v>
      </c>
      <c r="M110" s="26" t="s">
        <v>28</v>
      </c>
      <c r="N110" s="26" t="s">
        <v>28</v>
      </c>
      <c r="O110" s="26" t="s">
        <v>28</v>
      </c>
      <c r="P110" s="43"/>
      <c r="Q110" s="43"/>
      <c r="R110" s="43"/>
      <c r="S110" s="44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32">
        <f t="shared" si="8"/>
        <v>0</v>
      </c>
      <c r="BB110" s="32">
        <f t="shared" si="9"/>
        <v>0</v>
      </c>
      <c r="BC110" s="32">
        <f t="shared" si="10"/>
        <v>12</v>
      </c>
      <c r="BD110" s="32">
        <f t="shared" si="11"/>
        <v>12</v>
      </c>
      <c r="BE110" s="33">
        <f t="shared" si="12"/>
        <v>100</v>
      </c>
    </row>
    <row r="111">
      <c r="A111" s="24">
        <v>14.0</v>
      </c>
      <c r="B111" s="72" t="s">
        <v>233</v>
      </c>
      <c r="C111" s="73" t="s">
        <v>234</v>
      </c>
      <c r="D111" s="26" t="s">
        <v>28</v>
      </c>
      <c r="E111" s="27" t="s">
        <v>22</v>
      </c>
      <c r="F111" s="26" t="s">
        <v>28</v>
      </c>
      <c r="G111" s="27" t="s">
        <v>22</v>
      </c>
      <c r="H111" s="26" t="s">
        <v>28</v>
      </c>
      <c r="I111" s="27" t="s">
        <v>22</v>
      </c>
      <c r="J111" s="26" t="s">
        <v>28</v>
      </c>
      <c r="K111" s="26" t="s">
        <v>28</v>
      </c>
      <c r="L111" s="26" t="s">
        <v>28</v>
      </c>
      <c r="M111" s="26" t="s">
        <v>28</v>
      </c>
      <c r="N111" s="26" t="s">
        <v>28</v>
      </c>
      <c r="O111" s="26" t="s">
        <v>28</v>
      </c>
      <c r="P111" s="71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32">
        <f t="shared" si="8"/>
        <v>0</v>
      </c>
      <c r="BB111" s="32">
        <f t="shared" si="9"/>
        <v>3</v>
      </c>
      <c r="BC111" s="32">
        <f t="shared" si="10"/>
        <v>9</v>
      </c>
      <c r="BD111" s="32">
        <f t="shared" si="11"/>
        <v>12</v>
      </c>
      <c r="BE111" s="33">
        <f t="shared" si="12"/>
        <v>75</v>
      </c>
    </row>
    <row r="112">
      <c r="A112" s="24">
        <v>15.0</v>
      </c>
      <c r="B112" s="24" t="s">
        <v>235</v>
      </c>
      <c r="C112" s="25" t="s">
        <v>236</v>
      </c>
      <c r="D112" s="26" t="s">
        <v>28</v>
      </c>
      <c r="E112" s="26" t="s">
        <v>28</v>
      </c>
      <c r="F112" s="26" t="s">
        <v>28</v>
      </c>
      <c r="G112" s="26" t="s">
        <v>28</v>
      </c>
      <c r="H112" s="26" t="s">
        <v>28</v>
      </c>
      <c r="I112" s="26" t="s">
        <v>28</v>
      </c>
      <c r="J112" s="26" t="s">
        <v>28</v>
      </c>
      <c r="K112" s="26" t="s">
        <v>28</v>
      </c>
      <c r="L112" s="26" t="s">
        <v>28</v>
      </c>
      <c r="M112" s="26" t="s">
        <v>28</v>
      </c>
      <c r="N112" s="26" t="s">
        <v>28</v>
      </c>
      <c r="O112" s="26" t="s">
        <v>28</v>
      </c>
      <c r="P112" s="43"/>
      <c r="Q112" s="43"/>
      <c r="R112" s="43"/>
      <c r="S112" s="44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32">
        <f t="shared" si="8"/>
        <v>0</v>
      </c>
      <c r="BB112" s="32">
        <f t="shared" si="9"/>
        <v>0</v>
      </c>
      <c r="BC112" s="32">
        <f t="shared" si="10"/>
        <v>12</v>
      </c>
      <c r="BD112" s="32">
        <f t="shared" si="11"/>
        <v>12</v>
      </c>
      <c r="BE112" s="33">
        <f t="shared" si="12"/>
        <v>100</v>
      </c>
    </row>
    <row r="113">
      <c r="A113" s="24">
        <v>16.0</v>
      </c>
      <c r="B113" s="24" t="s">
        <v>237</v>
      </c>
      <c r="C113" s="25" t="s">
        <v>238</v>
      </c>
      <c r="D113" s="26" t="s">
        <v>28</v>
      </c>
      <c r="E113" s="26" t="s">
        <v>28</v>
      </c>
      <c r="F113" s="26" t="s">
        <v>28</v>
      </c>
      <c r="G113" s="26" t="s">
        <v>28</v>
      </c>
      <c r="H113" s="26" t="s">
        <v>28</v>
      </c>
      <c r="I113" s="26" t="s">
        <v>28</v>
      </c>
      <c r="J113" s="26" t="s">
        <v>28</v>
      </c>
      <c r="K113" s="26" t="s">
        <v>28</v>
      </c>
      <c r="L113" s="26" t="s">
        <v>28</v>
      </c>
      <c r="M113" s="26" t="s">
        <v>28</v>
      </c>
      <c r="N113" s="26" t="s">
        <v>28</v>
      </c>
      <c r="O113" s="26" t="s">
        <v>28</v>
      </c>
      <c r="P113" s="43"/>
      <c r="Q113" s="43"/>
      <c r="R113" s="43"/>
      <c r="S113" s="44"/>
      <c r="T113" s="45"/>
      <c r="U113" s="45"/>
      <c r="V113" s="45"/>
      <c r="W113" s="45"/>
      <c r="X113" s="45"/>
      <c r="Y113" s="45"/>
      <c r="Z113" s="45"/>
      <c r="AA113" s="45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32">
        <f t="shared" si="8"/>
        <v>0</v>
      </c>
      <c r="BB113" s="32">
        <f t="shared" si="9"/>
        <v>0</v>
      </c>
      <c r="BC113" s="32">
        <f t="shared" si="10"/>
        <v>12</v>
      </c>
      <c r="BD113" s="32">
        <f t="shared" si="11"/>
        <v>12</v>
      </c>
      <c r="BE113" s="33">
        <f t="shared" si="12"/>
        <v>100</v>
      </c>
    </row>
    <row r="114">
      <c r="A114" s="24">
        <v>17.0</v>
      </c>
      <c r="B114" s="24" t="s">
        <v>239</v>
      </c>
      <c r="C114" s="25" t="s">
        <v>240</v>
      </c>
      <c r="D114" s="26" t="s">
        <v>28</v>
      </c>
      <c r="E114" s="27" t="s">
        <v>22</v>
      </c>
      <c r="F114" s="26" t="s">
        <v>28</v>
      </c>
      <c r="G114" s="27" t="s">
        <v>22</v>
      </c>
      <c r="H114" s="27" t="s">
        <v>22</v>
      </c>
      <c r="I114" s="26" t="s">
        <v>28</v>
      </c>
      <c r="J114" s="26" t="s">
        <v>28</v>
      </c>
      <c r="K114" s="26" t="s">
        <v>28</v>
      </c>
      <c r="L114" s="26" t="s">
        <v>28</v>
      </c>
      <c r="M114" s="26" t="s">
        <v>28</v>
      </c>
      <c r="N114" s="26" t="s">
        <v>28</v>
      </c>
      <c r="O114" s="26" t="s">
        <v>28</v>
      </c>
      <c r="P114" s="43"/>
      <c r="Q114" s="43"/>
      <c r="R114" s="43"/>
      <c r="S114" s="44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32">
        <f t="shared" si="8"/>
        <v>0</v>
      </c>
      <c r="BB114" s="32">
        <f t="shared" si="9"/>
        <v>3</v>
      </c>
      <c r="BC114" s="32">
        <f t="shared" si="10"/>
        <v>9</v>
      </c>
      <c r="BD114" s="32">
        <f t="shared" si="11"/>
        <v>12</v>
      </c>
      <c r="BE114" s="33">
        <f t="shared" si="12"/>
        <v>75</v>
      </c>
    </row>
    <row r="115">
      <c r="A115" s="24">
        <v>18.0</v>
      </c>
      <c r="B115" s="24" t="s">
        <v>241</v>
      </c>
      <c r="C115" s="25" t="s">
        <v>242</v>
      </c>
      <c r="D115" s="26" t="s">
        <v>28</v>
      </c>
      <c r="E115" s="27" t="s">
        <v>22</v>
      </c>
      <c r="F115" s="26" t="s">
        <v>28</v>
      </c>
      <c r="G115" s="27" t="s">
        <v>22</v>
      </c>
      <c r="H115" s="26" t="s">
        <v>28</v>
      </c>
      <c r="I115" s="26" t="s">
        <v>28</v>
      </c>
      <c r="J115" s="26" t="s">
        <v>28</v>
      </c>
      <c r="K115" s="26" t="s">
        <v>28</v>
      </c>
      <c r="L115" s="26" t="s">
        <v>28</v>
      </c>
      <c r="M115" s="26" t="s">
        <v>28</v>
      </c>
      <c r="N115" s="26" t="s">
        <v>28</v>
      </c>
      <c r="O115" s="26" t="s">
        <v>28</v>
      </c>
      <c r="P115" s="43"/>
      <c r="Q115" s="43"/>
      <c r="R115" s="43"/>
      <c r="S115" s="44"/>
      <c r="T115" s="45"/>
      <c r="U115" s="45"/>
      <c r="V115" s="45"/>
      <c r="W115" s="45"/>
      <c r="X115" s="45"/>
      <c r="Y115" s="45"/>
      <c r="Z115" s="45"/>
      <c r="AA115" s="45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32">
        <f t="shared" si="8"/>
        <v>0</v>
      </c>
      <c r="BB115" s="32">
        <f t="shared" si="9"/>
        <v>2</v>
      </c>
      <c r="BC115" s="32">
        <f t="shared" si="10"/>
        <v>10</v>
      </c>
      <c r="BD115" s="32">
        <f t="shared" si="11"/>
        <v>12</v>
      </c>
      <c r="BE115" s="33">
        <f t="shared" si="12"/>
        <v>83.33333333</v>
      </c>
    </row>
    <row r="116">
      <c r="A116" s="24">
        <v>19.0</v>
      </c>
      <c r="B116" s="47" t="s">
        <v>243</v>
      </c>
      <c r="C116" s="25" t="s">
        <v>244</v>
      </c>
      <c r="D116" s="26" t="s">
        <v>28</v>
      </c>
      <c r="E116" s="26" t="s">
        <v>28</v>
      </c>
      <c r="F116" s="26" t="s">
        <v>28</v>
      </c>
      <c r="G116" s="26" t="s">
        <v>28</v>
      </c>
      <c r="H116" s="26" t="s">
        <v>28</v>
      </c>
      <c r="I116" s="26" t="s">
        <v>28</v>
      </c>
      <c r="J116" s="27" t="s">
        <v>22</v>
      </c>
      <c r="K116" s="26" t="s">
        <v>28</v>
      </c>
      <c r="L116" s="26" t="s">
        <v>28</v>
      </c>
      <c r="M116" s="26" t="s">
        <v>28</v>
      </c>
      <c r="N116" s="26" t="s">
        <v>28</v>
      </c>
      <c r="O116" s="26" t="s">
        <v>28</v>
      </c>
      <c r="P116" s="43"/>
      <c r="Q116" s="43"/>
      <c r="R116" s="71"/>
      <c r="S116" s="46"/>
      <c r="T116" s="45"/>
      <c r="U116" s="45"/>
      <c r="V116" s="45"/>
      <c r="W116" s="45"/>
      <c r="X116" s="45"/>
      <c r="Y116" s="45"/>
      <c r="Z116" s="45"/>
      <c r="AA116" s="45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32">
        <f t="shared" si="8"/>
        <v>0</v>
      </c>
      <c r="BB116" s="32">
        <f t="shared" si="9"/>
        <v>1</v>
      </c>
      <c r="BC116" s="32">
        <f t="shared" si="10"/>
        <v>11</v>
      </c>
      <c r="BD116" s="32">
        <f t="shared" si="11"/>
        <v>12</v>
      </c>
      <c r="BE116" s="33">
        <f t="shared" si="12"/>
        <v>91.66666667</v>
      </c>
    </row>
    <row r="117">
      <c r="A117" s="24">
        <v>20.0</v>
      </c>
      <c r="B117" s="24" t="s">
        <v>245</v>
      </c>
      <c r="C117" s="25" t="s">
        <v>246</v>
      </c>
      <c r="D117" s="26" t="s">
        <v>28</v>
      </c>
      <c r="E117" s="26" t="s">
        <v>28</v>
      </c>
      <c r="F117" s="26" t="s">
        <v>28</v>
      </c>
      <c r="G117" s="26" t="s">
        <v>28</v>
      </c>
      <c r="H117" s="26" t="s">
        <v>28</v>
      </c>
      <c r="I117" s="26" t="s">
        <v>28</v>
      </c>
      <c r="J117" s="26" t="s">
        <v>28</v>
      </c>
      <c r="K117" s="26" t="s">
        <v>28</v>
      </c>
      <c r="L117" s="26" t="s">
        <v>28</v>
      </c>
      <c r="M117" s="26" t="s">
        <v>28</v>
      </c>
      <c r="N117" s="27" t="s">
        <v>22</v>
      </c>
      <c r="O117" s="27" t="s">
        <v>22</v>
      </c>
      <c r="P117" s="71"/>
      <c r="Q117" s="71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32">
        <f t="shared" si="8"/>
        <v>0</v>
      </c>
      <c r="BB117" s="32">
        <f t="shared" si="9"/>
        <v>2</v>
      </c>
      <c r="BC117" s="32">
        <f t="shared" si="10"/>
        <v>10</v>
      </c>
      <c r="BD117" s="32">
        <f t="shared" si="11"/>
        <v>12</v>
      </c>
      <c r="BE117" s="33">
        <f t="shared" si="12"/>
        <v>83.33333333</v>
      </c>
    </row>
    <row r="118">
      <c r="A118" s="24">
        <v>21.0</v>
      </c>
      <c r="B118" s="24" t="s">
        <v>247</v>
      </c>
      <c r="C118" s="25" t="s">
        <v>248</v>
      </c>
      <c r="D118" s="26" t="s">
        <v>28</v>
      </c>
      <c r="E118" s="26" t="s">
        <v>28</v>
      </c>
      <c r="F118" s="26" t="s">
        <v>28</v>
      </c>
      <c r="G118" s="27" t="s">
        <v>22</v>
      </c>
      <c r="H118" s="26" t="s">
        <v>28</v>
      </c>
      <c r="I118" s="27" t="s">
        <v>22</v>
      </c>
      <c r="J118" s="26" t="s">
        <v>28</v>
      </c>
      <c r="K118" s="26" t="s">
        <v>28</v>
      </c>
      <c r="L118" s="26" t="s">
        <v>28</v>
      </c>
      <c r="M118" s="26" t="s">
        <v>28</v>
      </c>
      <c r="N118" s="26" t="s">
        <v>28</v>
      </c>
      <c r="O118" s="26" t="s">
        <v>28</v>
      </c>
      <c r="P118" s="43"/>
      <c r="Q118" s="43"/>
      <c r="R118" s="43"/>
      <c r="S118" s="44"/>
      <c r="T118" s="45"/>
      <c r="U118" s="45"/>
      <c r="V118" s="45"/>
      <c r="W118" s="45"/>
      <c r="X118" s="45"/>
      <c r="Y118" s="45"/>
      <c r="Z118" s="45"/>
      <c r="AA118" s="45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32">
        <f t="shared" si="8"/>
        <v>0</v>
      </c>
      <c r="BB118" s="32">
        <f t="shared" si="9"/>
        <v>2</v>
      </c>
      <c r="BC118" s="32">
        <f t="shared" si="10"/>
        <v>10</v>
      </c>
      <c r="BD118" s="32">
        <f t="shared" si="11"/>
        <v>12</v>
      </c>
      <c r="BE118" s="33">
        <f t="shared" si="12"/>
        <v>83.33333333</v>
      </c>
    </row>
    <row r="119">
      <c r="A119" s="24">
        <v>22.0</v>
      </c>
      <c r="B119" s="24" t="s">
        <v>249</v>
      </c>
      <c r="C119" s="25" t="s">
        <v>250</v>
      </c>
      <c r="D119" s="26" t="s">
        <v>28</v>
      </c>
      <c r="E119" s="26" t="s">
        <v>28</v>
      </c>
      <c r="F119" s="26" t="s">
        <v>28</v>
      </c>
      <c r="G119" s="26" t="s">
        <v>28</v>
      </c>
      <c r="H119" s="26" t="s">
        <v>28</v>
      </c>
      <c r="I119" s="26" t="s">
        <v>28</v>
      </c>
      <c r="J119" s="26" t="s">
        <v>28</v>
      </c>
      <c r="K119" s="26" t="s">
        <v>28</v>
      </c>
      <c r="L119" s="26" t="s">
        <v>28</v>
      </c>
      <c r="M119" s="26" t="s">
        <v>28</v>
      </c>
      <c r="N119" s="27" t="s">
        <v>22</v>
      </c>
      <c r="O119" s="26" t="s">
        <v>28</v>
      </c>
      <c r="P119" s="43"/>
      <c r="Q119" s="43"/>
      <c r="R119" s="43"/>
      <c r="S119" s="44"/>
      <c r="T119" s="45"/>
      <c r="U119" s="45"/>
      <c r="V119" s="45"/>
      <c r="W119" s="45"/>
      <c r="X119" s="45"/>
      <c r="Y119" s="45"/>
      <c r="Z119" s="45"/>
      <c r="AA119" s="45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32">
        <f t="shared" si="8"/>
        <v>0</v>
      </c>
      <c r="BB119" s="32">
        <f t="shared" si="9"/>
        <v>1</v>
      </c>
      <c r="BC119" s="32">
        <f t="shared" si="10"/>
        <v>11</v>
      </c>
      <c r="BD119" s="32">
        <f t="shared" si="11"/>
        <v>12</v>
      </c>
      <c r="BE119" s="33">
        <f t="shared" si="12"/>
        <v>91.66666667</v>
      </c>
    </row>
    <row r="120">
      <c r="A120" s="24">
        <v>23.0</v>
      </c>
      <c r="B120" s="24" t="s">
        <v>251</v>
      </c>
      <c r="C120" s="25" t="s">
        <v>252</v>
      </c>
      <c r="D120" s="26" t="s">
        <v>28</v>
      </c>
      <c r="E120" s="26" t="s">
        <v>28</v>
      </c>
      <c r="F120" s="26" t="s">
        <v>28</v>
      </c>
      <c r="G120" s="26" t="s">
        <v>28</v>
      </c>
      <c r="H120" s="26" t="s">
        <v>28</v>
      </c>
      <c r="I120" s="26" t="s">
        <v>28</v>
      </c>
      <c r="J120" s="26" t="s">
        <v>28</v>
      </c>
      <c r="K120" s="26" t="s">
        <v>28</v>
      </c>
      <c r="L120" s="26" t="s">
        <v>28</v>
      </c>
      <c r="M120" s="26" t="s">
        <v>28</v>
      </c>
      <c r="N120" s="27" t="s">
        <v>22</v>
      </c>
      <c r="O120" s="26" t="s">
        <v>28</v>
      </c>
      <c r="P120" s="43"/>
      <c r="Q120" s="43"/>
      <c r="R120" s="43"/>
      <c r="S120" s="44"/>
      <c r="T120" s="45"/>
      <c r="U120" s="45"/>
      <c r="V120" s="45"/>
      <c r="W120" s="45"/>
      <c r="X120" s="45"/>
      <c r="Y120" s="45"/>
      <c r="Z120" s="45"/>
      <c r="AA120" s="45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32">
        <f t="shared" si="8"/>
        <v>0</v>
      </c>
      <c r="BB120" s="32">
        <f t="shared" si="9"/>
        <v>1</v>
      </c>
      <c r="BC120" s="32">
        <f t="shared" si="10"/>
        <v>11</v>
      </c>
      <c r="BD120" s="32">
        <f t="shared" si="11"/>
        <v>12</v>
      </c>
      <c r="BE120" s="33">
        <f t="shared" si="12"/>
        <v>91.66666667</v>
      </c>
    </row>
    <row r="121">
      <c r="A121" s="24">
        <v>24.0</v>
      </c>
      <c r="B121" s="24" t="s">
        <v>253</v>
      </c>
      <c r="C121" s="25" t="s">
        <v>254</v>
      </c>
      <c r="D121" s="26" t="s">
        <v>28</v>
      </c>
      <c r="E121" s="26" t="s">
        <v>28</v>
      </c>
      <c r="F121" s="26" t="s">
        <v>28</v>
      </c>
      <c r="G121" s="26" t="s">
        <v>28</v>
      </c>
      <c r="H121" s="26" t="s">
        <v>28</v>
      </c>
      <c r="I121" s="26" t="s">
        <v>28</v>
      </c>
      <c r="J121" s="27" t="s">
        <v>22</v>
      </c>
      <c r="K121" s="26" t="s">
        <v>28</v>
      </c>
      <c r="L121" s="26" t="s">
        <v>28</v>
      </c>
      <c r="M121" s="26" t="s">
        <v>28</v>
      </c>
      <c r="N121" s="27" t="s">
        <v>22</v>
      </c>
      <c r="O121" s="26" t="s">
        <v>28</v>
      </c>
      <c r="P121" s="43"/>
      <c r="Q121" s="43"/>
      <c r="R121" s="43"/>
      <c r="S121" s="44"/>
      <c r="T121" s="45"/>
      <c r="U121" s="45"/>
      <c r="V121" s="45"/>
      <c r="W121" s="45"/>
      <c r="X121" s="45"/>
      <c r="Y121" s="45"/>
      <c r="Z121" s="45"/>
      <c r="AA121" s="45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32">
        <f t="shared" si="8"/>
        <v>0</v>
      </c>
      <c r="BB121" s="32">
        <f t="shared" si="9"/>
        <v>2</v>
      </c>
      <c r="BC121" s="32">
        <f t="shared" si="10"/>
        <v>10</v>
      </c>
      <c r="BD121" s="32">
        <f t="shared" si="11"/>
        <v>12</v>
      </c>
      <c r="BE121" s="33">
        <f t="shared" si="12"/>
        <v>83.33333333</v>
      </c>
    </row>
    <row r="122">
      <c r="A122" s="24">
        <v>25.0</v>
      </c>
      <c r="B122" s="24" t="s">
        <v>255</v>
      </c>
      <c r="C122" s="25" t="s">
        <v>256</v>
      </c>
      <c r="D122" s="26" t="s">
        <v>28</v>
      </c>
      <c r="E122" s="26" t="s">
        <v>28</v>
      </c>
      <c r="F122" s="26" t="s">
        <v>28</v>
      </c>
      <c r="G122" s="26" t="s">
        <v>28</v>
      </c>
      <c r="H122" s="26" t="s">
        <v>28</v>
      </c>
      <c r="I122" s="26" t="s">
        <v>28</v>
      </c>
      <c r="J122" s="26" t="s">
        <v>28</v>
      </c>
      <c r="K122" s="26" t="s">
        <v>28</v>
      </c>
      <c r="L122" s="26" t="s">
        <v>28</v>
      </c>
      <c r="M122" s="26" t="s">
        <v>28</v>
      </c>
      <c r="N122" s="26" t="s">
        <v>28</v>
      </c>
      <c r="O122" s="26" t="s">
        <v>28</v>
      </c>
      <c r="P122" s="43"/>
      <c r="Q122" s="43"/>
      <c r="R122" s="71"/>
      <c r="S122" s="45"/>
      <c r="T122" s="45"/>
      <c r="U122" s="45"/>
      <c r="V122" s="45"/>
      <c r="W122" s="45"/>
      <c r="X122" s="45"/>
      <c r="Y122" s="45"/>
      <c r="Z122" s="45"/>
      <c r="AA122" s="45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32">
        <f t="shared" si="8"/>
        <v>0</v>
      </c>
      <c r="BB122" s="32">
        <f t="shared" si="9"/>
        <v>0</v>
      </c>
      <c r="BC122" s="32">
        <f t="shared" si="10"/>
        <v>12</v>
      </c>
      <c r="BD122" s="32">
        <f t="shared" si="11"/>
        <v>12</v>
      </c>
      <c r="BE122" s="33">
        <f t="shared" si="12"/>
        <v>100</v>
      </c>
    </row>
    <row r="123">
      <c r="A123" s="24">
        <v>26.0</v>
      </c>
      <c r="B123" s="24" t="s">
        <v>257</v>
      </c>
      <c r="C123" s="25" t="s">
        <v>258</v>
      </c>
      <c r="D123" s="26" t="s">
        <v>28</v>
      </c>
      <c r="E123" s="26" t="s">
        <v>28</v>
      </c>
      <c r="F123" s="26" t="s">
        <v>28</v>
      </c>
      <c r="G123" s="26" t="s">
        <v>28</v>
      </c>
      <c r="H123" s="26" t="s">
        <v>28</v>
      </c>
      <c r="I123" s="26" t="s">
        <v>28</v>
      </c>
      <c r="J123" s="26" t="s">
        <v>28</v>
      </c>
      <c r="K123" s="26" t="s">
        <v>28</v>
      </c>
      <c r="L123" s="26" t="s">
        <v>28</v>
      </c>
      <c r="M123" s="26" t="s">
        <v>28</v>
      </c>
      <c r="N123" s="26" t="s">
        <v>28</v>
      </c>
      <c r="O123" s="26" t="s">
        <v>28</v>
      </c>
      <c r="P123" s="43"/>
      <c r="Q123" s="43"/>
      <c r="R123" s="43"/>
      <c r="S123" s="44"/>
      <c r="T123" s="45"/>
      <c r="U123" s="45"/>
      <c r="V123" s="45"/>
      <c r="W123" s="45"/>
      <c r="X123" s="45"/>
      <c r="Y123" s="45"/>
      <c r="Z123" s="45"/>
      <c r="AA123" s="45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32">
        <f t="shared" si="8"/>
        <v>0</v>
      </c>
      <c r="BB123" s="32">
        <f t="shared" si="9"/>
        <v>0</v>
      </c>
      <c r="BC123" s="32">
        <f t="shared" si="10"/>
        <v>12</v>
      </c>
      <c r="BD123" s="32">
        <f t="shared" si="11"/>
        <v>12</v>
      </c>
      <c r="BE123" s="33">
        <f t="shared" si="12"/>
        <v>100</v>
      </c>
    </row>
    <row r="124">
      <c r="A124" s="24">
        <v>27.0</v>
      </c>
      <c r="B124" s="24" t="s">
        <v>259</v>
      </c>
      <c r="C124" s="25" t="s">
        <v>260</v>
      </c>
      <c r="D124" s="26" t="s">
        <v>28</v>
      </c>
      <c r="E124" s="26" t="s">
        <v>28</v>
      </c>
      <c r="F124" s="26" t="s">
        <v>28</v>
      </c>
      <c r="G124" s="26" t="s">
        <v>28</v>
      </c>
      <c r="H124" s="26" t="s">
        <v>28</v>
      </c>
      <c r="I124" s="26" t="s">
        <v>28</v>
      </c>
      <c r="J124" s="26" t="s">
        <v>28</v>
      </c>
      <c r="K124" s="26" t="s">
        <v>28</v>
      </c>
      <c r="L124" s="26" t="s">
        <v>28</v>
      </c>
      <c r="M124" s="26" t="s">
        <v>28</v>
      </c>
      <c r="N124" s="26" t="s">
        <v>28</v>
      </c>
      <c r="O124" s="26" t="s">
        <v>28</v>
      </c>
      <c r="P124" s="46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32">
        <f t="shared" si="8"/>
        <v>0</v>
      </c>
      <c r="BB124" s="32">
        <f t="shared" si="9"/>
        <v>0</v>
      </c>
      <c r="BC124" s="32">
        <f t="shared" si="10"/>
        <v>12</v>
      </c>
      <c r="BD124" s="32">
        <f t="shared" si="11"/>
        <v>12</v>
      </c>
      <c r="BE124" s="33">
        <f t="shared" si="12"/>
        <v>100</v>
      </c>
    </row>
    <row r="125">
      <c r="A125" s="24">
        <v>28.0</v>
      </c>
      <c r="B125" s="24" t="s">
        <v>261</v>
      </c>
      <c r="C125" s="25" t="s">
        <v>262</v>
      </c>
      <c r="D125" s="26" t="s">
        <v>28</v>
      </c>
      <c r="E125" s="26" t="s">
        <v>28</v>
      </c>
      <c r="F125" s="26" t="s">
        <v>28</v>
      </c>
      <c r="G125" s="26" t="s">
        <v>28</v>
      </c>
      <c r="H125" s="27" t="s">
        <v>22</v>
      </c>
      <c r="I125" s="27" t="s">
        <v>22</v>
      </c>
      <c r="J125" s="27" t="s">
        <v>22</v>
      </c>
      <c r="K125" s="26" t="s">
        <v>28</v>
      </c>
      <c r="L125" s="26" t="s">
        <v>28</v>
      </c>
      <c r="M125" s="27" t="s">
        <v>22</v>
      </c>
      <c r="N125" s="27" t="s">
        <v>22</v>
      </c>
      <c r="O125" s="26" t="s">
        <v>28</v>
      </c>
      <c r="P125" s="43"/>
      <c r="Q125" s="43"/>
      <c r="R125" s="43"/>
      <c r="S125" s="44"/>
      <c r="T125" s="45"/>
      <c r="U125" s="45"/>
      <c r="V125" s="45"/>
      <c r="W125" s="45"/>
      <c r="X125" s="45"/>
      <c r="Y125" s="45"/>
      <c r="Z125" s="45"/>
      <c r="AA125" s="45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32">
        <f t="shared" si="8"/>
        <v>0</v>
      </c>
      <c r="BB125" s="32">
        <f t="shared" si="9"/>
        <v>5</v>
      </c>
      <c r="BC125" s="32">
        <f t="shared" si="10"/>
        <v>7</v>
      </c>
      <c r="BD125" s="32">
        <f t="shared" si="11"/>
        <v>12</v>
      </c>
      <c r="BE125" s="33">
        <f t="shared" si="12"/>
        <v>58.33333333</v>
      </c>
    </row>
    <row r="126">
      <c r="A126" s="24">
        <v>29.0</v>
      </c>
      <c r="B126" s="24" t="s">
        <v>263</v>
      </c>
      <c r="C126" s="25" t="s">
        <v>264</v>
      </c>
      <c r="D126" s="26" t="s">
        <v>28</v>
      </c>
      <c r="E126" s="27" t="s">
        <v>22</v>
      </c>
      <c r="F126" s="26" t="s">
        <v>28</v>
      </c>
      <c r="G126" s="26" t="s">
        <v>28</v>
      </c>
      <c r="H126" s="27" t="s">
        <v>22</v>
      </c>
      <c r="I126" s="26" t="s">
        <v>28</v>
      </c>
      <c r="J126" s="26" t="s">
        <v>28</v>
      </c>
      <c r="K126" s="26" t="s">
        <v>28</v>
      </c>
      <c r="L126" s="26" t="s">
        <v>28</v>
      </c>
      <c r="M126" s="26" t="s">
        <v>28</v>
      </c>
      <c r="N126" s="26" t="s">
        <v>28</v>
      </c>
      <c r="O126" s="26" t="s">
        <v>28</v>
      </c>
      <c r="P126" s="43"/>
      <c r="Q126" s="43"/>
      <c r="R126" s="43"/>
      <c r="S126" s="44"/>
      <c r="T126" s="45"/>
      <c r="U126" s="45"/>
      <c r="V126" s="45"/>
      <c r="W126" s="45"/>
      <c r="X126" s="45"/>
      <c r="Y126" s="45"/>
      <c r="Z126" s="45"/>
      <c r="AA126" s="45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32">
        <f t="shared" si="8"/>
        <v>0</v>
      </c>
      <c r="BB126" s="32">
        <f t="shared" si="9"/>
        <v>2</v>
      </c>
      <c r="BC126" s="32">
        <f t="shared" si="10"/>
        <v>10</v>
      </c>
      <c r="BD126" s="32">
        <f t="shared" si="11"/>
        <v>12</v>
      </c>
      <c r="BE126" s="33">
        <f t="shared" si="12"/>
        <v>83.33333333</v>
      </c>
    </row>
    <row r="127">
      <c r="A127" s="24">
        <v>30.0</v>
      </c>
      <c r="B127" s="24" t="s">
        <v>265</v>
      </c>
      <c r="C127" s="25" t="s">
        <v>266</v>
      </c>
      <c r="D127" s="26" t="s">
        <v>28</v>
      </c>
      <c r="E127" s="26" t="s">
        <v>28</v>
      </c>
      <c r="F127" s="26" t="s">
        <v>28</v>
      </c>
      <c r="G127" s="26" t="s">
        <v>28</v>
      </c>
      <c r="H127" s="26" t="s">
        <v>28</v>
      </c>
      <c r="I127" s="26" t="s">
        <v>28</v>
      </c>
      <c r="J127" s="26" t="s">
        <v>28</v>
      </c>
      <c r="K127" s="26" t="s">
        <v>28</v>
      </c>
      <c r="L127" s="27" t="s">
        <v>22</v>
      </c>
      <c r="M127" s="26" t="s">
        <v>28</v>
      </c>
      <c r="N127" s="27" t="s">
        <v>22</v>
      </c>
      <c r="O127" s="26" t="s">
        <v>28</v>
      </c>
      <c r="P127" s="43"/>
      <c r="Q127" s="71"/>
      <c r="R127" s="43"/>
      <c r="S127" s="44"/>
      <c r="T127" s="45"/>
      <c r="U127" s="45"/>
      <c r="V127" s="45"/>
      <c r="W127" s="45"/>
      <c r="X127" s="45"/>
      <c r="Y127" s="45"/>
      <c r="Z127" s="45"/>
      <c r="AA127" s="45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32">
        <f t="shared" si="8"/>
        <v>0</v>
      </c>
      <c r="BB127" s="32">
        <f t="shared" si="9"/>
        <v>2</v>
      </c>
      <c r="BC127" s="32">
        <f t="shared" si="10"/>
        <v>10</v>
      </c>
      <c r="BD127" s="32">
        <f t="shared" si="11"/>
        <v>12</v>
      </c>
      <c r="BE127" s="33">
        <f t="shared" si="12"/>
        <v>83.33333333</v>
      </c>
    </row>
    <row r="128">
      <c r="A128" s="24">
        <v>31.0</v>
      </c>
      <c r="B128" s="24" t="s">
        <v>267</v>
      </c>
      <c r="C128" s="25" t="s">
        <v>268</v>
      </c>
      <c r="D128" s="26" t="s">
        <v>28</v>
      </c>
      <c r="E128" s="26" t="s">
        <v>28</v>
      </c>
      <c r="F128" s="26" t="s">
        <v>28</v>
      </c>
      <c r="G128" s="26" t="s">
        <v>28</v>
      </c>
      <c r="H128" s="26" t="s">
        <v>28</v>
      </c>
      <c r="I128" s="26" t="s">
        <v>28</v>
      </c>
      <c r="J128" s="26" t="s">
        <v>28</v>
      </c>
      <c r="K128" s="26" t="s">
        <v>28</v>
      </c>
      <c r="L128" s="26" t="s">
        <v>28</v>
      </c>
      <c r="M128" s="26" t="s">
        <v>28</v>
      </c>
      <c r="N128" s="26" t="s">
        <v>28</v>
      </c>
      <c r="O128" s="26" t="s">
        <v>28</v>
      </c>
      <c r="P128" s="43"/>
      <c r="Q128" s="43"/>
      <c r="R128" s="43"/>
      <c r="S128" s="44"/>
      <c r="T128" s="45"/>
      <c r="U128" s="45"/>
      <c r="V128" s="45"/>
      <c r="W128" s="45"/>
      <c r="X128" s="45"/>
      <c r="Y128" s="45"/>
      <c r="Z128" s="45"/>
      <c r="AA128" s="45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32">
        <f t="shared" si="8"/>
        <v>0</v>
      </c>
      <c r="BB128" s="32">
        <f t="shared" si="9"/>
        <v>0</v>
      </c>
      <c r="BC128" s="32">
        <f t="shared" si="10"/>
        <v>12</v>
      </c>
      <c r="BD128" s="32">
        <f t="shared" si="11"/>
        <v>12</v>
      </c>
      <c r="BE128" s="33">
        <f t="shared" si="12"/>
        <v>100</v>
      </c>
    </row>
    <row r="129">
      <c r="A129" s="24">
        <v>32.0</v>
      </c>
      <c r="B129" s="24" t="s">
        <v>269</v>
      </c>
      <c r="C129" s="25" t="s">
        <v>270</v>
      </c>
      <c r="D129" s="26" t="s">
        <v>28</v>
      </c>
      <c r="E129" s="27" t="s">
        <v>22</v>
      </c>
      <c r="F129" s="26" t="s">
        <v>28</v>
      </c>
      <c r="G129" s="27" t="s">
        <v>22</v>
      </c>
      <c r="H129" s="27" t="s">
        <v>22</v>
      </c>
      <c r="I129" s="26" t="s">
        <v>28</v>
      </c>
      <c r="J129" s="26" t="s">
        <v>28</v>
      </c>
      <c r="K129" s="26" t="s">
        <v>28</v>
      </c>
      <c r="L129" s="26" t="s">
        <v>28</v>
      </c>
      <c r="M129" s="26" t="s">
        <v>28</v>
      </c>
      <c r="N129" s="27" t="s">
        <v>22</v>
      </c>
      <c r="O129" s="26" t="s">
        <v>28</v>
      </c>
      <c r="P129" s="43"/>
      <c r="Q129" s="43"/>
      <c r="R129" s="43"/>
      <c r="S129" s="44"/>
      <c r="T129" s="45"/>
      <c r="U129" s="45"/>
      <c r="V129" s="45"/>
      <c r="W129" s="45"/>
      <c r="X129" s="45"/>
      <c r="Y129" s="45"/>
      <c r="Z129" s="45"/>
      <c r="AA129" s="45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32">
        <f t="shared" si="8"/>
        <v>0</v>
      </c>
      <c r="BB129" s="32">
        <f t="shared" si="9"/>
        <v>4</v>
      </c>
      <c r="BC129" s="32">
        <f t="shared" si="10"/>
        <v>8</v>
      </c>
      <c r="BD129" s="32">
        <f t="shared" si="11"/>
        <v>12</v>
      </c>
      <c r="BE129" s="33">
        <f t="shared" si="12"/>
        <v>66.66666667</v>
      </c>
    </row>
    <row r="130">
      <c r="A130" s="24">
        <v>33.0</v>
      </c>
      <c r="B130" s="24" t="s">
        <v>271</v>
      </c>
      <c r="C130" s="25" t="s">
        <v>272</v>
      </c>
      <c r="D130" s="26" t="s">
        <v>28</v>
      </c>
      <c r="E130" s="27" t="s">
        <v>22</v>
      </c>
      <c r="F130" s="26" t="s">
        <v>28</v>
      </c>
      <c r="G130" s="27" t="s">
        <v>22</v>
      </c>
      <c r="H130" s="27" t="s">
        <v>22</v>
      </c>
      <c r="I130" s="27" t="s">
        <v>22</v>
      </c>
      <c r="J130" s="26" t="s">
        <v>28</v>
      </c>
      <c r="K130" s="26" t="s">
        <v>28</v>
      </c>
      <c r="L130" s="26" t="s">
        <v>28</v>
      </c>
      <c r="M130" s="26" t="s">
        <v>28</v>
      </c>
      <c r="N130" s="27" t="s">
        <v>22</v>
      </c>
      <c r="O130" s="26" t="s">
        <v>28</v>
      </c>
      <c r="P130" s="43"/>
      <c r="Q130" s="43"/>
      <c r="R130" s="43"/>
      <c r="S130" s="44"/>
      <c r="T130" s="45"/>
      <c r="U130" s="45"/>
      <c r="V130" s="45"/>
      <c r="W130" s="45"/>
      <c r="X130" s="45"/>
      <c r="Y130" s="45"/>
      <c r="Z130" s="45"/>
      <c r="AA130" s="45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32">
        <f t="shared" si="8"/>
        <v>0</v>
      </c>
      <c r="BB130" s="32">
        <f t="shared" si="9"/>
        <v>5</v>
      </c>
      <c r="BC130" s="32">
        <f t="shared" si="10"/>
        <v>7</v>
      </c>
      <c r="BD130" s="32">
        <f t="shared" si="11"/>
        <v>12</v>
      </c>
      <c r="BE130" s="33">
        <f t="shared" si="12"/>
        <v>58.33333333</v>
      </c>
    </row>
    <row r="131">
      <c r="A131" s="24">
        <v>34.0</v>
      </c>
      <c r="B131" s="24" t="s">
        <v>273</v>
      </c>
      <c r="C131" s="25" t="s">
        <v>274</v>
      </c>
      <c r="D131" s="26" t="s">
        <v>28</v>
      </c>
      <c r="E131" s="27" t="s">
        <v>22</v>
      </c>
      <c r="F131" s="26" t="s">
        <v>28</v>
      </c>
      <c r="G131" s="27" t="s">
        <v>22</v>
      </c>
      <c r="H131" s="27" t="s">
        <v>22</v>
      </c>
      <c r="I131" s="26" t="s">
        <v>28</v>
      </c>
      <c r="J131" s="26" t="s">
        <v>28</v>
      </c>
      <c r="K131" s="26" t="s">
        <v>28</v>
      </c>
      <c r="L131" s="26" t="s">
        <v>28</v>
      </c>
      <c r="M131" s="26" t="s">
        <v>28</v>
      </c>
      <c r="N131" s="26" t="s">
        <v>28</v>
      </c>
      <c r="O131" s="26" t="s">
        <v>28</v>
      </c>
      <c r="P131" s="43"/>
      <c r="Q131" s="43"/>
      <c r="R131" s="43"/>
      <c r="S131" s="44"/>
      <c r="T131" s="45"/>
      <c r="U131" s="45"/>
      <c r="V131" s="45"/>
      <c r="W131" s="45"/>
      <c r="X131" s="45"/>
      <c r="Y131" s="45"/>
      <c r="Z131" s="45"/>
      <c r="AA131" s="45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32">
        <f t="shared" si="8"/>
        <v>0</v>
      </c>
      <c r="BB131" s="32">
        <f t="shared" si="9"/>
        <v>3</v>
      </c>
      <c r="BC131" s="32">
        <f t="shared" si="10"/>
        <v>9</v>
      </c>
      <c r="BD131" s="32">
        <f t="shared" si="11"/>
        <v>12</v>
      </c>
      <c r="BE131" s="33">
        <f t="shared" si="12"/>
        <v>75</v>
      </c>
    </row>
    <row r="132">
      <c r="A132" s="24">
        <v>35.0</v>
      </c>
      <c r="B132" s="24" t="s">
        <v>275</v>
      </c>
      <c r="C132" s="25" t="s">
        <v>276</v>
      </c>
      <c r="D132" s="26" t="s">
        <v>28</v>
      </c>
      <c r="E132" s="26" t="s">
        <v>28</v>
      </c>
      <c r="F132" s="26" t="s">
        <v>28</v>
      </c>
      <c r="G132" s="26" t="s">
        <v>28</v>
      </c>
      <c r="H132" s="26" t="s">
        <v>28</v>
      </c>
      <c r="I132" s="26" t="s">
        <v>28</v>
      </c>
      <c r="J132" s="26" t="s">
        <v>28</v>
      </c>
      <c r="K132" s="26" t="s">
        <v>28</v>
      </c>
      <c r="L132" s="26" t="s">
        <v>28</v>
      </c>
      <c r="M132" s="26" t="s">
        <v>28</v>
      </c>
      <c r="N132" s="26" t="s">
        <v>28</v>
      </c>
      <c r="O132" s="26" t="s">
        <v>28</v>
      </c>
      <c r="P132" s="43"/>
      <c r="Q132" s="43"/>
      <c r="R132" s="43"/>
      <c r="S132" s="44"/>
      <c r="T132" s="45"/>
      <c r="U132" s="45"/>
      <c r="V132" s="45"/>
      <c r="W132" s="45"/>
      <c r="X132" s="45"/>
      <c r="Y132" s="45"/>
      <c r="Z132" s="45"/>
      <c r="AA132" s="45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32">
        <f t="shared" si="8"/>
        <v>0</v>
      </c>
      <c r="BB132" s="32">
        <f t="shared" si="9"/>
        <v>0</v>
      </c>
      <c r="BC132" s="32">
        <f t="shared" si="10"/>
        <v>12</v>
      </c>
      <c r="BD132" s="32">
        <f t="shared" si="11"/>
        <v>12</v>
      </c>
      <c r="BE132" s="33">
        <f t="shared" si="12"/>
        <v>100</v>
      </c>
    </row>
    <row r="133">
      <c r="A133" s="24">
        <v>36.0</v>
      </c>
      <c r="B133" s="24" t="s">
        <v>277</v>
      </c>
      <c r="C133" s="25" t="s">
        <v>278</v>
      </c>
      <c r="D133" s="26" t="s">
        <v>28</v>
      </c>
      <c r="E133" s="27" t="s">
        <v>22</v>
      </c>
      <c r="F133" s="26" t="s">
        <v>28</v>
      </c>
      <c r="G133" s="26" t="s">
        <v>28</v>
      </c>
      <c r="H133" s="26" t="s">
        <v>28</v>
      </c>
      <c r="I133" s="26" t="s">
        <v>28</v>
      </c>
      <c r="J133" s="26" t="s">
        <v>28</v>
      </c>
      <c r="K133" s="26" t="s">
        <v>28</v>
      </c>
      <c r="L133" s="26" t="s">
        <v>28</v>
      </c>
      <c r="M133" s="26" t="s">
        <v>28</v>
      </c>
      <c r="N133" s="27" t="s">
        <v>22</v>
      </c>
      <c r="O133" s="26" t="s">
        <v>28</v>
      </c>
      <c r="P133" s="43"/>
      <c r="Q133" s="43"/>
      <c r="R133" s="43"/>
      <c r="S133" s="44"/>
      <c r="T133" s="45"/>
      <c r="U133" s="45"/>
      <c r="V133" s="45"/>
      <c r="W133" s="45"/>
      <c r="X133" s="45"/>
      <c r="Y133" s="45"/>
      <c r="Z133" s="45"/>
      <c r="AA133" s="45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32">
        <f t="shared" si="8"/>
        <v>0</v>
      </c>
      <c r="BB133" s="32">
        <f t="shared" si="9"/>
        <v>2</v>
      </c>
      <c r="BC133" s="32">
        <f t="shared" si="10"/>
        <v>10</v>
      </c>
      <c r="BD133" s="32">
        <f t="shared" si="11"/>
        <v>12</v>
      </c>
      <c r="BE133" s="33">
        <f t="shared" si="12"/>
        <v>83.33333333</v>
      </c>
    </row>
    <row r="134">
      <c r="A134" s="24">
        <v>37.0</v>
      </c>
      <c r="B134" s="24" t="s">
        <v>279</v>
      </c>
      <c r="C134" s="25" t="s">
        <v>280</v>
      </c>
      <c r="D134" s="26" t="s">
        <v>28</v>
      </c>
      <c r="E134" s="26" t="s">
        <v>28</v>
      </c>
      <c r="F134" s="26" t="s">
        <v>28</v>
      </c>
      <c r="G134" s="26" t="s">
        <v>28</v>
      </c>
      <c r="H134" s="26" t="s">
        <v>28</v>
      </c>
      <c r="I134" s="26" t="s">
        <v>28</v>
      </c>
      <c r="J134" s="26" t="s">
        <v>28</v>
      </c>
      <c r="K134" s="26" t="s">
        <v>28</v>
      </c>
      <c r="L134" s="26" t="s">
        <v>28</v>
      </c>
      <c r="M134" s="26" t="s">
        <v>28</v>
      </c>
      <c r="N134" s="26" t="s">
        <v>28</v>
      </c>
      <c r="O134" s="26" t="s">
        <v>28</v>
      </c>
      <c r="P134" s="43"/>
      <c r="Q134" s="43"/>
      <c r="R134" s="43"/>
      <c r="S134" s="44"/>
      <c r="T134" s="45"/>
      <c r="U134" s="45"/>
      <c r="V134" s="45"/>
      <c r="W134" s="45"/>
      <c r="X134" s="45"/>
      <c r="Y134" s="45"/>
      <c r="Z134" s="45"/>
      <c r="AA134" s="45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32">
        <f t="shared" si="8"/>
        <v>0</v>
      </c>
      <c r="BB134" s="32">
        <f t="shared" si="9"/>
        <v>0</v>
      </c>
      <c r="BC134" s="32">
        <f t="shared" si="10"/>
        <v>12</v>
      </c>
      <c r="BD134" s="32">
        <f t="shared" si="11"/>
        <v>12</v>
      </c>
      <c r="BE134" s="33">
        <f t="shared" si="12"/>
        <v>100</v>
      </c>
    </row>
    <row r="135">
      <c r="A135" s="24">
        <v>38.0</v>
      </c>
      <c r="B135" s="24" t="s">
        <v>281</v>
      </c>
      <c r="C135" s="25" t="s">
        <v>282</v>
      </c>
      <c r="D135" s="26" t="s">
        <v>28</v>
      </c>
      <c r="E135" s="26" t="s">
        <v>28</v>
      </c>
      <c r="F135" s="26" t="s">
        <v>28</v>
      </c>
      <c r="G135" s="26" t="s">
        <v>28</v>
      </c>
      <c r="H135" s="26" t="s">
        <v>28</v>
      </c>
      <c r="I135" s="27" t="s">
        <v>22</v>
      </c>
      <c r="J135" s="27" t="s">
        <v>22</v>
      </c>
      <c r="K135" s="26" t="s">
        <v>28</v>
      </c>
      <c r="L135" s="26" t="s">
        <v>28</v>
      </c>
      <c r="M135" s="26" t="s">
        <v>28</v>
      </c>
      <c r="N135" s="26" t="s">
        <v>28</v>
      </c>
      <c r="O135" s="27" t="s">
        <v>22</v>
      </c>
      <c r="P135" s="43"/>
      <c r="Q135" s="43"/>
      <c r="R135" s="43"/>
      <c r="S135" s="44"/>
      <c r="T135" s="45"/>
      <c r="U135" s="45"/>
      <c r="V135" s="45"/>
      <c r="W135" s="45"/>
      <c r="X135" s="45"/>
      <c r="Y135" s="45"/>
      <c r="Z135" s="45"/>
      <c r="AA135" s="45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32">
        <f t="shared" si="8"/>
        <v>0</v>
      </c>
      <c r="BB135" s="32">
        <f t="shared" si="9"/>
        <v>3</v>
      </c>
      <c r="BC135" s="32">
        <f t="shared" si="10"/>
        <v>9</v>
      </c>
      <c r="BD135" s="32">
        <f t="shared" si="11"/>
        <v>12</v>
      </c>
      <c r="BE135" s="33">
        <f t="shared" si="12"/>
        <v>75</v>
      </c>
    </row>
    <row r="136">
      <c r="A136" s="24">
        <v>39.0</v>
      </c>
      <c r="B136" s="24" t="s">
        <v>283</v>
      </c>
      <c r="C136" s="25" t="s">
        <v>284</v>
      </c>
      <c r="D136" s="27" t="s">
        <v>22</v>
      </c>
      <c r="E136" s="26" t="s">
        <v>28</v>
      </c>
      <c r="F136" s="26" t="s">
        <v>28</v>
      </c>
      <c r="G136" s="26" t="s">
        <v>28</v>
      </c>
      <c r="H136" s="26" t="s">
        <v>28</v>
      </c>
      <c r="I136" s="26" t="s">
        <v>28</v>
      </c>
      <c r="J136" s="26" t="s">
        <v>28</v>
      </c>
      <c r="K136" s="26" t="s">
        <v>28</v>
      </c>
      <c r="L136" s="26" t="s">
        <v>28</v>
      </c>
      <c r="M136" s="26" t="s">
        <v>28</v>
      </c>
      <c r="N136" s="26" t="s">
        <v>28</v>
      </c>
      <c r="O136" s="26" t="s">
        <v>28</v>
      </c>
      <c r="P136" s="43"/>
      <c r="Q136" s="43"/>
      <c r="R136" s="43"/>
      <c r="S136" s="44"/>
      <c r="T136" s="45"/>
      <c r="U136" s="45"/>
      <c r="V136" s="45"/>
      <c r="W136" s="45"/>
      <c r="X136" s="45"/>
      <c r="Y136" s="45"/>
      <c r="Z136" s="45"/>
      <c r="AA136" s="45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32">
        <f t="shared" si="8"/>
        <v>0</v>
      </c>
      <c r="BB136" s="32">
        <f t="shared" si="9"/>
        <v>1</v>
      </c>
      <c r="BC136" s="32">
        <f t="shared" si="10"/>
        <v>11</v>
      </c>
      <c r="BD136" s="32">
        <f t="shared" si="11"/>
        <v>12</v>
      </c>
      <c r="BE136" s="33">
        <f t="shared" si="12"/>
        <v>91.66666667</v>
      </c>
    </row>
    <row r="137">
      <c r="A137" s="24">
        <v>40.0</v>
      </c>
      <c r="B137" s="24" t="s">
        <v>285</v>
      </c>
      <c r="C137" s="25" t="s">
        <v>286</v>
      </c>
      <c r="D137" s="26" t="s">
        <v>28</v>
      </c>
      <c r="E137" s="26" t="s">
        <v>28</v>
      </c>
      <c r="F137" s="26" t="s">
        <v>28</v>
      </c>
      <c r="G137" s="26" t="s">
        <v>28</v>
      </c>
      <c r="H137" s="26" t="s">
        <v>28</v>
      </c>
      <c r="I137" s="26" t="s">
        <v>28</v>
      </c>
      <c r="J137" s="26" t="s">
        <v>28</v>
      </c>
      <c r="K137" s="26" t="s">
        <v>28</v>
      </c>
      <c r="L137" s="26" t="s">
        <v>28</v>
      </c>
      <c r="M137" s="26" t="s">
        <v>28</v>
      </c>
      <c r="N137" s="26" t="s">
        <v>28</v>
      </c>
      <c r="O137" s="26" t="s">
        <v>28</v>
      </c>
      <c r="P137" s="43"/>
      <c r="Q137" s="43"/>
      <c r="R137" s="43"/>
      <c r="S137" s="44"/>
      <c r="T137" s="45"/>
      <c r="U137" s="45"/>
      <c r="V137" s="45"/>
      <c r="W137" s="45"/>
      <c r="X137" s="45"/>
      <c r="Y137" s="45"/>
      <c r="Z137" s="45"/>
      <c r="AA137" s="45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32">
        <f t="shared" si="8"/>
        <v>0</v>
      </c>
      <c r="BB137" s="32">
        <f t="shared" si="9"/>
        <v>0</v>
      </c>
      <c r="BC137" s="32">
        <f t="shared" si="10"/>
        <v>12</v>
      </c>
      <c r="BD137" s="32">
        <f t="shared" si="11"/>
        <v>12</v>
      </c>
      <c r="BE137" s="33">
        <f t="shared" si="12"/>
        <v>100</v>
      </c>
    </row>
    <row r="138">
      <c r="A138" s="24">
        <v>41.0</v>
      </c>
      <c r="B138" s="24" t="s">
        <v>287</v>
      </c>
      <c r="C138" s="25" t="s">
        <v>288</v>
      </c>
      <c r="D138" s="26" t="s">
        <v>28</v>
      </c>
      <c r="E138" s="26" t="s">
        <v>28</v>
      </c>
      <c r="F138" s="26" t="s">
        <v>28</v>
      </c>
      <c r="G138" s="26" t="s">
        <v>28</v>
      </c>
      <c r="H138" s="26" t="s">
        <v>28</v>
      </c>
      <c r="I138" s="27" t="s">
        <v>22</v>
      </c>
      <c r="J138" s="26" t="s">
        <v>28</v>
      </c>
      <c r="K138" s="26" t="s">
        <v>28</v>
      </c>
      <c r="L138" s="26" t="s">
        <v>28</v>
      </c>
      <c r="M138" s="26" t="s">
        <v>28</v>
      </c>
      <c r="N138" s="26" t="s">
        <v>28</v>
      </c>
      <c r="O138" s="26" t="s">
        <v>28</v>
      </c>
      <c r="P138" s="43"/>
      <c r="Q138" s="43"/>
      <c r="R138" s="43"/>
      <c r="S138" s="44"/>
      <c r="T138" s="45"/>
      <c r="U138" s="45"/>
      <c r="V138" s="45"/>
      <c r="W138" s="45"/>
      <c r="X138" s="45"/>
      <c r="Y138" s="45"/>
      <c r="Z138" s="45"/>
      <c r="AA138" s="45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32">
        <f t="shared" si="8"/>
        <v>0</v>
      </c>
      <c r="BB138" s="32">
        <f t="shared" si="9"/>
        <v>1</v>
      </c>
      <c r="BC138" s="32">
        <f t="shared" si="10"/>
        <v>11</v>
      </c>
      <c r="BD138" s="32">
        <f t="shared" si="11"/>
        <v>12</v>
      </c>
      <c r="BE138" s="33">
        <f t="shared" si="12"/>
        <v>91.66666667</v>
      </c>
    </row>
    <row r="139">
      <c r="A139" s="24">
        <v>42.0</v>
      </c>
      <c r="B139" s="24" t="s">
        <v>289</v>
      </c>
      <c r="C139" s="25" t="s">
        <v>290</v>
      </c>
      <c r="D139" s="26" t="s">
        <v>28</v>
      </c>
      <c r="E139" s="26" t="s">
        <v>28</v>
      </c>
      <c r="F139" s="26" t="s">
        <v>28</v>
      </c>
      <c r="G139" s="26" t="s">
        <v>28</v>
      </c>
      <c r="H139" s="26" t="s">
        <v>28</v>
      </c>
      <c r="I139" s="26" t="s">
        <v>28</v>
      </c>
      <c r="J139" s="26" t="s">
        <v>28</v>
      </c>
      <c r="K139" s="26" t="s">
        <v>28</v>
      </c>
      <c r="L139" s="26" t="s">
        <v>28</v>
      </c>
      <c r="M139" s="26" t="s">
        <v>28</v>
      </c>
      <c r="N139" s="26" t="s">
        <v>28</v>
      </c>
      <c r="O139" s="26" t="s">
        <v>28</v>
      </c>
      <c r="P139" s="43"/>
      <c r="Q139" s="43"/>
      <c r="R139" s="71"/>
      <c r="S139" s="45"/>
      <c r="T139" s="45"/>
      <c r="U139" s="45"/>
      <c r="V139" s="45"/>
      <c r="W139" s="45"/>
      <c r="X139" s="45"/>
      <c r="Y139" s="45"/>
      <c r="Z139" s="45"/>
      <c r="AA139" s="45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32">
        <f t="shared" si="8"/>
        <v>0</v>
      </c>
      <c r="BB139" s="32">
        <f t="shared" si="9"/>
        <v>0</v>
      </c>
      <c r="BC139" s="32">
        <f t="shared" si="10"/>
        <v>12</v>
      </c>
      <c r="BD139" s="32">
        <f t="shared" si="11"/>
        <v>12</v>
      </c>
      <c r="BE139" s="33">
        <f t="shared" si="12"/>
        <v>100</v>
      </c>
    </row>
    <row r="140">
      <c r="A140" s="24">
        <v>43.0</v>
      </c>
      <c r="B140" s="24" t="s">
        <v>291</v>
      </c>
      <c r="C140" s="25" t="s">
        <v>292</v>
      </c>
      <c r="D140" s="26" t="s">
        <v>28</v>
      </c>
      <c r="E140" s="26" t="s">
        <v>28</v>
      </c>
      <c r="F140" s="26" t="s">
        <v>28</v>
      </c>
      <c r="G140" s="26" t="s">
        <v>28</v>
      </c>
      <c r="H140" s="26" t="s">
        <v>28</v>
      </c>
      <c r="I140" s="26" t="s">
        <v>28</v>
      </c>
      <c r="J140" s="26" t="s">
        <v>28</v>
      </c>
      <c r="K140" s="26" t="s">
        <v>28</v>
      </c>
      <c r="L140" s="26" t="s">
        <v>28</v>
      </c>
      <c r="M140" s="26" t="s">
        <v>28</v>
      </c>
      <c r="N140" s="26" t="s">
        <v>28</v>
      </c>
      <c r="O140" s="26" t="s">
        <v>28</v>
      </c>
      <c r="P140" s="43"/>
      <c r="Q140" s="43"/>
      <c r="R140" s="43"/>
      <c r="S140" s="44"/>
      <c r="T140" s="45"/>
      <c r="U140" s="45"/>
      <c r="V140" s="45"/>
      <c r="W140" s="45"/>
      <c r="X140" s="45"/>
      <c r="Y140" s="45"/>
      <c r="Z140" s="45"/>
      <c r="AA140" s="45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32">
        <f t="shared" si="8"/>
        <v>0</v>
      </c>
      <c r="BB140" s="32">
        <f t="shared" si="9"/>
        <v>0</v>
      </c>
      <c r="BC140" s="32">
        <f t="shared" si="10"/>
        <v>12</v>
      </c>
      <c r="BD140" s="32">
        <f t="shared" si="11"/>
        <v>12</v>
      </c>
      <c r="BE140" s="33">
        <f t="shared" si="12"/>
        <v>100</v>
      </c>
    </row>
    <row r="141">
      <c r="A141" s="24">
        <v>44.0</v>
      </c>
      <c r="B141" s="24" t="s">
        <v>293</v>
      </c>
      <c r="C141" s="25" t="s">
        <v>294</v>
      </c>
      <c r="D141" s="26" t="s">
        <v>28</v>
      </c>
      <c r="E141" s="26" t="s">
        <v>28</v>
      </c>
      <c r="F141" s="27" t="s">
        <v>22</v>
      </c>
      <c r="G141" s="27" t="s">
        <v>22</v>
      </c>
      <c r="H141" s="27" t="s">
        <v>22</v>
      </c>
      <c r="I141" s="26" t="s">
        <v>28</v>
      </c>
      <c r="J141" s="26" t="s">
        <v>28</v>
      </c>
      <c r="K141" s="26" t="s">
        <v>28</v>
      </c>
      <c r="L141" s="26" t="s">
        <v>28</v>
      </c>
      <c r="M141" s="26" t="s">
        <v>28</v>
      </c>
      <c r="N141" s="26" t="s">
        <v>28</v>
      </c>
      <c r="O141" s="26" t="s">
        <v>28</v>
      </c>
      <c r="P141" s="43"/>
      <c r="Q141" s="43"/>
      <c r="R141" s="43"/>
      <c r="S141" s="44"/>
      <c r="T141" s="45"/>
      <c r="U141" s="45"/>
      <c r="V141" s="45"/>
      <c r="W141" s="45"/>
      <c r="X141" s="45"/>
      <c r="Y141" s="45"/>
      <c r="Z141" s="45"/>
      <c r="AA141" s="45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32">
        <f t="shared" si="8"/>
        <v>0</v>
      </c>
      <c r="BB141" s="32">
        <f t="shared" si="9"/>
        <v>3</v>
      </c>
      <c r="BC141" s="32">
        <f t="shared" si="10"/>
        <v>9</v>
      </c>
      <c r="BD141" s="32">
        <f t="shared" si="11"/>
        <v>12</v>
      </c>
      <c r="BE141" s="33">
        <f t="shared" si="12"/>
        <v>75</v>
      </c>
    </row>
    <row r="142">
      <c r="A142" s="24">
        <v>45.0</v>
      </c>
      <c r="B142" s="24" t="s">
        <v>295</v>
      </c>
      <c r="C142" s="25" t="s">
        <v>296</v>
      </c>
      <c r="D142" s="26" t="s">
        <v>28</v>
      </c>
      <c r="E142" s="26" t="s">
        <v>28</v>
      </c>
      <c r="F142" s="26" t="s">
        <v>28</v>
      </c>
      <c r="G142" s="26" t="s">
        <v>28</v>
      </c>
      <c r="H142" s="26" t="s">
        <v>28</v>
      </c>
      <c r="I142" s="26" t="s">
        <v>28</v>
      </c>
      <c r="J142" s="26" t="s">
        <v>28</v>
      </c>
      <c r="K142" s="26" t="s">
        <v>28</v>
      </c>
      <c r="L142" s="26" t="s">
        <v>28</v>
      </c>
      <c r="M142" s="26" t="s">
        <v>28</v>
      </c>
      <c r="N142" s="26" t="s">
        <v>28</v>
      </c>
      <c r="O142" s="26" t="s">
        <v>28</v>
      </c>
      <c r="P142" s="43"/>
      <c r="Q142" s="43"/>
      <c r="R142" s="43"/>
      <c r="S142" s="44"/>
      <c r="T142" s="45"/>
      <c r="U142" s="45"/>
      <c r="V142" s="45"/>
      <c r="W142" s="45"/>
      <c r="X142" s="45"/>
      <c r="Y142" s="45"/>
      <c r="Z142" s="45"/>
      <c r="AA142" s="45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32">
        <f t="shared" si="8"/>
        <v>0</v>
      </c>
      <c r="BB142" s="32">
        <f t="shared" si="9"/>
        <v>0</v>
      </c>
      <c r="BC142" s="32">
        <f t="shared" si="10"/>
        <v>12</v>
      </c>
      <c r="BD142" s="32">
        <f t="shared" si="11"/>
        <v>12</v>
      </c>
      <c r="BE142" s="33">
        <f t="shared" si="12"/>
        <v>100</v>
      </c>
    </row>
    <row r="143">
      <c r="A143" s="24">
        <v>46.0</v>
      </c>
      <c r="B143" s="35" t="s">
        <v>297</v>
      </c>
      <c r="C143" s="36" t="s">
        <v>298</v>
      </c>
      <c r="D143" s="26" t="s">
        <v>28</v>
      </c>
      <c r="E143" s="27" t="s">
        <v>22</v>
      </c>
      <c r="F143" s="26" t="s">
        <v>28</v>
      </c>
      <c r="G143" s="27" t="s">
        <v>22</v>
      </c>
      <c r="H143" s="27" t="s">
        <v>22</v>
      </c>
      <c r="I143" s="27" t="s">
        <v>22</v>
      </c>
      <c r="J143" s="27" t="s">
        <v>22</v>
      </c>
      <c r="K143" s="27" t="s">
        <v>22</v>
      </c>
      <c r="L143" s="26" t="s">
        <v>28</v>
      </c>
      <c r="M143" s="27" t="s">
        <v>22</v>
      </c>
      <c r="N143" s="27" t="s">
        <v>22</v>
      </c>
      <c r="O143" s="27" t="s">
        <v>22</v>
      </c>
      <c r="P143" s="43"/>
      <c r="Q143" s="43"/>
      <c r="R143" s="43"/>
      <c r="S143" s="44"/>
      <c r="T143" s="45"/>
      <c r="U143" s="45"/>
      <c r="V143" s="45"/>
      <c r="W143" s="45"/>
      <c r="X143" s="45"/>
      <c r="Y143" s="45"/>
      <c r="Z143" s="45"/>
      <c r="AA143" s="45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32">
        <f t="shared" si="8"/>
        <v>0</v>
      </c>
      <c r="BB143" s="32">
        <f t="shared" si="9"/>
        <v>9</v>
      </c>
      <c r="BC143" s="32">
        <f t="shared" si="10"/>
        <v>3</v>
      </c>
      <c r="BD143" s="32">
        <f t="shared" si="11"/>
        <v>12</v>
      </c>
      <c r="BE143" s="33">
        <f t="shared" si="12"/>
        <v>25</v>
      </c>
    </row>
    <row r="144">
      <c r="A144" s="24">
        <v>47.0</v>
      </c>
      <c r="B144" s="24" t="s">
        <v>299</v>
      </c>
      <c r="C144" s="25" t="s">
        <v>300</v>
      </c>
      <c r="D144" s="26" t="s">
        <v>28</v>
      </c>
      <c r="E144" s="27" t="s">
        <v>22</v>
      </c>
      <c r="F144" s="26" t="s">
        <v>28</v>
      </c>
      <c r="G144" s="26" t="s">
        <v>28</v>
      </c>
      <c r="H144" s="26" t="s">
        <v>28</v>
      </c>
      <c r="I144" s="26" t="s">
        <v>28</v>
      </c>
      <c r="J144" s="26" t="s">
        <v>28</v>
      </c>
      <c r="K144" s="27" t="s">
        <v>22</v>
      </c>
      <c r="L144" s="27" t="s">
        <v>22</v>
      </c>
      <c r="M144" s="27" t="s">
        <v>22</v>
      </c>
      <c r="N144" s="27" t="s">
        <v>22</v>
      </c>
      <c r="O144" s="27" t="s">
        <v>22</v>
      </c>
      <c r="P144" s="43"/>
      <c r="Q144" s="43"/>
      <c r="R144" s="43"/>
      <c r="S144" s="44"/>
      <c r="T144" s="45"/>
      <c r="U144" s="45"/>
      <c r="V144" s="45"/>
      <c r="W144" s="45"/>
      <c r="X144" s="45"/>
      <c r="Y144" s="45"/>
      <c r="Z144" s="45"/>
      <c r="AA144" s="45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32">
        <f t="shared" si="8"/>
        <v>0</v>
      </c>
      <c r="BB144" s="32">
        <f t="shared" si="9"/>
        <v>6</v>
      </c>
      <c r="BC144" s="32">
        <f t="shared" si="10"/>
        <v>6</v>
      </c>
      <c r="BD144" s="32">
        <f t="shared" si="11"/>
        <v>12</v>
      </c>
      <c r="BE144" s="33">
        <f t="shared" si="12"/>
        <v>50</v>
      </c>
    </row>
    <row r="145">
      <c r="A145" s="24">
        <v>48.0</v>
      </c>
      <c r="B145" s="24" t="s">
        <v>301</v>
      </c>
      <c r="C145" s="25" t="s">
        <v>302</v>
      </c>
      <c r="D145" s="26" t="s">
        <v>28</v>
      </c>
      <c r="E145" s="26" t="s">
        <v>28</v>
      </c>
      <c r="F145" s="26" t="s">
        <v>28</v>
      </c>
      <c r="G145" s="27" t="s">
        <v>22</v>
      </c>
      <c r="H145" s="26" t="s">
        <v>28</v>
      </c>
      <c r="I145" s="26" t="s">
        <v>28</v>
      </c>
      <c r="J145" s="26" t="s">
        <v>28</v>
      </c>
      <c r="K145" s="26" t="s">
        <v>28</v>
      </c>
      <c r="L145" s="26" t="s">
        <v>28</v>
      </c>
      <c r="M145" s="27" t="s">
        <v>22</v>
      </c>
      <c r="N145" s="26" t="s">
        <v>28</v>
      </c>
      <c r="O145" s="27" t="s">
        <v>22</v>
      </c>
      <c r="P145" s="43"/>
      <c r="Q145" s="43"/>
      <c r="R145" s="43"/>
      <c r="S145" s="44"/>
      <c r="T145" s="45"/>
      <c r="U145" s="45"/>
      <c r="V145" s="45"/>
      <c r="W145" s="45"/>
      <c r="X145" s="45"/>
      <c r="Y145" s="45"/>
      <c r="Z145" s="45"/>
      <c r="AA145" s="45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32">
        <f t="shared" si="8"/>
        <v>0</v>
      </c>
      <c r="BB145" s="32">
        <f t="shared" si="9"/>
        <v>3</v>
      </c>
      <c r="BC145" s="32">
        <f t="shared" si="10"/>
        <v>9</v>
      </c>
      <c r="BD145" s="32">
        <f t="shared" si="11"/>
        <v>12</v>
      </c>
      <c r="BE145" s="33">
        <f t="shared" si="12"/>
        <v>75</v>
      </c>
    </row>
    <row r="146">
      <c r="A146" s="24">
        <v>49.0</v>
      </c>
      <c r="B146" s="24" t="s">
        <v>303</v>
      </c>
      <c r="C146" s="25" t="s">
        <v>304</v>
      </c>
      <c r="D146" s="26" t="s">
        <v>28</v>
      </c>
      <c r="E146" s="26" t="s">
        <v>28</v>
      </c>
      <c r="F146" s="27" t="s">
        <v>22</v>
      </c>
      <c r="G146" s="27" t="s">
        <v>22</v>
      </c>
      <c r="H146" s="26" t="s">
        <v>28</v>
      </c>
      <c r="I146" s="26" t="s">
        <v>28</v>
      </c>
      <c r="J146" s="26" t="s">
        <v>28</v>
      </c>
      <c r="K146" s="27" t="s">
        <v>22</v>
      </c>
      <c r="L146" s="27" t="s">
        <v>22</v>
      </c>
      <c r="M146" s="27" t="s">
        <v>22</v>
      </c>
      <c r="N146" s="27" t="s">
        <v>22</v>
      </c>
      <c r="O146" s="27" t="s">
        <v>22</v>
      </c>
      <c r="P146" s="43"/>
      <c r="Q146" s="43"/>
      <c r="R146" s="43"/>
      <c r="S146" s="44"/>
      <c r="T146" s="45"/>
      <c r="U146" s="45"/>
      <c r="V146" s="45"/>
      <c r="W146" s="45"/>
      <c r="X146" s="45"/>
      <c r="Y146" s="45"/>
      <c r="Z146" s="45"/>
      <c r="AA146" s="45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32">
        <f t="shared" si="8"/>
        <v>0</v>
      </c>
      <c r="BB146" s="32">
        <f t="shared" si="9"/>
        <v>7</v>
      </c>
      <c r="BC146" s="32">
        <f t="shared" si="10"/>
        <v>5</v>
      </c>
      <c r="BD146" s="32">
        <f t="shared" si="11"/>
        <v>12</v>
      </c>
      <c r="BE146" s="33">
        <f t="shared" si="12"/>
        <v>41.66666667</v>
      </c>
    </row>
    <row r="147">
      <c r="A147" s="24">
        <v>50.0</v>
      </c>
      <c r="B147" s="24" t="s">
        <v>305</v>
      </c>
      <c r="C147" s="25" t="s">
        <v>306</v>
      </c>
      <c r="D147" s="26" t="s">
        <v>28</v>
      </c>
      <c r="E147" s="26" t="s">
        <v>28</v>
      </c>
      <c r="F147" s="26" t="s">
        <v>28</v>
      </c>
      <c r="G147" s="26" t="s">
        <v>28</v>
      </c>
      <c r="H147" s="26" t="s">
        <v>28</v>
      </c>
      <c r="I147" s="26" t="s">
        <v>28</v>
      </c>
      <c r="J147" s="26" t="s">
        <v>28</v>
      </c>
      <c r="K147" s="27" t="s">
        <v>22</v>
      </c>
      <c r="L147" s="27" t="s">
        <v>22</v>
      </c>
      <c r="M147" s="27" t="s">
        <v>22</v>
      </c>
      <c r="N147" s="27" t="s">
        <v>22</v>
      </c>
      <c r="O147" s="26" t="s">
        <v>28</v>
      </c>
      <c r="P147" s="71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32">
        <f t="shared" si="8"/>
        <v>0</v>
      </c>
      <c r="BB147" s="32">
        <f t="shared" si="9"/>
        <v>4</v>
      </c>
      <c r="BC147" s="32">
        <f t="shared" si="10"/>
        <v>8</v>
      </c>
      <c r="BD147" s="32">
        <f t="shared" si="11"/>
        <v>12</v>
      </c>
      <c r="BE147" s="33">
        <f t="shared" si="12"/>
        <v>66.66666667</v>
      </c>
    </row>
    <row r="148">
      <c r="A148" s="24">
        <v>51.0</v>
      </c>
      <c r="B148" s="24" t="s">
        <v>307</v>
      </c>
      <c r="C148" s="25" t="s">
        <v>308</v>
      </c>
      <c r="D148" s="26" t="s">
        <v>28</v>
      </c>
      <c r="E148" s="26" t="s">
        <v>28</v>
      </c>
      <c r="F148" s="26" t="s">
        <v>28</v>
      </c>
      <c r="G148" s="26" t="s">
        <v>28</v>
      </c>
      <c r="H148" s="26" t="s">
        <v>28</v>
      </c>
      <c r="I148" s="26" t="s">
        <v>28</v>
      </c>
      <c r="J148" s="26" t="s">
        <v>28</v>
      </c>
      <c r="K148" s="26" t="s">
        <v>28</v>
      </c>
      <c r="L148" s="26" t="s">
        <v>28</v>
      </c>
      <c r="M148" s="26" t="s">
        <v>28</v>
      </c>
      <c r="N148" s="26" t="s">
        <v>28</v>
      </c>
      <c r="O148" s="26" t="s">
        <v>28</v>
      </c>
      <c r="P148" s="43"/>
      <c r="Q148" s="43"/>
      <c r="R148" s="43"/>
      <c r="S148" s="44"/>
      <c r="T148" s="45"/>
      <c r="U148" s="45"/>
      <c r="V148" s="45"/>
      <c r="W148" s="45"/>
      <c r="X148" s="45"/>
      <c r="Y148" s="45"/>
      <c r="Z148" s="45"/>
      <c r="AA148" s="45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32">
        <f t="shared" si="8"/>
        <v>0</v>
      </c>
      <c r="BB148" s="32">
        <f t="shared" si="9"/>
        <v>0</v>
      </c>
      <c r="BC148" s="32">
        <f t="shared" si="10"/>
        <v>12</v>
      </c>
      <c r="BD148" s="32">
        <f t="shared" si="11"/>
        <v>12</v>
      </c>
      <c r="BE148" s="33">
        <f t="shared" si="12"/>
        <v>100</v>
      </c>
    </row>
    <row r="149">
      <c r="A149" s="24">
        <v>52.0</v>
      </c>
      <c r="B149" s="24" t="s">
        <v>309</v>
      </c>
      <c r="C149" s="25" t="s">
        <v>310</v>
      </c>
      <c r="D149" s="26" t="s">
        <v>28</v>
      </c>
      <c r="E149" s="26" t="s">
        <v>28</v>
      </c>
      <c r="F149" s="26" t="s">
        <v>28</v>
      </c>
      <c r="G149" s="26" t="s">
        <v>28</v>
      </c>
      <c r="H149" s="26" t="s">
        <v>28</v>
      </c>
      <c r="I149" s="26" t="s">
        <v>28</v>
      </c>
      <c r="J149" s="26" t="s">
        <v>28</v>
      </c>
      <c r="K149" s="27" t="s">
        <v>22</v>
      </c>
      <c r="L149" s="27" t="s">
        <v>22</v>
      </c>
      <c r="M149" s="26" t="s">
        <v>28</v>
      </c>
      <c r="N149" s="26" t="s">
        <v>28</v>
      </c>
      <c r="O149" s="26" t="s">
        <v>28</v>
      </c>
      <c r="P149" s="43"/>
      <c r="Q149" s="43"/>
      <c r="R149" s="43"/>
      <c r="S149" s="44"/>
      <c r="T149" s="45"/>
      <c r="U149" s="45"/>
      <c r="V149" s="45"/>
      <c r="W149" s="45"/>
      <c r="X149" s="45"/>
      <c r="Y149" s="45"/>
      <c r="Z149" s="45"/>
      <c r="AA149" s="45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32">
        <f t="shared" si="8"/>
        <v>0</v>
      </c>
      <c r="BB149" s="32">
        <f t="shared" si="9"/>
        <v>2</v>
      </c>
      <c r="BC149" s="32">
        <f t="shared" si="10"/>
        <v>10</v>
      </c>
      <c r="BD149" s="32">
        <f t="shared" si="11"/>
        <v>12</v>
      </c>
      <c r="BE149" s="33">
        <f t="shared" si="12"/>
        <v>83.33333333</v>
      </c>
    </row>
    <row r="150">
      <c r="A150" s="24">
        <v>53.0</v>
      </c>
      <c r="B150" s="24" t="s">
        <v>311</v>
      </c>
      <c r="C150" s="25" t="s">
        <v>312</v>
      </c>
      <c r="D150" s="26" t="s">
        <v>28</v>
      </c>
      <c r="E150" s="26" t="s">
        <v>28</v>
      </c>
      <c r="F150" s="26" t="s">
        <v>28</v>
      </c>
      <c r="G150" s="26" t="s">
        <v>28</v>
      </c>
      <c r="H150" s="26" t="s">
        <v>28</v>
      </c>
      <c r="I150" s="27" t="s">
        <v>22</v>
      </c>
      <c r="J150" s="27" t="s">
        <v>22</v>
      </c>
      <c r="K150" s="27" t="s">
        <v>22</v>
      </c>
      <c r="L150" s="26" t="s">
        <v>28</v>
      </c>
      <c r="M150" s="26" t="s">
        <v>28</v>
      </c>
      <c r="N150" s="26" t="s">
        <v>28</v>
      </c>
      <c r="O150" s="26" t="s">
        <v>28</v>
      </c>
      <c r="P150" s="43"/>
      <c r="Q150" s="43"/>
      <c r="R150" s="43"/>
      <c r="S150" s="44"/>
      <c r="T150" s="45"/>
      <c r="U150" s="45"/>
      <c r="V150" s="45"/>
      <c r="W150" s="45"/>
      <c r="X150" s="45"/>
      <c r="Y150" s="45"/>
      <c r="Z150" s="45"/>
      <c r="AA150" s="45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32">
        <f t="shared" si="8"/>
        <v>0</v>
      </c>
      <c r="BB150" s="32">
        <f t="shared" si="9"/>
        <v>3</v>
      </c>
      <c r="BC150" s="32">
        <f t="shared" si="10"/>
        <v>9</v>
      </c>
      <c r="BD150" s="32">
        <f t="shared" si="11"/>
        <v>12</v>
      </c>
      <c r="BE150" s="33">
        <f t="shared" si="12"/>
        <v>75</v>
      </c>
    </row>
    <row r="151">
      <c r="A151" s="24">
        <v>54.0</v>
      </c>
      <c r="B151" s="24" t="s">
        <v>313</v>
      </c>
      <c r="C151" s="25" t="s">
        <v>314</v>
      </c>
      <c r="D151" s="26" t="s">
        <v>28</v>
      </c>
      <c r="E151" s="26" t="s">
        <v>28</v>
      </c>
      <c r="F151" s="26" t="s">
        <v>28</v>
      </c>
      <c r="G151" s="26" t="s">
        <v>28</v>
      </c>
      <c r="H151" s="26" t="s">
        <v>28</v>
      </c>
      <c r="I151" s="26" t="s">
        <v>28</v>
      </c>
      <c r="J151" s="26" t="s">
        <v>28</v>
      </c>
      <c r="K151" s="26" t="s">
        <v>28</v>
      </c>
      <c r="L151" s="26" t="s">
        <v>28</v>
      </c>
      <c r="M151" s="26" t="s">
        <v>28</v>
      </c>
      <c r="N151" s="26" t="s">
        <v>28</v>
      </c>
      <c r="O151" s="26" t="s">
        <v>28</v>
      </c>
      <c r="P151" s="46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32">
        <f t="shared" si="8"/>
        <v>0</v>
      </c>
      <c r="BB151" s="32">
        <f t="shared" si="9"/>
        <v>0</v>
      </c>
      <c r="BC151" s="32">
        <f t="shared" si="10"/>
        <v>12</v>
      </c>
      <c r="BD151" s="32">
        <f t="shared" si="11"/>
        <v>12</v>
      </c>
      <c r="BE151" s="33">
        <f t="shared" si="12"/>
        <v>100</v>
      </c>
    </row>
    <row r="152">
      <c r="A152" s="24">
        <v>55.0</v>
      </c>
      <c r="B152" s="24" t="s">
        <v>315</v>
      </c>
      <c r="C152" s="25" t="s">
        <v>316</v>
      </c>
      <c r="D152" s="26" t="s">
        <v>28</v>
      </c>
      <c r="E152" s="26" t="s">
        <v>28</v>
      </c>
      <c r="F152" s="26" t="s">
        <v>28</v>
      </c>
      <c r="G152" s="26" t="s">
        <v>28</v>
      </c>
      <c r="H152" s="26" t="s">
        <v>28</v>
      </c>
      <c r="I152" s="26" t="s">
        <v>28</v>
      </c>
      <c r="J152" s="26" t="s">
        <v>28</v>
      </c>
      <c r="K152" s="27" t="s">
        <v>22</v>
      </c>
      <c r="L152" s="27" t="s">
        <v>22</v>
      </c>
      <c r="M152" s="27" t="s">
        <v>22</v>
      </c>
      <c r="N152" s="27" t="s">
        <v>22</v>
      </c>
      <c r="O152" s="27" t="s">
        <v>22</v>
      </c>
      <c r="P152" s="43"/>
      <c r="Q152" s="43"/>
      <c r="R152" s="43"/>
      <c r="S152" s="44"/>
      <c r="T152" s="45"/>
      <c r="U152" s="45"/>
      <c r="V152" s="45"/>
      <c r="W152" s="45"/>
      <c r="X152" s="45"/>
      <c r="Y152" s="45"/>
      <c r="Z152" s="45"/>
      <c r="AA152" s="45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32">
        <f t="shared" si="8"/>
        <v>0</v>
      </c>
      <c r="BB152" s="32">
        <f t="shared" si="9"/>
        <v>5</v>
      </c>
      <c r="BC152" s="32">
        <f t="shared" si="10"/>
        <v>7</v>
      </c>
      <c r="BD152" s="32">
        <f t="shared" si="11"/>
        <v>12</v>
      </c>
      <c r="BE152" s="33">
        <f t="shared" si="12"/>
        <v>58.33333333</v>
      </c>
    </row>
    <row r="153">
      <c r="A153" s="24">
        <v>56.0</v>
      </c>
      <c r="B153" s="24" t="s">
        <v>317</v>
      </c>
      <c r="C153" s="25" t="s">
        <v>318</v>
      </c>
      <c r="D153" s="26" t="s">
        <v>28</v>
      </c>
      <c r="E153" s="26" t="s">
        <v>28</v>
      </c>
      <c r="F153" s="26" t="s">
        <v>28</v>
      </c>
      <c r="G153" s="26" t="s">
        <v>28</v>
      </c>
      <c r="H153" s="26" t="s">
        <v>28</v>
      </c>
      <c r="I153" s="26" t="s">
        <v>28</v>
      </c>
      <c r="J153" s="26" t="s">
        <v>28</v>
      </c>
      <c r="K153" s="27" t="s">
        <v>22</v>
      </c>
      <c r="L153" s="27" t="s">
        <v>22</v>
      </c>
      <c r="M153" s="27" t="s">
        <v>22</v>
      </c>
      <c r="N153" s="27" t="s">
        <v>22</v>
      </c>
      <c r="O153" s="27" t="s">
        <v>22</v>
      </c>
      <c r="P153" s="43"/>
      <c r="Q153" s="43"/>
      <c r="R153" s="43"/>
      <c r="S153" s="44"/>
      <c r="T153" s="45"/>
      <c r="U153" s="45"/>
      <c r="V153" s="45"/>
      <c r="W153" s="45"/>
      <c r="X153" s="45"/>
      <c r="Y153" s="45"/>
      <c r="Z153" s="45"/>
      <c r="AA153" s="45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32">
        <f t="shared" si="8"/>
        <v>0</v>
      </c>
      <c r="BB153" s="32">
        <f t="shared" si="9"/>
        <v>5</v>
      </c>
      <c r="BC153" s="32">
        <f t="shared" si="10"/>
        <v>7</v>
      </c>
      <c r="BD153" s="32">
        <f t="shared" si="11"/>
        <v>12</v>
      </c>
      <c r="BE153" s="33">
        <f t="shared" si="12"/>
        <v>58.33333333</v>
      </c>
    </row>
    <row r="154">
      <c r="A154" s="24">
        <v>57.0</v>
      </c>
      <c r="B154" s="24" t="s">
        <v>319</v>
      </c>
      <c r="C154" s="25" t="s">
        <v>320</v>
      </c>
      <c r="D154" s="26" t="s">
        <v>28</v>
      </c>
      <c r="E154" s="26" t="s">
        <v>28</v>
      </c>
      <c r="F154" s="26" t="s">
        <v>28</v>
      </c>
      <c r="G154" s="27" t="s">
        <v>22</v>
      </c>
      <c r="H154" s="26" t="s">
        <v>28</v>
      </c>
      <c r="I154" s="27" t="s">
        <v>22</v>
      </c>
      <c r="J154" s="27" t="s">
        <v>22</v>
      </c>
      <c r="K154" s="26" t="s">
        <v>28</v>
      </c>
      <c r="L154" s="27" t="s">
        <v>22</v>
      </c>
      <c r="M154" s="26" t="s">
        <v>28</v>
      </c>
      <c r="N154" s="26" t="s">
        <v>28</v>
      </c>
      <c r="O154" s="26" t="s">
        <v>28</v>
      </c>
      <c r="P154" s="43"/>
      <c r="Q154" s="43"/>
      <c r="R154" s="43"/>
      <c r="S154" s="44"/>
      <c r="T154" s="45"/>
      <c r="U154" s="45"/>
      <c r="V154" s="45"/>
      <c r="W154" s="45"/>
      <c r="X154" s="45"/>
      <c r="Y154" s="45"/>
      <c r="Z154" s="45"/>
      <c r="AA154" s="45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32">
        <f t="shared" si="8"/>
        <v>0</v>
      </c>
      <c r="BB154" s="32">
        <f t="shared" si="9"/>
        <v>4</v>
      </c>
      <c r="BC154" s="32">
        <f t="shared" si="10"/>
        <v>8</v>
      </c>
      <c r="BD154" s="32">
        <f t="shared" si="11"/>
        <v>12</v>
      </c>
      <c r="BE154" s="33">
        <f t="shared" si="12"/>
        <v>66.66666667</v>
      </c>
    </row>
    <row r="155">
      <c r="A155" s="24">
        <v>58.0</v>
      </c>
      <c r="B155" s="24" t="s">
        <v>321</v>
      </c>
      <c r="C155" s="25" t="s">
        <v>322</v>
      </c>
      <c r="D155" s="26" t="s">
        <v>28</v>
      </c>
      <c r="E155" s="27" t="s">
        <v>22</v>
      </c>
      <c r="F155" s="26" t="s">
        <v>28</v>
      </c>
      <c r="G155" s="26" t="s">
        <v>28</v>
      </c>
      <c r="H155" s="26" t="s">
        <v>28</v>
      </c>
      <c r="I155" s="26" t="s">
        <v>28</v>
      </c>
      <c r="J155" s="26" t="s">
        <v>28</v>
      </c>
      <c r="K155" s="27" t="s">
        <v>22</v>
      </c>
      <c r="L155" s="26" t="s">
        <v>28</v>
      </c>
      <c r="M155" s="26" t="s">
        <v>28</v>
      </c>
      <c r="N155" s="26" t="s">
        <v>28</v>
      </c>
      <c r="O155" s="27" t="s">
        <v>22</v>
      </c>
      <c r="P155" s="43"/>
      <c r="Q155" s="43"/>
      <c r="R155" s="43"/>
      <c r="S155" s="44"/>
      <c r="T155" s="45"/>
      <c r="U155" s="45"/>
      <c r="V155" s="45"/>
      <c r="W155" s="45"/>
      <c r="X155" s="45"/>
      <c r="Y155" s="45"/>
      <c r="Z155" s="45"/>
      <c r="AA155" s="45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32">
        <f t="shared" si="8"/>
        <v>0</v>
      </c>
      <c r="BB155" s="32">
        <f t="shared" si="9"/>
        <v>3</v>
      </c>
      <c r="BC155" s="32">
        <f t="shared" si="10"/>
        <v>9</v>
      </c>
      <c r="BD155" s="32">
        <f t="shared" si="11"/>
        <v>12</v>
      </c>
      <c r="BE155" s="33">
        <f t="shared" si="12"/>
        <v>75</v>
      </c>
    </row>
    <row r="156">
      <c r="A156" s="24">
        <v>59.0</v>
      </c>
      <c r="B156" s="24" t="s">
        <v>323</v>
      </c>
      <c r="C156" s="25" t="s">
        <v>324</v>
      </c>
      <c r="D156" s="26" t="s">
        <v>28</v>
      </c>
      <c r="E156" s="26" t="s">
        <v>28</v>
      </c>
      <c r="F156" s="26" t="s">
        <v>28</v>
      </c>
      <c r="G156" s="26" t="s">
        <v>28</v>
      </c>
      <c r="H156" s="27" t="s">
        <v>22</v>
      </c>
      <c r="I156" s="26" t="s">
        <v>28</v>
      </c>
      <c r="J156" s="26" t="s">
        <v>28</v>
      </c>
      <c r="K156" s="27" t="s">
        <v>22</v>
      </c>
      <c r="L156" s="27" t="s">
        <v>22</v>
      </c>
      <c r="M156" s="27" t="s">
        <v>22</v>
      </c>
      <c r="N156" s="26" t="s">
        <v>28</v>
      </c>
      <c r="O156" s="27" t="s">
        <v>22</v>
      </c>
      <c r="P156" s="43"/>
      <c r="Q156" s="43"/>
      <c r="R156" s="43"/>
      <c r="S156" s="44"/>
      <c r="T156" s="45"/>
      <c r="U156" s="45"/>
      <c r="V156" s="45"/>
      <c r="W156" s="45"/>
      <c r="X156" s="45"/>
      <c r="Y156" s="45"/>
      <c r="Z156" s="45"/>
      <c r="AA156" s="45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32">
        <f t="shared" si="8"/>
        <v>0</v>
      </c>
      <c r="BB156" s="32">
        <f t="shared" si="9"/>
        <v>5</v>
      </c>
      <c r="BC156" s="32">
        <f t="shared" si="10"/>
        <v>7</v>
      </c>
      <c r="BD156" s="32">
        <f t="shared" si="11"/>
        <v>12</v>
      </c>
      <c r="BE156" s="33">
        <f t="shared" si="12"/>
        <v>58.33333333</v>
      </c>
    </row>
    <row r="157">
      <c r="A157" s="24">
        <v>60.0</v>
      </c>
      <c r="B157" s="24" t="s">
        <v>325</v>
      </c>
      <c r="C157" s="25" t="s">
        <v>326</v>
      </c>
      <c r="D157" s="26" t="s">
        <v>28</v>
      </c>
      <c r="E157" s="26" t="s">
        <v>28</v>
      </c>
      <c r="F157" s="26" t="s">
        <v>28</v>
      </c>
      <c r="G157" s="26" t="s">
        <v>28</v>
      </c>
      <c r="H157" s="26" t="s">
        <v>28</v>
      </c>
      <c r="I157" s="26" t="s">
        <v>28</v>
      </c>
      <c r="J157" s="26" t="s">
        <v>28</v>
      </c>
      <c r="K157" s="26" t="s">
        <v>28</v>
      </c>
      <c r="L157" s="26" t="s">
        <v>28</v>
      </c>
      <c r="M157" s="26" t="s">
        <v>28</v>
      </c>
      <c r="N157" s="26" t="s">
        <v>28</v>
      </c>
      <c r="O157" s="26" t="s">
        <v>28</v>
      </c>
      <c r="P157" s="43"/>
      <c r="Q157" s="43"/>
      <c r="R157" s="43"/>
      <c r="S157" s="44"/>
      <c r="T157" s="45"/>
      <c r="U157" s="45"/>
      <c r="V157" s="45"/>
      <c r="W157" s="45"/>
      <c r="X157" s="45"/>
      <c r="Y157" s="45"/>
      <c r="Z157" s="45"/>
      <c r="AA157" s="45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32">
        <f t="shared" si="8"/>
        <v>0</v>
      </c>
      <c r="BB157" s="32">
        <f t="shared" si="9"/>
        <v>0</v>
      </c>
      <c r="BC157" s="32">
        <f t="shared" si="10"/>
        <v>12</v>
      </c>
      <c r="BD157" s="32">
        <f t="shared" si="11"/>
        <v>12</v>
      </c>
      <c r="BE157" s="33">
        <f t="shared" si="12"/>
        <v>100</v>
      </c>
    </row>
    <row r="158">
      <c r="A158" s="24">
        <v>61.0</v>
      </c>
      <c r="B158" s="24" t="s">
        <v>327</v>
      </c>
      <c r="C158" s="25" t="s">
        <v>328</v>
      </c>
      <c r="D158" s="26" t="s">
        <v>28</v>
      </c>
      <c r="E158" s="26" t="s">
        <v>28</v>
      </c>
      <c r="F158" s="26" t="s">
        <v>28</v>
      </c>
      <c r="G158" s="26" t="s">
        <v>28</v>
      </c>
      <c r="H158" s="26" t="s">
        <v>28</v>
      </c>
      <c r="I158" s="26" t="s">
        <v>28</v>
      </c>
      <c r="J158" s="26" t="s">
        <v>28</v>
      </c>
      <c r="K158" s="26" t="s">
        <v>28</v>
      </c>
      <c r="L158" s="26" t="s">
        <v>28</v>
      </c>
      <c r="M158" s="26" t="s">
        <v>28</v>
      </c>
      <c r="N158" s="26" t="s">
        <v>28</v>
      </c>
      <c r="O158" s="26" t="s">
        <v>28</v>
      </c>
      <c r="P158" s="43"/>
      <c r="Q158" s="43"/>
      <c r="R158" s="43"/>
      <c r="S158" s="44"/>
      <c r="T158" s="45"/>
      <c r="U158" s="45"/>
      <c r="V158" s="45"/>
      <c r="W158" s="45"/>
      <c r="X158" s="45"/>
      <c r="Y158" s="45"/>
      <c r="Z158" s="45"/>
      <c r="AA158" s="45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32">
        <f t="shared" si="8"/>
        <v>0</v>
      </c>
      <c r="BB158" s="32">
        <f t="shared" si="9"/>
        <v>0</v>
      </c>
      <c r="BC158" s="32">
        <f t="shared" si="10"/>
        <v>12</v>
      </c>
      <c r="BD158" s="32">
        <f t="shared" si="11"/>
        <v>12</v>
      </c>
      <c r="BE158" s="33">
        <f t="shared" si="12"/>
        <v>100</v>
      </c>
    </row>
    <row r="159">
      <c r="A159" s="24">
        <v>62.0</v>
      </c>
      <c r="B159" s="24" t="s">
        <v>329</v>
      </c>
      <c r="C159" s="25" t="s">
        <v>330</v>
      </c>
      <c r="D159" s="26" t="s">
        <v>28</v>
      </c>
      <c r="E159" s="26" t="s">
        <v>28</v>
      </c>
      <c r="F159" s="26" t="s">
        <v>28</v>
      </c>
      <c r="G159" s="26" t="s">
        <v>28</v>
      </c>
      <c r="H159" s="27" t="s">
        <v>22</v>
      </c>
      <c r="I159" s="26" t="s">
        <v>28</v>
      </c>
      <c r="J159" s="26" t="s">
        <v>28</v>
      </c>
      <c r="K159" s="26" t="s">
        <v>28</v>
      </c>
      <c r="L159" s="26" t="s">
        <v>28</v>
      </c>
      <c r="M159" s="26" t="s">
        <v>28</v>
      </c>
      <c r="N159" s="27" t="s">
        <v>22</v>
      </c>
      <c r="O159" s="26" t="s">
        <v>28</v>
      </c>
      <c r="P159" s="43"/>
      <c r="Q159" s="43"/>
      <c r="R159" s="43"/>
      <c r="S159" s="44"/>
      <c r="T159" s="45"/>
      <c r="U159" s="45"/>
      <c r="V159" s="45"/>
      <c r="W159" s="45"/>
      <c r="X159" s="45"/>
      <c r="Y159" s="45"/>
      <c r="Z159" s="45"/>
      <c r="AA159" s="45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32">
        <f t="shared" si="8"/>
        <v>0</v>
      </c>
      <c r="BB159" s="32">
        <f t="shared" si="9"/>
        <v>2</v>
      </c>
      <c r="BC159" s="32">
        <f t="shared" si="10"/>
        <v>10</v>
      </c>
      <c r="BD159" s="32">
        <f t="shared" si="11"/>
        <v>12</v>
      </c>
      <c r="BE159" s="33">
        <f t="shared" si="12"/>
        <v>83.33333333</v>
      </c>
    </row>
    <row r="160">
      <c r="A160" s="24">
        <v>63.0</v>
      </c>
      <c r="B160" s="24" t="s">
        <v>331</v>
      </c>
      <c r="C160" s="25" t="s">
        <v>332</v>
      </c>
      <c r="D160" s="26" t="s">
        <v>28</v>
      </c>
      <c r="E160" s="26" t="s">
        <v>28</v>
      </c>
      <c r="F160" s="26" t="s">
        <v>28</v>
      </c>
      <c r="G160" s="27" t="s">
        <v>22</v>
      </c>
      <c r="H160" s="26" t="s">
        <v>28</v>
      </c>
      <c r="I160" s="26" t="s">
        <v>28</v>
      </c>
      <c r="J160" s="26" t="s">
        <v>28</v>
      </c>
      <c r="K160" s="26" t="s">
        <v>28</v>
      </c>
      <c r="L160" s="26" t="s">
        <v>28</v>
      </c>
      <c r="M160" s="26" t="s">
        <v>28</v>
      </c>
      <c r="N160" s="27" t="s">
        <v>22</v>
      </c>
      <c r="O160" s="26" t="s">
        <v>28</v>
      </c>
      <c r="P160" s="43"/>
      <c r="Q160" s="43"/>
      <c r="R160" s="43"/>
      <c r="S160" s="44"/>
      <c r="T160" s="45"/>
      <c r="U160" s="45"/>
      <c r="V160" s="45"/>
      <c r="W160" s="45"/>
      <c r="X160" s="45"/>
      <c r="Y160" s="45"/>
      <c r="Z160" s="45"/>
      <c r="AA160" s="45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32">
        <f t="shared" si="8"/>
        <v>0</v>
      </c>
      <c r="BB160" s="32">
        <f t="shared" si="9"/>
        <v>2</v>
      </c>
      <c r="BC160" s="32">
        <f t="shared" si="10"/>
        <v>10</v>
      </c>
      <c r="BD160" s="32">
        <f t="shared" si="11"/>
        <v>12</v>
      </c>
      <c r="BE160" s="33">
        <f t="shared" si="12"/>
        <v>83.33333333</v>
      </c>
    </row>
    <row r="161">
      <c r="A161" s="24">
        <v>64.0</v>
      </c>
      <c r="B161" s="35" t="s">
        <v>333</v>
      </c>
      <c r="C161" s="36" t="s">
        <v>334</v>
      </c>
      <c r="D161" s="26" t="s">
        <v>28</v>
      </c>
      <c r="E161" s="27" t="s">
        <v>22</v>
      </c>
      <c r="F161" s="26" t="s">
        <v>28</v>
      </c>
      <c r="G161" s="27" t="s">
        <v>22</v>
      </c>
      <c r="H161" s="26" t="s">
        <v>28</v>
      </c>
      <c r="I161" s="26" t="s">
        <v>28</v>
      </c>
      <c r="J161" s="27" t="s">
        <v>22</v>
      </c>
      <c r="K161" s="27" t="s">
        <v>22</v>
      </c>
      <c r="L161" s="27" t="s">
        <v>22</v>
      </c>
      <c r="M161" s="27" t="s">
        <v>22</v>
      </c>
      <c r="N161" s="27" t="s">
        <v>22</v>
      </c>
      <c r="O161" s="27" t="s">
        <v>22</v>
      </c>
      <c r="P161" s="46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32">
        <f t="shared" si="8"/>
        <v>0</v>
      </c>
      <c r="BB161" s="32">
        <f t="shared" si="9"/>
        <v>8</v>
      </c>
      <c r="BC161" s="32">
        <f t="shared" si="10"/>
        <v>4</v>
      </c>
      <c r="BD161" s="32">
        <f t="shared" si="11"/>
        <v>12</v>
      </c>
      <c r="BE161" s="33">
        <f t="shared" si="12"/>
        <v>33.33333333</v>
      </c>
    </row>
    <row r="162">
      <c r="A162" s="24">
        <v>65.0</v>
      </c>
      <c r="B162" s="35" t="s">
        <v>335</v>
      </c>
      <c r="C162" s="36" t="s">
        <v>336</v>
      </c>
      <c r="D162" s="26" t="s">
        <v>28</v>
      </c>
      <c r="E162" s="26" t="s">
        <v>28</v>
      </c>
      <c r="F162" s="26" t="s">
        <v>28</v>
      </c>
      <c r="G162" s="26" t="s">
        <v>28</v>
      </c>
      <c r="H162" s="26" t="s">
        <v>28</v>
      </c>
      <c r="I162" s="26" t="s">
        <v>28</v>
      </c>
      <c r="J162" s="27" t="s">
        <v>22</v>
      </c>
      <c r="K162" s="27" t="s">
        <v>22</v>
      </c>
      <c r="L162" s="26" t="s">
        <v>28</v>
      </c>
      <c r="M162" s="27" t="s">
        <v>22</v>
      </c>
      <c r="N162" s="27" t="s">
        <v>22</v>
      </c>
      <c r="O162" s="27" t="s">
        <v>22</v>
      </c>
      <c r="P162" s="43"/>
      <c r="Q162" s="43"/>
      <c r="R162" s="43"/>
      <c r="S162" s="44"/>
      <c r="T162" s="45"/>
      <c r="U162" s="45"/>
      <c r="V162" s="45"/>
      <c r="W162" s="45"/>
      <c r="X162" s="45"/>
      <c r="Y162" s="45"/>
      <c r="Z162" s="45"/>
      <c r="AA162" s="45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32">
        <f t="shared" si="8"/>
        <v>0</v>
      </c>
      <c r="BB162" s="32">
        <f t="shared" si="9"/>
        <v>5</v>
      </c>
      <c r="BC162" s="32">
        <f t="shared" si="10"/>
        <v>7</v>
      </c>
      <c r="BD162" s="32">
        <f t="shared" si="11"/>
        <v>12</v>
      </c>
      <c r="BE162" s="33">
        <f t="shared" si="12"/>
        <v>58.33333333</v>
      </c>
    </row>
    <row r="163">
      <c r="A163" s="24">
        <v>66.0</v>
      </c>
      <c r="B163" s="24" t="s">
        <v>337</v>
      </c>
      <c r="C163" s="25" t="s">
        <v>338</v>
      </c>
      <c r="D163" s="26" t="s">
        <v>28</v>
      </c>
      <c r="E163" s="26" t="s">
        <v>28</v>
      </c>
      <c r="F163" s="26" t="s">
        <v>28</v>
      </c>
      <c r="G163" s="26" t="s">
        <v>28</v>
      </c>
      <c r="H163" s="26" t="s">
        <v>28</v>
      </c>
      <c r="I163" s="26" t="s">
        <v>28</v>
      </c>
      <c r="J163" s="26" t="s">
        <v>28</v>
      </c>
      <c r="K163" s="26" t="s">
        <v>28</v>
      </c>
      <c r="L163" s="26" t="s">
        <v>28</v>
      </c>
      <c r="M163" s="26" t="s">
        <v>28</v>
      </c>
      <c r="N163" s="26" t="s">
        <v>28</v>
      </c>
      <c r="O163" s="26" t="s">
        <v>28</v>
      </c>
      <c r="P163" s="43"/>
      <c r="Q163" s="43"/>
      <c r="R163" s="43"/>
      <c r="S163" s="44"/>
      <c r="T163" s="45"/>
      <c r="U163" s="45"/>
      <c r="V163" s="45"/>
      <c r="W163" s="45"/>
      <c r="X163" s="45"/>
      <c r="Y163" s="45"/>
      <c r="Z163" s="45"/>
      <c r="AA163" s="45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32">
        <f t="shared" si="8"/>
        <v>0</v>
      </c>
      <c r="BB163" s="32">
        <f t="shared" si="9"/>
        <v>0</v>
      </c>
      <c r="BC163" s="32">
        <f t="shared" si="10"/>
        <v>12</v>
      </c>
      <c r="BD163" s="32">
        <f t="shared" si="11"/>
        <v>12</v>
      </c>
      <c r="BE163" s="33">
        <f t="shared" si="12"/>
        <v>100</v>
      </c>
    </row>
    <row r="164">
      <c r="A164" s="24">
        <v>67.0</v>
      </c>
      <c r="B164" s="24" t="s">
        <v>339</v>
      </c>
      <c r="C164" s="25" t="s">
        <v>340</v>
      </c>
      <c r="D164" s="26" t="s">
        <v>28</v>
      </c>
      <c r="E164" s="27" t="s">
        <v>22</v>
      </c>
      <c r="F164" s="26" t="s">
        <v>28</v>
      </c>
      <c r="G164" s="27" t="s">
        <v>22</v>
      </c>
      <c r="H164" s="26" t="s">
        <v>28</v>
      </c>
      <c r="I164" s="26" t="s">
        <v>28</v>
      </c>
      <c r="J164" s="26" t="s">
        <v>28</v>
      </c>
      <c r="K164" s="26" t="s">
        <v>28</v>
      </c>
      <c r="L164" s="26" t="s">
        <v>28</v>
      </c>
      <c r="M164" s="27" t="s">
        <v>22</v>
      </c>
      <c r="N164" s="26" t="s">
        <v>28</v>
      </c>
      <c r="O164" s="27" t="s">
        <v>22</v>
      </c>
      <c r="P164" s="43"/>
      <c r="Q164" s="43"/>
      <c r="R164" s="43"/>
      <c r="S164" s="44"/>
      <c r="T164" s="45"/>
      <c r="U164" s="45"/>
      <c r="V164" s="45"/>
      <c r="W164" s="45"/>
      <c r="X164" s="45"/>
      <c r="Y164" s="45"/>
      <c r="Z164" s="45"/>
      <c r="AA164" s="45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32">
        <f t="shared" si="8"/>
        <v>0</v>
      </c>
      <c r="BB164" s="32">
        <f t="shared" si="9"/>
        <v>4</v>
      </c>
      <c r="BC164" s="32">
        <f t="shared" si="10"/>
        <v>8</v>
      </c>
      <c r="BD164" s="32">
        <f t="shared" si="11"/>
        <v>12</v>
      </c>
      <c r="BE164" s="33">
        <f t="shared" si="12"/>
        <v>66.66666667</v>
      </c>
    </row>
    <row r="165">
      <c r="A165" s="24">
        <v>68.0</v>
      </c>
      <c r="B165" s="24" t="s">
        <v>341</v>
      </c>
      <c r="C165" s="25" t="s">
        <v>342</v>
      </c>
      <c r="D165" s="26" t="s">
        <v>28</v>
      </c>
      <c r="E165" s="26" t="s">
        <v>28</v>
      </c>
      <c r="F165" s="26" t="s">
        <v>28</v>
      </c>
      <c r="G165" s="26" t="s">
        <v>28</v>
      </c>
      <c r="H165" s="26" t="s">
        <v>28</v>
      </c>
      <c r="I165" s="26" t="s">
        <v>28</v>
      </c>
      <c r="J165" s="26" t="s">
        <v>28</v>
      </c>
      <c r="K165" s="26" t="s">
        <v>28</v>
      </c>
      <c r="L165" s="26" t="s">
        <v>28</v>
      </c>
      <c r="M165" s="26" t="s">
        <v>28</v>
      </c>
      <c r="N165" s="26" t="s">
        <v>28</v>
      </c>
      <c r="O165" s="26" t="s">
        <v>28</v>
      </c>
      <c r="P165" s="43"/>
      <c r="Q165" s="43"/>
      <c r="R165" s="43"/>
      <c r="S165" s="44"/>
      <c r="T165" s="45"/>
      <c r="U165" s="45"/>
      <c r="V165" s="45"/>
      <c r="W165" s="45"/>
      <c r="X165" s="45"/>
      <c r="Y165" s="45"/>
      <c r="Z165" s="45"/>
      <c r="AA165" s="45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32">
        <f t="shared" si="8"/>
        <v>0</v>
      </c>
      <c r="BB165" s="32">
        <f t="shared" si="9"/>
        <v>0</v>
      </c>
      <c r="BC165" s="32">
        <f t="shared" si="10"/>
        <v>12</v>
      </c>
      <c r="BD165" s="32">
        <f t="shared" si="11"/>
        <v>12</v>
      </c>
      <c r="BE165" s="33">
        <f t="shared" si="12"/>
        <v>100</v>
      </c>
    </row>
    <row r="166">
      <c r="A166" s="24">
        <v>69.0</v>
      </c>
      <c r="B166" s="24" t="s">
        <v>343</v>
      </c>
      <c r="C166" s="25" t="s">
        <v>344</v>
      </c>
      <c r="D166" s="26" t="s">
        <v>28</v>
      </c>
      <c r="E166" s="26" t="s">
        <v>28</v>
      </c>
      <c r="F166" s="27" t="s">
        <v>22</v>
      </c>
      <c r="G166" s="26" t="s">
        <v>28</v>
      </c>
      <c r="H166" s="26" t="s">
        <v>28</v>
      </c>
      <c r="I166" s="27" t="s">
        <v>22</v>
      </c>
      <c r="J166" s="26" t="s">
        <v>28</v>
      </c>
      <c r="K166" s="27" t="s">
        <v>22</v>
      </c>
      <c r="L166" s="26" t="s">
        <v>28</v>
      </c>
      <c r="M166" s="26" t="s">
        <v>28</v>
      </c>
      <c r="N166" s="27" t="s">
        <v>22</v>
      </c>
      <c r="O166" s="26" t="s">
        <v>28</v>
      </c>
      <c r="P166" s="71"/>
      <c r="Q166" s="43"/>
      <c r="R166" s="43"/>
      <c r="S166" s="44"/>
      <c r="T166" s="45"/>
      <c r="U166" s="45"/>
      <c r="V166" s="45"/>
      <c r="W166" s="45"/>
      <c r="X166" s="45"/>
      <c r="Y166" s="45"/>
      <c r="Z166" s="45"/>
      <c r="AA166" s="45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32">
        <f t="shared" si="8"/>
        <v>0</v>
      </c>
      <c r="BB166" s="32">
        <f t="shared" si="9"/>
        <v>4</v>
      </c>
      <c r="BC166" s="32">
        <f t="shared" si="10"/>
        <v>8</v>
      </c>
      <c r="BD166" s="32">
        <f t="shared" si="11"/>
        <v>12</v>
      </c>
      <c r="BE166" s="33">
        <f t="shared" si="12"/>
        <v>66.66666667</v>
      </c>
    </row>
    <row r="167">
      <c r="A167" s="24">
        <v>70.0</v>
      </c>
      <c r="B167" s="24" t="s">
        <v>345</v>
      </c>
      <c r="C167" s="25" t="s">
        <v>346</v>
      </c>
      <c r="D167" s="26" t="s">
        <v>28</v>
      </c>
      <c r="E167" s="26" t="s">
        <v>28</v>
      </c>
      <c r="F167" s="26" t="s">
        <v>28</v>
      </c>
      <c r="G167" s="26" t="s">
        <v>28</v>
      </c>
      <c r="H167" s="26" t="s">
        <v>28</v>
      </c>
      <c r="I167" s="26" t="s">
        <v>28</v>
      </c>
      <c r="J167" s="26" t="s">
        <v>28</v>
      </c>
      <c r="K167" s="27" t="s">
        <v>22</v>
      </c>
      <c r="L167" s="27" t="s">
        <v>22</v>
      </c>
      <c r="M167" s="26" t="s">
        <v>28</v>
      </c>
      <c r="N167" s="26" t="s">
        <v>28</v>
      </c>
      <c r="O167" s="26" t="s">
        <v>28</v>
      </c>
      <c r="P167" s="50"/>
      <c r="Q167" s="51"/>
      <c r="R167" s="51"/>
      <c r="S167" s="51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32">
        <f t="shared" si="8"/>
        <v>0</v>
      </c>
      <c r="BB167" s="32">
        <f t="shared" si="9"/>
        <v>2</v>
      </c>
      <c r="BC167" s="32">
        <f t="shared" si="10"/>
        <v>10</v>
      </c>
      <c r="BD167" s="32">
        <f t="shared" si="11"/>
        <v>12</v>
      </c>
      <c r="BE167" s="33">
        <f t="shared" si="12"/>
        <v>83.33333333</v>
      </c>
    </row>
    <row r="168">
      <c r="A168" s="35">
        <v>71.0</v>
      </c>
      <c r="B168" s="35" t="s">
        <v>347</v>
      </c>
      <c r="C168" s="36" t="s">
        <v>348</v>
      </c>
      <c r="D168" s="37" t="s">
        <v>28</v>
      </c>
      <c r="E168" s="27" t="s">
        <v>22</v>
      </c>
      <c r="F168" s="37" t="s">
        <v>28</v>
      </c>
      <c r="G168" s="27" t="s">
        <v>22</v>
      </c>
      <c r="H168" s="27" t="s">
        <v>22</v>
      </c>
      <c r="I168" s="27" t="s">
        <v>22</v>
      </c>
      <c r="J168" s="27" t="s">
        <v>22</v>
      </c>
      <c r="K168" s="27" t="s">
        <v>22</v>
      </c>
      <c r="L168" s="53"/>
      <c r="M168" s="54"/>
      <c r="N168" s="54"/>
      <c r="O168" s="54"/>
      <c r="P168" s="54"/>
      <c r="Q168" s="53"/>
      <c r="R168" s="53"/>
      <c r="S168" s="53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41">
        <f t="shared" si="8"/>
        <v>0</v>
      </c>
      <c r="BB168" s="41">
        <f t="shared" si="9"/>
        <v>6</v>
      </c>
      <c r="BC168" s="41">
        <f t="shared" si="10"/>
        <v>2</v>
      </c>
      <c r="BD168" s="41">
        <f t="shared" si="11"/>
        <v>8</v>
      </c>
      <c r="BE168" s="42">
        <f t="shared" si="12"/>
        <v>25</v>
      </c>
    </row>
    <row r="169">
      <c r="A169" s="24">
        <v>72.0</v>
      </c>
      <c r="B169" s="24" t="s">
        <v>349</v>
      </c>
      <c r="C169" s="25" t="s">
        <v>350</v>
      </c>
      <c r="D169" s="26" t="s">
        <v>28</v>
      </c>
      <c r="E169" s="26" t="s">
        <v>28</v>
      </c>
      <c r="F169" s="26" t="s">
        <v>28</v>
      </c>
      <c r="G169" s="26" t="s">
        <v>28</v>
      </c>
      <c r="H169" s="26" t="s">
        <v>28</v>
      </c>
      <c r="I169" s="26" t="s">
        <v>28</v>
      </c>
      <c r="J169" s="26" t="s">
        <v>28</v>
      </c>
      <c r="K169" s="26" t="s">
        <v>28</v>
      </c>
      <c r="L169" s="26" t="s">
        <v>28</v>
      </c>
      <c r="M169" s="26" t="s">
        <v>28</v>
      </c>
      <c r="N169" s="26" t="s">
        <v>28</v>
      </c>
      <c r="O169" s="26" t="s">
        <v>28</v>
      </c>
      <c r="P169" s="50"/>
      <c r="Q169" s="51"/>
      <c r="R169" s="51"/>
      <c r="S169" s="51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32">
        <f t="shared" si="8"/>
        <v>0</v>
      </c>
      <c r="BB169" s="32">
        <f t="shared" si="9"/>
        <v>0</v>
      </c>
      <c r="BC169" s="32">
        <f t="shared" si="10"/>
        <v>12</v>
      </c>
      <c r="BD169" s="32">
        <f t="shared" si="11"/>
        <v>12</v>
      </c>
      <c r="BE169" s="33">
        <f t="shared" si="12"/>
        <v>100</v>
      </c>
    </row>
    <row r="170">
      <c r="A170" s="24">
        <v>73.0</v>
      </c>
      <c r="B170" s="24" t="s">
        <v>351</v>
      </c>
      <c r="C170" s="25" t="s">
        <v>352</v>
      </c>
      <c r="D170" s="26" t="s">
        <v>28</v>
      </c>
      <c r="E170" s="26" t="s">
        <v>28</v>
      </c>
      <c r="F170" s="26" t="s">
        <v>28</v>
      </c>
      <c r="G170" s="27" t="s">
        <v>22</v>
      </c>
      <c r="H170" s="26" t="s">
        <v>28</v>
      </c>
      <c r="I170" s="26" t="s">
        <v>28</v>
      </c>
      <c r="J170" s="26" t="s">
        <v>28</v>
      </c>
      <c r="K170" s="26" t="s">
        <v>28</v>
      </c>
      <c r="L170" s="26" t="s">
        <v>28</v>
      </c>
      <c r="M170" s="26" t="s">
        <v>28</v>
      </c>
      <c r="N170" s="26" t="s">
        <v>28</v>
      </c>
      <c r="O170" s="26" t="s">
        <v>28</v>
      </c>
      <c r="P170" s="50"/>
      <c r="Q170" s="51"/>
      <c r="R170" s="51"/>
      <c r="S170" s="51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32">
        <f t="shared" si="8"/>
        <v>0</v>
      </c>
      <c r="BB170" s="32">
        <f t="shared" si="9"/>
        <v>1</v>
      </c>
      <c r="BC170" s="32">
        <f t="shared" si="10"/>
        <v>11</v>
      </c>
      <c r="BD170" s="32">
        <f t="shared" si="11"/>
        <v>12</v>
      </c>
      <c r="BE170" s="33">
        <f t="shared" si="12"/>
        <v>91.66666667</v>
      </c>
    </row>
    <row r="171">
      <c r="A171" s="24">
        <v>74.0</v>
      </c>
      <c r="B171" s="24" t="s">
        <v>353</v>
      </c>
      <c r="C171" s="25" t="s">
        <v>354</v>
      </c>
      <c r="D171" s="26" t="s">
        <v>28</v>
      </c>
      <c r="E171" s="26" t="s">
        <v>28</v>
      </c>
      <c r="F171" s="26" t="s">
        <v>28</v>
      </c>
      <c r="G171" s="26" t="s">
        <v>28</v>
      </c>
      <c r="H171" s="27" t="s">
        <v>22</v>
      </c>
      <c r="I171" s="26" t="s">
        <v>28</v>
      </c>
      <c r="J171" s="26" t="s">
        <v>28</v>
      </c>
      <c r="K171" s="26" t="s">
        <v>28</v>
      </c>
      <c r="L171" s="26" t="s">
        <v>28</v>
      </c>
      <c r="M171" s="27" t="s">
        <v>22</v>
      </c>
      <c r="N171" s="26" t="s">
        <v>28</v>
      </c>
      <c r="O171" s="26" t="s">
        <v>28</v>
      </c>
      <c r="P171" s="50"/>
      <c r="Q171" s="51"/>
      <c r="R171" s="51"/>
      <c r="S171" s="51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32">
        <f t="shared" si="8"/>
        <v>0</v>
      </c>
      <c r="BB171" s="32">
        <f t="shared" si="9"/>
        <v>2</v>
      </c>
      <c r="BC171" s="32">
        <f t="shared" si="10"/>
        <v>10</v>
      </c>
      <c r="BD171" s="32">
        <f t="shared" si="11"/>
        <v>12</v>
      </c>
      <c r="BE171" s="33">
        <f t="shared" si="12"/>
        <v>83.33333333</v>
      </c>
    </row>
    <row r="172">
      <c r="A172" s="24">
        <v>75.0</v>
      </c>
      <c r="B172" s="24" t="s">
        <v>355</v>
      </c>
      <c r="C172" s="25" t="s">
        <v>356</v>
      </c>
      <c r="D172" s="26" t="s">
        <v>28</v>
      </c>
      <c r="E172" s="26" t="s">
        <v>28</v>
      </c>
      <c r="F172" s="26" t="s">
        <v>28</v>
      </c>
      <c r="G172" s="26" t="s">
        <v>28</v>
      </c>
      <c r="H172" s="26" t="s">
        <v>28</v>
      </c>
      <c r="I172" s="26" t="s">
        <v>28</v>
      </c>
      <c r="J172" s="26" t="s">
        <v>28</v>
      </c>
      <c r="K172" s="26" t="s">
        <v>28</v>
      </c>
      <c r="L172" s="27" t="s">
        <v>22</v>
      </c>
      <c r="M172" s="26" t="s">
        <v>28</v>
      </c>
      <c r="N172" s="26" t="s">
        <v>28</v>
      </c>
      <c r="O172" s="26" t="s">
        <v>28</v>
      </c>
      <c r="P172" s="50"/>
      <c r="Q172" s="51"/>
      <c r="R172" s="51"/>
      <c r="S172" s="51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32">
        <f t="shared" si="8"/>
        <v>0</v>
      </c>
      <c r="BB172" s="32">
        <f t="shared" si="9"/>
        <v>1</v>
      </c>
      <c r="BC172" s="32">
        <f t="shared" si="10"/>
        <v>11</v>
      </c>
      <c r="BD172" s="32">
        <f t="shared" si="11"/>
        <v>12</v>
      </c>
      <c r="BE172" s="33">
        <f t="shared" si="12"/>
        <v>91.66666667</v>
      </c>
    </row>
    <row r="173">
      <c r="A173" s="24">
        <v>76.0</v>
      </c>
      <c r="B173" s="24" t="s">
        <v>357</v>
      </c>
      <c r="C173" s="25" t="s">
        <v>358</v>
      </c>
      <c r="D173" s="26" t="s">
        <v>28</v>
      </c>
      <c r="E173" s="26" t="s">
        <v>28</v>
      </c>
      <c r="F173" s="26" t="s">
        <v>28</v>
      </c>
      <c r="G173" s="26" t="s">
        <v>28</v>
      </c>
      <c r="H173" s="26" t="s">
        <v>28</v>
      </c>
      <c r="I173" s="26" t="s">
        <v>28</v>
      </c>
      <c r="J173" s="26" t="s">
        <v>28</v>
      </c>
      <c r="K173" s="26" t="s">
        <v>28</v>
      </c>
      <c r="L173" s="26" t="s">
        <v>28</v>
      </c>
      <c r="M173" s="26" t="s">
        <v>28</v>
      </c>
      <c r="N173" s="26" t="s">
        <v>28</v>
      </c>
      <c r="O173" s="26" t="s">
        <v>28</v>
      </c>
      <c r="P173" s="50"/>
      <c r="Q173" s="51"/>
      <c r="R173" s="51"/>
      <c r="S173" s="51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32">
        <f t="shared" si="8"/>
        <v>0</v>
      </c>
      <c r="BB173" s="32">
        <f t="shared" si="9"/>
        <v>0</v>
      </c>
      <c r="BC173" s="32">
        <f t="shared" si="10"/>
        <v>12</v>
      </c>
      <c r="BD173" s="32">
        <f t="shared" si="11"/>
        <v>12</v>
      </c>
      <c r="BE173" s="33">
        <f t="shared" si="12"/>
        <v>100</v>
      </c>
    </row>
    <row r="174">
      <c r="A174" s="24">
        <v>77.0</v>
      </c>
      <c r="B174" s="24" t="s">
        <v>359</v>
      </c>
      <c r="C174" s="25" t="s">
        <v>360</v>
      </c>
      <c r="D174" s="26" t="s">
        <v>28</v>
      </c>
      <c r="E174" s="26" t="s">
        <v>28</v>
      </c>
      <c r="F174" s="26" t="s">
        <v>28</v>
      </c>
      <c r="G174" s="27" t="s">
        <v>22</v>
      </c>
      <c r="H174" s="26" t="s">
        <v>28</v>
      </c>
      <c r="I174" s="27" t="s">
        <v>22</v>
      </c>
      <c r="J174" s="26" t="s">
        <v>28</v>
      </c>
      <c r="K174" s="26" t="s">
        <v>28</v>
      </c>
      <c r="L174" s="27" t="s">
        <v>22</v>
      </c>
      <c r="M174" s="26" t="s">
        <v>28</v>
      </c>
      <c r="N174" s="26" t="s">
        <v>28</v>
      </c>
      <c r="O174" s="27" t="s">
        <v>22</v>
      </c>
      <c r="P174" s="50"/>
      <c r="Q174" s="51"/>
      <c r="R174" s="51"/>
      <c r="S174" s="51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32">
        <f t="shared" si="8"/>
        <v>0</v>
      </c>
      <c r="BB174" s="32">
        <f t="shared" si="9"/>
        <v>4</v>
      </c>
      <c r="BC174" s="32">
        <f t="shared" si="10"/>
        <v>8</v>
      </c>
      <c r="BD174" s="32">
        <f t="shared" si="11"/>
        <v>12</v>
      </c>
      <c r="BE174" s="33">
        <f t="shared" si="12"/>
        <v>66.66666667</v>
      </c>
    </row>
    <row r="175">
      <c r="A175" s="24">
        <v>78.0</v>
      </c>
      <c r="B175" s="74" t="s">
        <v>361</v>
      </c>
      <c r="C175" s="75" t="s">
        <v>362</v>
      </c>
      <c r="D175" s="26" t="s">
        <v>28</v>
      </c>
      <c r="E175" s="26" t="s">
        <v>28</v>
      </c>
      <c r="F175" s="27" t="s">
        <v>22</v>
      </c>
      <c r="G175" s="26" t="s">
        <v>28</v>
      </c>
      <c r="H175" s="26" t="s">
        <v>28</v>
      </c>
      <c r="I175" s="26" t="s">
        <v>28</v>
      </c>
      <c r="J175" s="26" t="s">
        <v>28</v>
      </c>
      <c r="K175" s="26" t="s">
        <v>28</v>
      </c>
      <c r="L175" s="26" t="s">
        <v>28</v>
      </c>
      <c r="M175" s="26" t="s">
        <v>28</v>
      </c>
      <c r="N175" s="26" t="s">
        <v>28</v>
      </c>
      <c r="O175" s="26" t="s">
        <v>28</v>
      </c>
      <c r="P175" s="50"/>
      <c r="Q175" s="51"/>
      <c r="R175" s="51"/>
      <c r="S175" s="51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32">
        <f t="shared" si="8"/>
        <v>0</v>
      </c>
      <c r="BB175" s="32">
        <f t="shared" si="9"/>
        <v>1</v>
      </c>
      <c r="BC175" s="32">
        <f t="shared" si="10"/>
        <v>11</v>
      </c>
      <c r="BD175" s="32">
        <f t="shared" si="11"/>
        <v>12</v>
      </c>
      <c r="BE175" s="33">
        <f t="shared" si="12"/>
        <v>91.66666667</v>
      </c>
    </row>
    <row r="176">
      <c r="A176" s="24">
        <v>79.0</v>
      </c>
      <c r="B176" s="24" t="s">
        <v>363</v>
      </c>
      <c r="C176" s="25" t="s">
        <v>364</v>
      </c>
      <c r="D176" s="26" t="s">
        <v>28</v>
      </c>
      <c r="E176" s="26" t="s">
        <v>28</v>
      </c>
      <c r="F176" s="26" t="s">
        <v>28</v>
      </c>
      <c r="G176" s="26" t="s">
        <v>28</v>
      </c>
      <c r="H176" s="27" t="s">
        <v>22</v>
      </c>
      <c r="I176" s="27" t="s">
        <v>22</v>
      </c>
      <c r="J176" s="27" t="s">
        <v>22</v>
      </c>
      <c r="K176" s="27" t="s">
        <v>22</v>
      </c>
      <c r="L176" s="26" t="s">
        <v>28</v>
      </c>
      <c r="M176" s="27" t="s">
        <v>22</v>
      </c>
      <c r="N176" s="27" t="s">
        <v>22</v>
      </c>
      <c r="O176" s="27" t="s">
        <v>22</v>
      </c>
      <c r="P176" s="50"/>
      <c r="Q176" s="51"/>
      <c r="R176" s="51"/>
      <c r="S176" s="51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32">
        <f t="shared" si="8"/>
        <v>0</v>
      </c>
      <c r="BB176" s="32">
        <f t="shared" si="9"/>
        <v>7</v>
      </c>
      <c r="BC176" s="32">
        <f t="shared" si="10"/>
        <v>5</v>
      </c>
      <c r="BD176" s="32">
        <f t="shared" si="11"/>
        <v>12</v>
      </c>
      <c r="BE176" s="33">
        <f t="shared" si="12"/>
        <v>41.66666667</v>
      </c>
    </row>
    <row r="177">
      <c r="A177" s="24">
        <v>80.0</v>
      </c>
      <c r="B177" s="24" t="s">
        <v>365</v>
      </c>
      <c r="C177" s="25" t="s">
        <v>366</v>
      </c>
      <c r="D177" s="26" t="s">
        <v>28</v>
      </c>
      <c r="E177" s="26" t="s">
        <v>28</v>
      </c>
      <c r="F177" s="26" t="s">
        <v>28</v>
      </c>
      <c r="G177" s="26" t="s">
        <v>28</v>
      </c>
      <c r="H177" s="26" t="s">
        <v>28</v>
      </c>
      <c r="I177" s="26" t="s">
        <v>28</v>
      </c>
      <c r="J177" s="26" t="s">
        <v>28</v>
      </c>
      <c r="K177" s="26" t="s">
        <v>28</v>
      </c>
      <c r="L177" s="26" t="s">
        <v>28</v>
      </c>
      <c r="M177" s="26" t="s">
        <v>28</v>
      </c>
      <c r="N177" s="26" t="s">
        <v>28</v>
      </c>
      <c r="O177" s="26" t="s">
        <v>28</v>
      </c>
      <c r="P177" s="50"/>
      <c r="Q177" s="51"/>
      <c r="R177" s="51"/>
      <c r="S177" s="51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32">
        <f t="shared" si="8"/>
        <v>0</v>
      </c>
      <c r="BB177" s="32">
        <f t="shared" si="9"/>
        <v>0</v>
      </c>
      <c r="BC177" s="32">
        <f t="shared" si="10"/>
        <v>12</v>
      </c>
      <c r="BD177" s="32">
        <f t="shared" si="11"/>
        <v>12</v>
      </c>
      <c r="BE177" s="33">
        <f t="shared" si="12"/>
        <v>100</v>
      </c>
    </row>
    <row r="178">
      <c r="A178" s="35">
        <v>81.0</v>
      </c>
      <c r="B178" s="35" t="s">
        <v>367</v>
      </c>
      <c r="C178" s="36" t="s">
        <v>368</v>
      </c>
      <c r="D178" s="37" t="s">
        <v>28</v>
      </c>
      <c r="E178" s="37" t="s">
        <v>28</v>
      </c>
      <c r="F178" s="27" t="s">
        <v>22</v>
      </c>
      <c r="G178" s="37" t="s">
        <v>28</v>
      </c>
      <c r="H178" s="37" t="s">
        <v>28</v>
      </c>
      <c r="I178" s="27" t="s">
        <v>22</v>
      </c>
      <c r="J178" s="27" t="s">
        <v>22</v>
      </c>
      <c r="K178" s="27" t="s">
        <v>22</v>
      </c>
      <c r="L178" s="53"/>
      <c r="M178" s="54"/>
      <c r="N178" s="54"/>
      <c r="O178" s="54"/>
      <c r="P178" s="54"/>
      <c r="Q178" s="53"/>
      <c r="R178" s="53"/>
      <c r="S178" s="53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41">
        <f t="shared" si="8"/>
        <v>0</v>
      </c>
      <c r="BB178" s="41">
        <f t="shared" si="9"/>
        <v>4</v>
      </c>
      <c r="BC178" s="41">
        <f t="shared" si="10"/>
        <v>4</v>
      </c>
      <c r="BD178" s="41">
        <f t="shared" si="11"/>
        <v>8</v>
      </c>
      <c r="BE178" s="42">
        <f t="shared" si="12"/>
        <v>50</v>
      </c>
    </row>
    <row r="179">
      <c r="A179" s="55"/>
      <c r="B179" s="55"/>
      <c r="C179" s="56" t="s">
        <v>191</v>
      </c>
      <c r="D179" s="57">
        <f t="shared" ref="D179:AZ179" si="13">COUNTIF(D98:D178,"P")+COUNTIF(D98:D178,"L")</f>
        <v>80</v>
      </c>
      <c r="E179" s="57">
        <f t="shared" si="13"/>
        <v>64</v>
      </c>
      <c r="F179" s="57">
        <f t="shared" si="13"/>
        <v>76</v>
      </c>
      <c r="G179" s="57">
        <f t="shared" si="13"/>
        <v>60</v>
      </c>
      <c r="H179" s="57">
        <f t="shared" si="13"/>
        <v>65</v>
      </c>
      <c r="I179" s="57">
        <f t="shared" si="13"/>
        <v>67</v>
      </c>
      <c r="J179" s="57">
        <f t="shared" si="13"/>
        <v>67</v>
      </c>
      <c r="K179" s="57">
        <f t="shared" si="13"/>
        <v>62</v>
      </c>
      <c r="L179" s="57">
        <f t="shared" si="13"/>
        <v>65</v>
      </c>
      <c r="M179" s="57">
        <f t="shared" si="13"/>
        <v>63</v>
      </c>
      <c r="N179" s="57">
        <f t="shared" si="13"/>
        <v>56</v>
      </c>
      <c r="O179" s="57">
        <f t="shared" si="13"/>
        <v>63</v>
      </c>
      <c r="P179" s="57">
        <f t="shared" si="13"/>
        <v>0</v>
      </c>
      <c r="Q179" s="57">
        <f t="shared" si="13"/>
        <v>0</v>
      </c>
      <c r="R179" s="57">
        <f t="shared" si="13"/>
        <v>0</v>
      </c>
      <c r="S179" s="57">
        <f t="shared" si="13"/>
        <v>0</v>
      </c>
      <c r="T179" s="57">
        <f t="shared" si="13"/>
        <v>0</v>
      </c>
      <c r="U179" s="57">
        <f t="shared" si="13"/>
        <v>0</v>
      </c>
      <c r="V179" s="57">
        <f t="shared" si="13"/>
        <v>0</v>
      </c>
      <c r="W179" s="57">
        <f t="shared" si="13"/>
        <v>0</v>
      </c>
      <c r="X179" s="57">
        <f t="shared" si="13"/>
        <v>0</v>
      </c>
      <c r="Y179" s="57">
        <f t="shared" si="13"/>
        <v>0</v>
      </c>
      <c r="Z179" s="57">
        <f t="shared" si="13"/>
        <v>0</v>
      </c>
      <c r="AA179" s="57">
        <f t="shared" si="13"/>
        <v>0</v>
      </c>
      <c r="AB179" s="57">
        <f t="shared" si="13"/>
        <v>0</v>
      </c>
      <c r="AC179" s="57">
        <f t="shared" si="13"/>
        <v>0</v>
      </c>
      <c r="AD179" s="57">
        <f t="shared" si="13"/>
        <v>0</v>
      </c>
      <c r="AE179" s="57">
        <f t="shared" si="13"/>
        <v>0</v>
      </c>
      <c r="AF179" s="57">
        <f t="shared" si="13"/>
        <v>0</v>
      </c>
      <c r="AG179" s="57">
        <f t="shared" si="13"/>
        <v>0</v>
      </c>
      <c r="AH179" s="57">
        <f t="shared" si="13"/>
        <v>0</v>
      </c>
      <c r="AI179" s="57">
        <f t="shared" si="13"/>
        <v>0</v>
      </c>
      <c r="AJ179" s="57">
        <f t="shared" si="13"/>
        <v>0</v>
      </c>
      <c r="AK179" s="57">
        <f t="shared" si="13"/>
        <v>0</v>
      </c>
      <c r="AL179" s="57">
        <f t="shared" si="13"/>
        <v>0</v>
      </c>
      <c r="AM179" s="57">
        <f t="shared" si="13"/>
        <v>0</v>
      </c>
      <c r="AN179" s="57">
        <f t="shared" si="13"/>
        <v>0</v>
      </c>
      <c r="AO179" s="57">
        <f t="shared" si="13"/>
        <v>0</v>
      </c>
      <c r="AP179" s="57">
        <f t="shared" si="13"/>
        <v>0</v>
      </c>
      <c r="AQ179" s="57">
        <f t="shared" si="13"/>
        <v>0</v>
      </c>
      <c r="AR179" s="57">
        <f t="shared" si="13"/>
        <v>0</v>
      </c>
      <c r="AS179" s="57">
        <f t="shared" si="13"/>
        <v>0</v>
      </c>
      <c r="AT179" s="57">
        <f t="shared" si="13"/>
        <v>0</v>
      </c>
      <c r="AU179" s="57">
        <f t="shared" si="13"/>
        <v>0</v>
      </c>
      <c r="AV179" s="57">
        <f t="shared" si="13"/>
        <v>0</v>
      </c>
      <c r="AW179" s="57">
        <f t="shared" si="13"/>
        <v>0</v>
      </c>
      <c r="AX179" s="57">
        <f t="shared" si="13"/>
        <v>0</v>
      </c>
      <c r="AY179" s="57">
        <f t="shared" si="13"/>
        <v>0</v>
      </c>
      <c r="AZ179" s="57">
        <f t="shared" si="13"/>
        <v>0</v>
      </c>
      <c r="BA179" s="32">
        <f t="shared" si="8"/>
        <v>0</v>
      </c>
      <c r="BB179" s="32">
        <f t="shared" si="9"/>
        <v>0</v>
      </c>
      <c r="BC179" s="32">
        <f t="shared" si="10"/>
        <v>0</v>
      </c>
      <c r="BD179" s="32">
        <f t="shared" si="11"/>
        <v>0</v>
      </c>
      <c r="BE179" s="33" t="str">
        <f t="shared" si="12"/>
        <v>#DIV/0!</v>
      </c>
    </row>
    <row r="180">
      <c r="A180" s="58"/>
      <c r="B180" s="55"/>
      <c r="C180" s="59" t="s">
        <v>192</v>
      </c>
      <c r="D180" s="60">
        <v>83.0</v>
      </c>
      <c r="E180" s="60">
        <v>83.0</v>
      </c>
      <c r="F180" s="60">
        <v>83.0</v>
      </c>
      <c r="G180" s="60">
        <v>83.0</v>
      </c>
      <c r="H180" s="60">
        <v>83.0</v>
      </c>
      <c r="I180" s="60">
        <v>83.0</v>
      </c>
      <c r="J180" s="60">
        <v>83.0</v>
      </c>
      <c r="K180" s="60">
        <v>83.0</v>
      </c>
      <c r="L180" s="60">
        <v>83.0</v>
      </c>
      <c r="M180" s="60">
        <v>83.0</v>
      </c>
      <c r="N180" s="60">
        <v>83.0</v>
      </c>
      <c r="O180" s="60">
        <v>83.0</v>
      </c>
      <c r="P180" s="60">
        <v>83.0</v>
      </c>
      <c r="Q180" s="60">
        <v>83.0</v>
      </c>
      <c r="R180" s="60">
        <v>83.0</v>
      </c>
      <c r="S180" s="60">
        <v>83.0</v>
      </c>
      <c r="T180" s="60">
        <v>83.0</v>
      </c>
      <c r="U180" s="60">
        <v>83.0</v>
      </c>
      <c r="V180" s="60">
        <v>83.0</v>
      </c>
      <c r="W180" s="60">
        <v>83.0</v>
      </c>
      <c r="X180" s="60">
        <v>83.0</v>
      </c>
      <c r="Y180" s="60">
        <v>83.0</v>
      </c>
      <c r="Z180" s="60">
        <v>83.0</v>
      </c>
      <c r="AA180" s="60">
        <v>83.0</v>
      </c>
      <c r="AB180" s="60">
        <v>83.0</v>
      </c>
      <c r="AC180" s="60">
        <v>83.0</v>
      </c>
      <c r="AD180" s="60">
        <v>83.0</v>
      </c>
      <c r="AE180" s="60">
        <v>83.0</v>
      </c>
      <c r="AF180" s="60">
        <v>83.0</v>
      </c>
      <c r="AG180" s="60">
        <v>83.0</v>
      </c>
      <c r="AH180" s="60">
        <v>83.0</v>
      </c>
      <c r="AI180" s="60">
        <v>83.0</v>
      </c>
      <c r="AJ180" s="60">
        <v>83.0</v>
      </c>
      <c r="AK180" s="60">
        <v>83.0</v>
      </c>
      <c r="AL180" s="60">
        <v>83.0</v>
      </c>
      <c r="AM180" s="60">
        <v>83.0</v>
      </c>
      <c r="AN180" s="60">
        <v>83.0</v>
      </c>
      <c r="AO180" s="60">
        <v>83.0</v>
      </c>
      <c r="AP180" s="60">
        <v>83.0</v>
      </c>
      <c r="AQ180" s="60">
        <v>83.0</v>
      </c>
      <c r="AR180" s="60">
        <v>83.0</v>
      </c>
      <c r="AS180" s="60">
        <v>83.0</v>
      </c>
      <c r="AT180" s="60">
        <v>83.0</v>
      </c>
      <c r="AU180" s="60">
        <v>83.0</v>
      </c>
      <c r="AV180" s="60">
        <v>83.0</v>
      </c>
      <c r="AW180" s="60">
        <v>83.0</v>
      </c>
      <c r="AX180" s="60">
        <v>83.0</v>
      </c>
      <c r="AY180" s="60">
        <v>83.0</v>
      </c>
      <c r="AZ180" s="60">
        <v>83.0</v>
      </c>
      <c r="BA180" s="55"/>
      <c r="BB180" s="55"/>
      <c r="BC180" s="55"/>
      <c r="BD180" s="55"/>
      <c r="BE180" s="76"/>
    </row>
    <row r="181">
      <c r="A181" s="55"/>
      <c r="B181" s="55"/>
      <c r="C181" s="62" t="s">
        <v>193</v>
      </c>
      <c r="D181" s="63">
        <f t="shared" ref="D181:AZ181" si="14">SUM(D179/D180)*100</f>
        <v>96.38554217</v>
      </c>
      <c r="E181" s="63">
        <f t="shared" si="14"/>
        <v>77.10843373</v>
      </c>
      <c r="F181" s="63">
        <f t="shared" si="14"/>
        <v>91.56626506</v>
      </c>
      <c r="G181" s="63">
        <f t="shared" si="14"/>
        <v>72.28915663</v>
      </c>
      <c r="H181" s="63">
        <f t="shared" si="14"/>
        <v>78.31325301</v>
      </c>
      <c r="I181" s="63">
        <f t="shared" si="14"/>
        <v>80.72289157</v>
      </c>
      <c r="J181" s="63">
        <f t="shared" si="14"/>
        <v>80.72289157</v>
      </c>
      <c r="K181" s="63">
        <f t="shared" si="14"/>
        <v>74.69879518</v>
      </c>
      <c r="L181" s="63">
        <f t="shared" si="14"/>
        <v>78.31325301</v>
      </c>
      <c r="M181" s="63">
        <f t="shared" si="14"/>
        <v>75.90361446</v>
      </c>
      <c r="N181" s="63">
        <f t="shared" si="14"/>
        <v>67.46987952</v>
      </c>
      <c r="O181" s="63">
        <f t="shared" si="14"/>
        <v>75.90361446</v>
      </c>
      <c r="P181" s="63">
        <f t="shared" si="14"/>
        <v>0</v>
      </c>
      <c r="Q181" s="63">
        <f t="shared" si="14"/>
        <v>0</v>
      </c>
      <c r="R181" s="63">
        <f t="shared" si="14"/>
        <v>0</v>
      </c>
      <c r="S181" s="63">
        <f t="shared" si="14"/>
        <v>0</v>
      </c>
      <c r="T181" s="63">
        <f t="shared" si="14"/>
        <v>0</v>
      </c>
      <c r="U181" s="63">
        <f t="shared" si="14"/>
        <v>0</v>
      </c>
      <c r="V181" s="63">
        <f t="shared" si="14"/>
        <v>0</v>
      </c>
      <c r="W181" s="63">
        <f t="shared" si="14"/>
        <v>0</v>
      </c>
      <c r="X181" s="63">
        <f t="shared" si="14"/>
        <v>0</v>
      </c>
      <c r="Y181" s="63">
        <f t="shared" si="14"/>
        <v>0</v>
      </c>
      <c r="Z181" s="63">
        <f t="shared" si="14"/>
        <v>0</v>
      </c>
      <c r="AA181" s="63">
        <f t="shared" si="14"/>
        <v>0</v>
      </c>
      <c r="AB181" s="63">
        <f t="shared" si="14"/>
        <v>0</v>
      </c>
      <c r="AC181" s="63">
        <f t="shared" si="14"/>
        <v>0</v>
      </c>
      <c r="AD181" s="63">
        <f t="shared" si="14"/>
        <v>0</v>
      </c>
      <c r="AE181" s="63">
        <f t="shared" si="14"/>
        <v>0</v>
      </c>
      <c r="AF181" s="63">
        <f t="shared" si="14"/>
        <v>0</v>
      </c>
      <c r="AG181" s="63">
        <f t="shared" si="14"/>
        <v>0</v>
      </c>
      <c r="AH181" s="63">
        <f t="shared" si="14"/>
        <v>0</v>
      </c>
      <c r="AI181" s="63">
        <f t="shared" si="14"/>
        <v>0</v>
      </c>
      <c r="AJ181" s="63">
        <f t="shared" si="14"/>
        <v>0</v>
      </c>
      <c r="AK181" s="63">
        <f t="shared" si="14"/>
        <v>0</v>
      </c>
      <c r="AL181" s="63">
        <f t="shared" si="14"/>
        <v>0</v>
      </c>
      <c r="AM181" s="63">
        <f t="shared" si="14"/>
        <v>0</v>
      </c>
      <c r="AN181" s="63">
        <f t="shared" si="14"/>
        <v>0</v>
      </c>
      <c r="AO181" s="63">
        <f t="shared" si="14"/>
        <v>0</v>
      </c>
      <c r="AP181" s="63">
        <f t="shared" si="14"/>
        <v>0</v>
      </c>
      <c r="AQ181" s="63">
        <f t="shared" si="14"/>
        <v>0</v>
      </c>
      <c r="AR181" s="63">
        <f t="shared" si="14"/>
        <v>0</v>
      </c>
      <c r="AS181" s="63">
        <f t="shared" si="14"/>
        <v>0</v>
      </c>
      <c r="AT181" s="63">
        <f t="shared" si="14"/>
        <v>0</v>
      </c>
      <c r="AU181" s="63">
        <f t="shared" si="14"/>
        <v>0</v>
      </c>
      <c r="AV181" s="63">
        <f t="shared" si="14"/>
        <v>0</v>
      </c>
      <c r="AW181" s="63">
        <f t="shared" si="14"/>
        <v>0</v>
      </c>
      <c r="AX181" s="63">
        <f t="shared" si="14"/>
        <v>0</v>
      </c>
      <c r="AY181" s="63">
        <f t="shared" si="14"/>
        <v>0</v>
      </c>
      <c r="AZ181" s="63">
        <f t="shared" si="14"/>
        <v>0</v>
      </c>
      <c r="BA181" s="55"/>
      <c r="BB181" s="55"/>
      <c r="BC181" s="55"/>
      <c r="BD181" s="55"/>
      <c r="BE181" s="76"/>
    </row>
  </sheetData>
  <mergeCells count="10">
    <mergeCell ref="B95:B97"/>
    <mergeCell ref="C95:C97"/>
    <mergeCell ref="A1:BE1"/>
    <mergeCell ref="A2:A4"/>
    <mergeCell ref="B2:B4"/>
    <mergeCell ref="C2:C4"/>
    <mergeCell ref="D2:BE2"/>
    <mergeCell ref="A94:BE94"/>
    <mergeCell ref="A95:A97"/>
    <mergeCell ref="D95:BE95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57" width="3.38"/>
  </cols>
  <sheetData>
    <row r="1">
      <c r="A1" s="1" t="s">
        <v>369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1</v>
      </c>
      <c r="B2" s="5" t="s">
        <v>2</v>
      </c>
      <c r="C2" s="6" t="s">
        <v>3</v>
      </c>
      <c r="D2" s="7" t="s">
        <v>370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77" t="s">
        <v>371</v>
      </c>
      <c r="E3" s="65" t="s">
        <v>372</v>
      </c>
      <c r="F3" s="77" t="s">
        <v>373</v>
      </c>
      <c r="G3" s="65" t="s">
        <v>374</v>
      </c>
      <c r="H3" s="65" t="s">
        <v>375</v>
      </c>
      <c r="I3" s="65" t="s">
        <v>375</v>
      </c>
      <c r="J3" s="65" t="s">
        <v>375</v>
      </c>
      <c r="K3" s="65" t="s">
        <v>375</v>
      </c>
      <c r="L3" s="65" t="s">
        <v>375</v>
      </c>
      <c r="M3" s="65" t="s">
        <v>375</v>
      </c>
      <c r="N3" s="65" t="s">
        <v>375</v>
      </c>
      <c r="O3" s="65" t="s">
        <v>375</v>
      </c>
      <c r="P3" s="10" t="s">
        <v>376</v>
      </c>
      <c r="Q3" s="10" t="s">
        <v>376</v>
      </c>
      <c r="R3" s="11"/>
      <c r="S3" s="11"/>
      <c r="T3" s="11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2"/>
      <c r="BA3" s="12"/>
      <c r="BB3" s="12"/>
      <c r="BC3" s="12"/>
      <c r="BD3" s="12"/>
      <c r="BE3" s="14"/>
    </row>
    <row r="4" ht="75.75" customHeight="1">
      <c r="A4" s="15"/>
      <c r="B4" s="15"/>
      <c r="C4" s="15"/>
      <c r="D4" s="65" t="s">
        <v>377</v>
      </c>
      <c r="E4" s="65" t="s">
        <v>378</v>
      </c>
      <c r="F4" s="65" t="s">
        <v>379</v>
      </c>
      <c r="G4" s="78" t="s">
        <v>380</v>
      </c>
      <c r="H4" s="79" t="s">
        <v>381</v>
      </c>
      <c r="I4" s="65" t="s">
        <v>382</v>
      </c>
      <c r="J4" s="65" t="s">
        <v>383</v>
      </c>
      <c r="K4" s="65" t="s">
        <v>384</v>
      </c>
      <c r="L4" s="65" t="s">
        <v>385</v>
      </c>
      <c r="M4" s="65" t="s">
        <v>386</v>
      </c>
      <c r="N4" s="65" t="s">
        <v>387</v>
      </c>
      <c r="O4" s="65" t="s">
        <v>388</v>
      </c>
      <c r="P4" s="65" t="s">
        <v>389</v>
      </c>
      <c r="Q4" s="80" t="s">
        <v>390</v>
      </c>
      <c r="R4" s="17"/>
      <c r="S4" s="17"/>
      <c r="T4" s="17"/>
      <c r="U4" s="13"/>
      <c r="V4" s="13"/>
      <c r="W4" s="13"/>
      <c r="X4" s="13"/>
      <c r="Y4" s="13"/>
      <c r="Z4" s="13"/>
      <c r="AA4" s="12"/>
      <c r="AB4" s="12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2"/>
      <c r="BA4" s="18" t="s">
        <v>21</v>
      </c>
      <c r="BB4" s="19" t="s">
        <v>22</v>
      </c>
      <c r="BC4" s="20" t="s">
        <v>23</v>
      </c>
      <c r="BD4" s="21" t="s">
        <v>24</v>
      </c>
      <c r="BE4" s="22" t="s">
        <v>25</v>
      </c>
    </row>
    <row r="5">
      <c r="A5" s="49">
        <v>1.0</v>
      </c>
      <c r="B5" s="35" t="s">
        <v>26</v>
      </c>
      <c r="C5" s="36" t="s">
        <v>27</v>
      </c>
      <c r="D5" s="37" t="s">
        <v>28</v>
      </c>
      <c r="E5" s="37" t="s">
        <v>28</v>
      </c>
      <c r="F5" s="27" t="s">
        <v>22</v>
      </c>
      <c r="G5" s="37" t="s">
        <v>28</v>
      </c>
      <c r="H5" s="37" t="s">
        <v>28</v>
      </c>
      <c r="I5" s="37" t="s">
        <v>28</v>
      </c>
      <c r="J5" s="37" t="s">
        <v>28</v>
      </c>
      <c r="K5" s="37" t="s">
        <v>28</v>
      </c>
      <c r="L5" s="37" t="s">
        <v>28</v>
      </c>
      <c r="M5" s="27" t="s">
        <v>22</v>
      </c>
      <c r="N5" s="27" t="s">
        <v>22</v>
      </c>
      <c r="O5" s="27" t="s">
        <v>22</v>
      </c>
      <c r="P5" s="27" t="s">
        <v>22</v>
      </c>
      <c r="Q5" s="38"/>
      <c r="R5" s="38"/>
      <c r="S5" s="38"/>
      <c r="T5" s="38"/>
      <c r="U5" s="39"/>
      <c r="V5" s="39"/>
      <c r="W5" s="39"/>
      <c r="X5" s="39"/>
      <c r="Y5" s="39"/>
      <c r="Z5" s="39"/>
      <c r="AA5" s="39"/>
      <c r="AB5" s="81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1">
        <f t="shared" ref="BA5:BA42" si="1">COUNTIF(D5:AZ5,"L")</f>
        <v>0</v>
      </c>
      <c r="BB5" s="41">
        <f t="shared" ref="BB5:BB42" si="2">COUNTIF(D5:AZ5,"A")</f>
        <v>5</v>
      </c>
      <c r="BC5" s="41">
        <f t="shared" ref="BC5:BC42" si="3">COUNTIF(D5:AZ5,"p")</f>
        <v>8</v>
      </c>
      <c r="BD5" s="41">
        <f t="shared" ref="BD5:BD42" si="4">SUM(BA5:BC5)</f>
        <v>13</v>
      </c>
      <c r="BE5" s="42">
        <f t="shared" ref="BE5:BE42" si="5">SUM(BA5,BC5)/BD5*100</f>
        <v>61.53846154</v>
      </c>
    </row>
    <row r="6">
      <c r="A6" s="23">
        <v>2.0</v>
      </c>
      <c r="B6" s="24" t="s">
        <v>29</v>
      </c>
      <c r="C6" s="25" t="s">
        <v>30</v>
      </c>
      <c r="D6" s="26" t="s">
        <v>28</v>
      </c>
      <c r="E6" s="26" t="s">
        <v>28</v>
      </c>
      <c r="F6" s="26" t="s">
        <v>28</v>
      </c>
      <c r="G6" s="26" t="s">
        <v>28</v>
      </c>
      <c r="H6" s="26" t="s">
        <v>28</v>
      </c>
      <c r="I6" s="26" t="s">
        <v>28</v>
      </c>
      <c r="J6" s="27" t="s">
        <v>22</v>
      </c>
      <c r="K6" s="26" t="s">
        <v>28</v>
      </c>
      <c r="L6" s="26" t="s">
        <v>28</v>
      </c>
      <c r="M6" s="26" t="s">
        <v>28</v>
      </c>
      <c r="N6" s="26" t="s">
        <v>28</v>
      </c>
      <c r="O6" s="26" t="s">
        <v>28</v>
      </c>
      <c r="P6" s="26" t="s">
        <v>28</v>
      </c>
      <c r="Q6" s="26" t="s">
        <v>28</v>
      </c>
      <c r="R6" s="30"/>
      <c r="S6" s="30"/>
      <c r="T6" s="28"/>
      <c r="U6" s="29"/>
      <c r="V6" s="29"/>
      <c r="W6" s="29"/>
      <c r="X6" s="29"/>
      <c r="Y6" s="29"/>
      <c r="Z6" s="29"/>
      <c r="AA6" s="29"/>
      <c r="AB6" s="31"/>
      <c r="AC6" s="31"/>
      <c r="AD6" s="31"/>
      <c r="AE6" s="34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2">
        <f t="shared" si="1"/>
        <v>0</v>
      </c>
      <c r="BB6" s="32">
        <f t="shared" si="2"/>
        <v>1</v>
      </c>
      <c r="BC6" s="32">
        <f t="shared" si="3"/>
        <v>13</v>
      </c>
      <c r="BD6" s="32">
        <f t="shared" si="4"/>
        <v>14</v>
      </c>
      <c r="BE6" s="33">
        <f t="shared" si="5"/>
        <v>92.85714286</v>
      </c>
    </row>
    <row r="7">
      <c r="A7" s="23">
        <v>3.0</v>
      </c>
      <c r="B7" s="24" t="s">
        <v>31</v>
      </c>
      <c r="C7" s="25" t="s">
        <v>32</v>
      </c>
      <c r="D7" s="26" t="s">
        <v>28</v>
      </c>
      <c r="E7" s="27" t="s">
        <v>22</v>
      </c>
      <c r="F7" s="26" t="s">
        <v>28</v>
      </c>
      <c r="G7" s="26" t="s">
        <v>28</v>
      </c>
      <c r="H7" s="26" t="s">
        <v>28</v>
      </c>
      <c r="I7" s="27" t="s">
        <v>22</v>
      </c>
      <c r="J7" s="26" t="s">
        <v>28</v>
      </c>
      <c r="K7" s="26" t="s">
        <v>28</v>
      </c>
      <c r="L7" s="27" t="s">
        <v>22</v>
      </c>
      <c r="M7" s="26" t="s">
        <v>28</v>
      </c>
      <c r="N7" s="26" t="s">
        <v>28</v>
      </c>
      <c r="O7" s="26" t="s">
        <v>28</v>
      </c>
      <c r="P7" s="26" t="s">
        <v>28</v>
      </c>
      <c r="Q7" s="26" t="s">
        <v>28</v>
      </c>
      <c r="R7" s="28"/>
      <c r="S7" s="28"/>
      <c r="T7" s="28"/>
      <c r="U7" s="29"/>
      <c r="V7" s="29"/>
      <c r="W7" s="29"/>
      <c r="X7" s="29"/>
      <c r="Y7" s="29"/>
      <c r="Z7" s="29"/>
      <c r="AA7" s="29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2">
        <f t="shared" si="1"/>
        <v>0</v>
      </c>
      <c r="BB7" s="32">
        <f t="shared" si="2"/>
        <v>3</v>
      </c>
      <c r="BC7" s="32">
        <f t="shared" si="3"/>
        <v>11</v>
      </c>
      <c r="BD7" s="32">
        <f t="shared" si="4"/>
        <v>14</v>
      </c>
      <c r="BE7" s="33">
        <f t="shared" si="5"/>
        <v>78.57142857</v>
      </c>
    </row>
    <row r="8">
      <c r="A8" s="23">
        <v>4.0</v>
      </c>
      <c r="B8" s="24" t="s">
        <v>33</v>
      </c>
      <c r="C8" s="25" t="s">
        <v>34</v>
      </c>
      <c r="D8" s="26" t="s">
        <v>28</v>
      </c>
      <c r="E8" s="26" t="s">
        <v>28</v>
      </c>
      <c r="F8" s="27" t="s">
        <v>22</v>
      </c>
      <c r="G8" s="26" t="s">
        <v>28</v>
      </c>
      <c r="H8" s="26" t="s">
        <v>28</v>
      </c>
      <c r="I8" s="26" t="s">
        <v>28</v>
      </c>
      <c r="J8" s="26" t="s">
        <v>28</v>
      </c>
      <c r="K8" s="26" t="s">
        <v>28</v>
      </c>
      <c r="L8" s="27" t="s">
        <v>22</v>
      </c>
      <c r="M8" s="26" t="s">
        <v>28</v>
      </c>
      <c r="N8" s="26" t="s">
        <v>28</v>
      </c>
      <c r="O8" s="26" t="s">
        <v>28</v>
      </c>
      <c r="P8" s="26" t="s">
        <v>28</v>
      </c>
      <c r="Q8" s="26" t="s">
        <v>28</v>
      </c>
      <c r="R8" s="28"/>
      <c r="S8" s="28"/>
      <c r="T8" s="28"/>
      <c r="U8" s="29"/>
      <c r="V8" s="29"/>
      <c r="W8" s="29"/>
      <c r="X8" s="29"/>
      <c r="Y8" s="29"/>
      <c r="Z8" s="29"/>
      <c r="AA8" s="29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2">
        <f t="shared" si="1"/>
        <v>0</v>
      </c>
      <c r="BB8" s="32">
        <f t="shared" si="2"/>
        <v>2</v>
      </c>
      <c r="BC8" s="32">
        <f t="shared" si="3"/>
        <v>12</v>
      </c>
      <c r="BD8" s="32">
        <f t="shared" si="4"/>
        <v>14</v>
      </c>
      <c r="BE8" s="33">
        <f t="shared" si="5"/>
        <v>85.71428571</v>
      </c>
    </row>
    <row r="9">
      <c r="A9" s="23">
        <v>5.0</v>
      </c>
      <c r="B9" s="24" t="s">
        <v>35</v>
      </c>
      <c r="C9" s="25" t="s">
        <v>36</v>
      </c>
      <c r="D9" s="26" t="s">
        <v>28</v>
      </c>
      <c r="E9" s="26" t="s">
        <v>28</v>
      </c>
      <c r="F9" s="26" t="s">
        <v>28</v>
      </c>
      <c r="G9" s="26" t="s">
        <v>28</v>
      </c>
      <c r="H9" s="26" t="s">
        <v>28</v>
      </c>
      <c r="I9" s="26" t="s">
        <v>28</v>
      </c>
      <c r="J9" s="26" t="s">
        <v>28</v>
      </c>
      <c r="K9" s="26" t="s">
        <v>28</v>
      </c>
      <c r="L9" s="26" t="s">
        <v>28</v>
      </c>
      <c r="M9" s="26" t="s">
        <v>28</v>
      </c>
      <c r="N9" s="26" t="s">
        <v>28</v>
      </c>
      <c r="O9" s="26" t="s">
        <v>28</v>
      </c>
      <c r="P9" s="26" t="s">
        <v>28</v>
      </c>
      <c r="Q9" s="26" t="s">
        <v>28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2">
        <f t="shared" si="1"/>
        <v>0</v>
      </c>
      <c r="BB9" s="32">
        <f t="shared" si="2"/>
        <v>0</v>
      </c>
      <c r="BC9" s="32">
        <f t="shared" si="3"/>
        <v>14</v>
      </c>
      <c r="BD9" s="32">
        <f t="shared" si="4"/>
        <v>14</v>
      </c>
      <c r="BE9" s="33">
        <f t="shared" si="5"/>
        <v>100</v>
      </c>
    </row>
    <row r="10">
      <c r="A10" s="23">
        <v>6.0</v>
      </c>
      <c r="B10" s="24" t="s">
        <v>37</v>
      </c>
      <c r="C10" s="25" t="s">
        <v>391</v>
      </c>
      <c r="D10" s="27" t="s">
        <v>22</v>
      </c>
      <c r="E10" s="27" t="s">
        <v>22</v>
      </c>
      <c r="F10" s="26" t="s">
        <v>28</v>
      </c>
      <c r="G10" s="26" t="s">
        <v>28</v>
      </c>
      <c r="H10" s="26" t="s">
        <v>28</v>
      </c>
      <c r="I10" s="26" t="s">
        <v>28</v>
      </c>
      <c r="J10" s="26" t="s">
        <v>28</v>
      </c>
      <c r="K10" s="27" t="s">
        <v>22</v>
      </c>
      <c r="L10" s="26" t="s">
        <v>28</v>
      </c>
      <c r="M10" s="26" t="s">
        <v>28</v>
      </c>
      <c r="N10" s="26" t="s">
        <v>28</v>
      </c>
      <c r="O10" s="26" t="s">
        <v>28</v>
      </c>
      <c r="P10" s="26" t="s">
        <v>28</v>
      </c>
      <c r="Q10" s="26" t="s">
        <v>28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2">
        <f t="shared" si="1"/>
        <v>0</v>
      </c>
      <c r="BB10" s="32">
        <f t="shared" si="2"/>
        <v>3</v>
      </c>
      <c r="BC10" s="32">
        <f t="shared" si="3"/>
        <v>11</v>
      </c>
      <c r="BD10" s="32">
        <f t="shared" si="4"/>
        <v>14</v>
      </c>
      <c r="BE10" s="33">
        <f t="shared" si="5"/>
        <v>78.57142857</v>
      </c>
    </row>
    <row r="11">
      <c r="A11" s="23">
        <v>7.0</v>
      </c>
      <c r="B11" s="24" t="s">
        <v>39</v>
      </c>
      <c r="C11" s="25" t="s">
        <v>40</v>
      </c>
      <c r="D11" s="26" t="s">
        <v>28</v>
      </c>
      <c r="E11" s="26" t="s">
        <v>28</v>
      </c>
      <c r="F11" s="27" t="s">
        <v>22</v>
      </c>
      <c r="G11" s="26" t="s">
        <v>28</v>
      </c>
      <c r="H11" s="27" t="s">
        <v>22</v>
      </c>
      <c r="I11" s="26" t="s">
        <v>28</v>
      </c>
      <c r="J11" s="26" t="s">
        <v>28</v>
      </c>
      <c r="K11" s="26" t="s">
        <v>28</v>
      </c>
      <c r="L11" s="26" t="s">
        <v>28</v>
      </c>
      <c r="M11" s="26" t="s">
        <v>28</v>
      </c>
      <c r="N11" s="26" t="s">
        <v>28</v>
      </c>
      <c r="O11" s="26" t="s">
        <v>28</v>
      </c>
      <c r="P11" s="26" t="s">
        <v>28</v>
      </c>
      <c r="Q11" s="26" t="s">
        <v>28</v>
      </c>
      <c r="R11" s="28"/>
      <c r="S11" s="28"/>
      <c r="T11" s="28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2">
        <f t="shared" si="1"/>
        <v>0</v>
      </c>
      <c r="BB11" s="32">
        <f t="shared" si="2"/>
        <v>2</v>
      </c>
      <c r="BC11" s="32">
        <f t="shared" si="3"/>
        <v>12</v>
      </c>
      <c r="BD11" s="32">
        <f t="shared" si="4"/>
        <v>14</v>
      </c>
      <c r="BE11" s="33">
        <f t="shared" si="5"/>
        <v>85.71428571</v>
      </c>
    </row>
    <row r="12">
      <c r="A12" s="23">
        <v>8.0</v>
      </c>
      <c r="B12" s="24" t="s">
        <v>41</v>
      </c>
      <c r="C12" s="25" t="s">
        <v>42</v>
      </c>
      <c r="D12" s="26" t="s">
        <v>28</v>
      </c>
      <c r="E12" s="26" t="s">
        <v>28</v>
      </c>
      <c r="F12" s="27" t="s">
        <v>22</v>
      </c>
      <c r="G12" s="26" t="s">
        <v>28</v>
      </c>
      <c r="H12" s="26" t="s">
        <v>28</v>
      </c>
      <c r="I12" s="26" t="s">
        <v>28</v>
      </c>
      <c r="J12" s="27" t="s">
        <v>22</v>
      </c>
      <c r="K12" s="26" t="s">
        <v>28</v>
      </c>
      <c r="L12" s="26" t="s">
        <v>28</v>
      </c>
      <c r="M12" s="27" t="s">
        <v>22</v>
      </c>
      <c r="N12" s="26" t="s">
        <v>28</v>
      </c>
      <c r="O12" s="26" t="s">
        <v>28</v>
      </c>
      <c r="P12" s="27" t="s">
        <v>22</v>
      </c>
      <c r="Q12" s="26" t="s">
        <v>28</v>
      </c>
      <c r="R12" s="28"/>
      <c r="S12" s="28"/>
      <c r="T12" s="28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2">
        <f t="shared" si="1"/>
        <v>0</v>
      </c>
      <c r="BB12" s="32">
        <f t="shared" si="2"/>
        <v>4</v>
      </c>
      <c r="BC12" s="32">
        <f t="shared" si="3"/>
        <v>10</v>
      </c>
      <c r="BD12" s="32">
        <f t="shared" si="4"/>
        <v>14</v>
      </c>
      <c r="BE12" s="33">
        <f t="shared" si="5"/>
        <v>71.42857143</v>
      </c>
    </row>
    <row r="13">
      <c r="A13" s="23">
        <v>9.0</v>
      </c>
      <c r="B13" s="24" t="s">
        <v>43</v>
      </c>
      <c r="C13" s="25" t="s">
        <v>44</v>
      </c>
      <c r="D13" s="26" t="s">
        <v>28</v>
      </c>
      <c r="E13" s="27" t="s">
        <v>22</v>
      </c>
      <c r="F13" s="26" t="s">
        <v>28</v>
      </c>
      <c r="G13" s="26" t="s">
        <v>28</v>
      </c>
      <c r="H13" s="26" t="s">
        <v>28</v>
      </c>
      <c r="I13" s="26" t="s">
        <v>28</v>
      </c>
      <c r="J13" s="26" t="s">
        <v>28</v>
      </c>
      <c r="K13" s="27" t="s">
        <v>22</v>
      </c>
      <c r="L13" s="26" t="s">
        <v>28</v>
      </c>
      <c r="M13" s="26" t="s">
        <v>28</v>
      </c>
      <c r="N13" s="27" t="s">
        <v>22</v>
      </c>
      <c r="O13" s="26" t="s">
        <v>28</v>
      </c>
      <c r="P13" s="26" t="s">
        <v>28</v>
      </c>
      <c r="Q13" s="27" t="s">
        <v>22</v>
      </c>
      <c r="R13" s="82"/>
      <c r="S13" s="28"/>
      <c r="T13" s="28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2">
        <f t="shared" si="1"/>
        <v>0</v>
      </c>
      <c r="BB13" s="32">
        <f t="shared" si="2"/>
        <v>4</v>
      </c>
      <c r="BC13" s="32">
        <f t="shared" si="3"/>
        <v>10</v>
      </c>
      <c r="BD13" s="32">
        <f t="shared" si="4"/>
        <v>14</v>
      </c>
      <c r="BE13" s="33">
        <f t="shared" si="5"/>
        <v>71.42857143</v>
      </c>
    </row>
    <row r="14">
      <c r="A14" s="23">
        <v>10.0</v>
      </c>
      <c r="B14" s="24" t="s">
        <v>45</v>
      </c>
      <c r="C14" s="25" t="s">
        <v>46</v>
      </c>
      <c r="D14" s="27" t="s">
        <v>22</v>
      </c>
      <c r="E14" s="27" t="s">
        <v>22</v>
      </c>
      <c r="F14" s="26" t="s">
        <v>28</v>
      </c>
      <c r="G14" s="26" t="s">
        <v>28</v>
      </c>
      <c r="H14" s="27" t="s">
        <v>22</v>
      </c>
      <c r="I14" s="26" t="s">
        <v>28</v>
      </c>
      <c r="J14" s="27" t="s">
        <v>22</v>
      </c>
      <c r="K14" s="27" t="s">
        <v>22</v>
      </c>
      <c r="L14" s="27" t="s">
        <v>22</v>
      </c>
      <c r="M14" s="26" t="s">
        <v>28</v>
      </c>
      <c r="N14" s="27" t="s">
        <v>22</v>
      </c>
      <c r="O14" s="27" t="s">
        <v>22</v>
      </c>
      <c r="P14" s="27" t="s">
        <v>22</v>
      </c>
      <c r="Q14" s="27" t="s">
        <v>22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2">
        <f t="shared" si="1"/>
        <v>0</v>
      </c>
      <c r="BB14" s="32">
        <f t="shared" si="2"/>
        <v>10</v>
      </c>
      <c r="BC14" s="32">
        <f t="shared" si="3"/>
        <v>4</v>
      </c>
      <c r="BD14" s="32">
        <f t="shared" si="4"/>
        <v>14</v>
      </c>
      <c r="BE14" s="33">
        <f t="shared" si="5"/>
        <v>28.57142857</v>
      </c>
    </row>
    <row r="15">
      <c r="A15" s="23">
        <v>11.0</v>
      </c>
      <c r="B15" s="24" t="s">
        <v>47</v>
      </c>
      <c r="C15" s="25" t="s">
        <v>48</v>
      </c>
      <c r="D15" s="26" t="s">
        <v>28</v>
      </c>
      <c r="E15" s="26" t="s">
        <v>28</v>
      </c>
      <c r="F15" s="26" t="s">
        <v>28</v>
      </c>
      <c r="G15" s="26" t="s">
        <v>28</v>
      </c>
      <c r="H15" s="26" t="s">
        <v>28</v>
      </c>
      <c r="I15" s="26" t="s">
        <v>28</v>
      </c>
      <c r="J15" s="26" t="s">
        <v>28</v>
      </c>
      <c r="K15" s="26" t="s">
        <v>28</v>
      </c>
      <c r="L15" s="26" t="s">
        <v>28</v>
      </c>
      <c r="M15" s="26" t="s">
        <v>28</v>
      </c>
      <c r="N15" s="26" t="s">
        <v>28</v>
      </c>
      <c r="O15" s="26" t="s">
        <v>28</v>
      </c>
      <c r="P15" s="26" t="s">
        <v>28</v>
      </c>
      <c r="Q15" s="26" t="s">
        <v>28</v>
      </c>
      <c r="R15" s="28"/>
      <c r="S15" s="30"/>
      <c r="T15" s="28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2">
        <f t="shared" si="1"/>
        <v>0</v>
      </c>
      <c r="BB15" s="32">
        <f t="shared" si="2"/>
        <v>0</v>
      </c>
      <c r="BC15" s="32">
        <f t="shared" si="3"/>
        <v>14</v>
      </c>
      <c r="BD15" s="32">
        <f t="shared" si="4"/>
        <v>14</v>
      </c>
      <c r="BE15" s="33">
        <f t="shared" si="5"/>
        <v>100</v>
      </c>
    </row>
    <row r="16">
      <c r="A16" s="23">
        <v>12.0</v>
      </c>
      <c r="B16" s="24" t="s">
        <v>49</v>
      </c>
      <c r="C16" s="25" t="s">
        <v>50</v>
      </c>
      <c r="D16" s="27" t="s">
        <v>22</v>
      </c>
      <c r="E16" s="27">
        <v>1.0</v>
      </c>
      <c r="F16" s="26" t="s">
        <v>28</v>
      </c>
      <c r="G16" s="26" t="s">
        <v>28</v>
      </c>
      <c r="H16" s="26" t="s">
        <v>28</v>
      </c>
      <c r="I16" s="26" t="s">
        <v>28</v>
      </c>
      <c r="J16" s="27" t="s">
        <v>22</v>
      </c>
      <c r="K16" s="26" t="s">
        <v>28</v>
      </c>
      <c r="L16" s="26" t="s">
        <v>28</v>
      </c>
      <c r="M16" s="27" t="s">
        <v>22</v>
      </c>
      <c r="N16" s="26" t="s">
        <v>28</v>
      </c>
      <c r="O16" s="27" t="s">
        <v>22</v>
      </c>
      <c r="P16" s="27" t="s">
        <v>22</v>
      </c>
      <c r="Q16" s="26" t="s">
        <v>28</v>
      </c>
      <c r="R16" s="28"/>
      <c r="S16" s="28"/>
      <c r="T16" s="28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2">
        <f t="shared" si="1"/>
        <v>0</v>
      </c>
      <c r="BB16" s="32">
        <f t="shared" si="2"/>
        <v>5</v>
      </c>
      <c r="BC16" s="32">
        <f t="shared" si="3"/>
        <v>8</v>
      </c>
      <c r="BD16" s="32">
        <f t="shared" si="4"/>
        <v>13</v>
      </c>
      <c r="BE16" s="33">
        <f t="shared" si="5"/>
        <v>61.53846154</v>
      </c>
    </row>
    <row r="17">
      <c r="A17" s="23">
        <v>13.0</v>
      </c>
      <c r="B17" s="24" t="s">
        <v>51</v>
      </c>
      <c r="C17" s="25" t="s">
        <v>52</v>
      </c>
      <c r="D17" s="26" t="s">
        <v>28</v>
      </c>
      <c r="E17" s="26" t="s">
        <v>28</v>
      </c>
      <c r="F17" s="27" t="s">
        <v>22</v>
      </c>
      <c r="G17" s="26" t="s">
        <v>28</v>
      </c>
      <c r="H17" s="26" t="s">
        <v>28</v>
      </c>
      <c r="I17" s="26" t="s">
        <v>28</v>
      </c>
      <c r="J17" s="26" t="s">
        <v>28</v>
      </c>
      <c r="K17" s="26" t="s">
        <v>28</v>
      </c>
      <c r="L17" s="26" t="s">
        <v>28</v>
      </c>
      <c r="M17" s="26" t="s">
        <v>28</v>
      </c>
      <c r="N17" s="26" t="s">
        <v>28</v>
      </c>
      <c r="O17" s="26" t="s">
        <v>28</v>
      </c>
      <c r="P17" s="26" t="s">
        <v>28</v>
      </c>
      <c r="Q17" s="26" t="s">
        <v>28</v>
      </c>
      <c r="R17" s="30"/>
      <c r="S17" s="30"/>
      <c r="T17" s="30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2">
        <f t="shared" si="1"/>
        <v>0</v>
      </c>
      <c r="BB17" s="32">
        <f t="shared" si="2"/>
        <v>1</v>
      </c>
      <c r="BC17" s="32">
        <f t="shared" si="3"/>
        <v>13</v>
      </c>
      <c r="BD17" s="32">
        <f t="shared" si="4"/>
        <v>14</v>
      </c>
      <c r="BE17" s="33">
        <f t="shared" si="5"/>
        <v>92.85714286</v>
      </c>
    </row>
    <row r="18">
      <c r="A18" s="49">
        <v>14.0</v>
      </c>
      <c r="B18" s="35" t="s">
        <v>55</v>
      </c>
      <c r="C18" s="36" t="s">
        <v>56</v>
      </c>
      <c r="D18" s="37" t="s">
        <v>28</v>
      </c>
      <c r="E18" s="37" t="s">
        <v>28</v>
      </c>
      <c r="F18" s="27" t="s">
        <v>22</v>
      </c>
      <c r="G18" s="37" t="s">
        <v>28</v>
      </c>
      <c r="H18" s="27" t="s">
        <v>22</v>
      </c>
      <c r="I18" s="27" t="s">
        <v>22</v>
      </c>
      <c r="J18" s="37" t="s">
        <v>28</v>
      </c>
      <c r="K18" s="27" t="s">
        <v>22</v>
      </c>
      <c r="L18" s="37" t="s">
        <v>28</v>
      </c>
      <c r="M18" s="27" t="s">
        <v>22</v>
      </c>
      <c r="N18" s="27" t="s">
        <v>22</v>
      </c>
      <c r="O18" s="27" t="s">
        <v>22</v>
      </c>
      <c r="P18" s="27" t="s">
        <v>22</v>
      </c>
      <c r="Q18" s="27" t="s">
        <v>22</v>
      </c>
      <c r="R18" s="38"/>
      <c r="S18" s="38"/>
      <c r="T18" s="38"/>
      <c r="U18" s="39"/>
      <c r="V18" s="39"/>
      <c r="W18" s="39"/>
      <c r="X18" s="39"/>
      <c r="Y18" s="39"/>
      <c r="Z18" s="39"/>
      <c r="AA18" s="39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1">
        <f t="shared" si="1"/>
        <v>0</v>
      </c>
      <c r="BB18" s="41">
        <f t="shared" si="2"/>
        <v>9</v>
      </c>
      <c r="BC18" s="41">
        <f t="shared" si="3"/>
        <v>5</v>
      </c>
      <c r="BD18" s="41">
        <f t="shared" si="4"/>
        <v>14</v>
      </c>
      <c r="BE18" s="42">
        <f t="shared" si="5"/>
        <v>35.71428571</v>
      </c>
    </row>
    <row r="19">
      <c r="A19" s="23">
        <v>15.0</v>
      </c>
      <c r="B19" s="24" t="s">
        <v>57</v>
      </c>
      <c r="C19" s="25" t="s">
        <v>58</v>
      </c>
      <c r="D19" s="26" t="s">
        <v>28</v>
      </c>
      <c r="E19" s="27" t="s">
        <v>22</v>
      </c>
      <c r="F19" s="26" t="s">
        <v>28</v>
      </c>
      <c r="G19" s="26" t="s">
        <v>28</v>
      </c>
      <c r="H19" s="26" t="s">
        <v>28</v>
      </c>
      <c r="I19" s="26" t="s">
        <v>28</v>
      </c>
      <c r="J19" s="26" t="s">
        <v>28</v>
      </c>
      <c r="K19" s="26" t="s">
        <v>28</v>
      </c>
      <c r="L19" s="26" t="s">
        <v>28</v>
      </c>
      <c r="M19" s="26" t="s">
        <v>28</v>
      </c>
      <c r="N19" s="26" t="s">
        <v>28</v>
      </c>
      <c r="O19" s="26" t="s">
        <v>28</v>
      </c>
      <c r="P19" s="26" t="s">
        <v>28</v>
      </c>
      <c r="Q19" s="26" t="s">
        <v>28</v>
      </c>
      <c r="R19" s="28"/>
      <c r="S19" s="28"/>
      <c r="T19" s="28"/>
      <c r="U19" s="29"/>
      <c r="V19" s="29"/>
      <c r="W19" s="29"/>
      <c r="X19" s="29"/>
      <c r="Y19" s="29"/>
      <c r="Z19" s="29"/>
      <c r="AA19" s="29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2">
        <f t="shared" si="1"/>
        <v>0</v>
      </c>
      <c r="BB19" s="32">
        <f t="shared" si="2"/>
        <v>1</v>
      </c>
      <c r="BC19" s="32">
        <f t="shared" si="3"/>
        <v>13</v>
      </c>
      <c r="BD19" s="32">
        <f t="shared" si="4"/>
        <v>14</v>
      </c>
      <c r="BE19" s="33">
        <f t="shared" si="5"/>
        <v>92.85714286</v>
      </c>
    </row>
    <row r="20">
      <c r="A20" s="23">
        <v>16.0</v>
      </c>
      <c r="B20" s="24" t="s">
        <v>59</v>
      </c>
      <c r="C20" s="25" t="s">
        <v>60</v>
      </c>
      <c r="D20" s="26" t="s">
        <v>28</v>
      </c>
      <c r="E20" s="26" t="s">
        <v>28</v>
      </c>
      <c r="F20" s="26" t="s">
        <v>28</v>
      </c>
      <c r="G20" s="26" t="s">
        <v>28</v>
      </c>
      <c r="H20" s="26" t="s">
        <v>28</v>
      </c>
      <c r="I20" s="26" t="s">
        <v>28</v>
      </c>
      <c r="J20" s="26" t="s">
        <v>28</v>
      </c>
      <c r="K20" s="26" t="s">
        <v>28</v>
      </c>
      <c r="L20" s="26" t="s">
        <v>28</v>
      </c>
      <c r="M20" s="26" t="s">
        <v>28</v>
      </c>
      <c r="N20" s="26" t="s">
        <v>28</v>
      </c>
      <c r="O20" s="26" t="s">
        <v>28</v>
      </c>
      <c r="P20" s="26" t="s">
        <v>28</v>
      </c>
      <c r="Q20" s="26" t="s">
        <v>28</v>
      </c>
      <c r="R20" s="28"/>
      <c r="S20" s="28"/>
      <c r="T20" s="28"/>
      <c r="U20" s="29"/>
      <c r="V20" s="29"/>
      <c r="W20" s="29"/>
      <c r="X20" s="29"/>
      <c r="Y20" s="29"/>
      <c r="Z20" s="29"/>
      <c r="AA20" s="29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2">
        <f t="shared" si="1"/>
        <v>0</v>
      </c>
      <c r="BB20" s="32">
        <f t="shared" si="2"/>
        <v>0</v>
      </c>
      <c r="BC20" s="32">
        <f t="shared" si="3"/>
        <v>14</v>
      </c>
      <c r="BD20" s="32">
        <f t="shared" si="4"/>
        <v>14</v>
      </c>
      <c r="BE20" s="33">
        <f t="shared" si="5"/>
        <v>100</v>
      </c>
    </row>
    <row r="21">
      <c r="A21" s="23">
        <v>17.0</v>
      </c>
      <c r="B21" s="24" t="s">
        <v>61</v>
      </c>
      <c r="C21" s="25" t="s">
        <v>62</v>
      </c>
      <c r="D21" s="26" t="s">
        <v>28</v>
      </c>
      <c r="E21" s="27" t="s">
        <v>22</v>
      </c>
      <c r="F21" s="26" t="s">
        <v>28</v>
      </c>
      <c r="G21" s="26" t="s">
        <v>28</v>
      </c>
      <c r="H21" s="26" t="s">
        <v>28</v>
      </c>
      <c r="I21" s="26" t="s">
        <v>28</v>
      </c>
      <c r="J21" s="26" t="s">
        <v>28</v>
      </c>
      <c r="K21" s="26" t="s">
        <v>28</v>
      </c>
      <c r="L21" s="26" t="s">
        <v>28</v>
      </c>
      <c r="M21" s="26" t="s">
        <v>28</v>
      </c>
      <c r="N21" s="26" t="s">
        <v>28</v>
      </c>
      <c r="O21" s="26" t="s">
        <v>28</v>
      </c>
      <c r="P21" s="26" t="s">
        <v>28</v>
      </c>
      <c r="Q21" s="26" t="s">
        <v>28</v>
      </c>
      <c r="R21" s="30"/>
      <c r="S21" s="28"/>
      <c r="T21" s="28"/>
      <c r="U21" s="29"/>
      <c r="V21" s="29"/>
      <c r="W21" s="29"/>
      <c r="X21" s="29"/>
      <c r="Y21" s="29"/>
      <c r="Z21" s="29"/>
      <c r="AA21" s="29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2">
        <f t="shared" si="1"/>
        <v>0</v>
      </c>
      <c r="BB21" s="32">
        <f t="shared" si="2"/>
        <v>1</v>
      </c>
      <c r="BC21" s="32">
        <f t="shared" si="3"/>
        <v>13</v>
      </c>
      <c r="BD21" s="32">
        <f t="shared" si="4"/>
        <v>14</v>
      </c>
      <c r="BE21" s="33">
        <f t="shared" si="5"/>
        <v>92.85714286</v>
      </c>
    </row>
    <row r="22">
      <c r="A22" s="23">
        <v>18.0</v>
      </c>
      <c r="B22" s="24" t="s">
        <v>63</v>
      </c>
      <c r="C22" s="25" t="s">
        <v>64</v>
      </c>
      <c r="D22" s="27" t="s">
        <v>22</v>
      </c>
      <c r="E22" s="26" t="s">
        <v>28</v>
      </c>
      <c r="F22" s="26" t="s">
        <v>28</v>
      </c>
      <c r="G22" s="26" t="s">
        <v>28</v>
      </c>
      <c r="H22" s="26" t="s">
        <v>28</v>
      </c>
      <c r="I22" s="26" t="s">
        <v>28</v>
      </c>
      <c r="J22" s="26" t="s">
        <v>28</v>
      </c>
      <c r="K22" s="26" t="s">
        <v>28</v>
      </c>
      <c r="L22" s="26" t="s">
        <v>28</v>
      </c>
      <c r="M22" s="26" t="s">
        <v>28</v>
      </c>
      <c r="N22" s="26" t="s">
        <v>28</v>
      </c>
      <c r="O22" s="26" t="s">
        <v>28</v>
      </c>
      <c r="P22" s="26" t="s">
        <v>28</v>
      </c>
      <c r="Q22" s="26" t="s">
        <v>28</v>
      </c>
      <c r="R22" s="43"/>
      <c r="S22" s="44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32">
        <f t="shared" si="1"/>
        <v>0</v>
      </c>
      <c r="BB22" s="32">
        <f t="shared" si="2"/>
        <v>1</v>
      </c>
      <c r="BC22" s="32">
        <f t="shared" si="3"/>
        <v>13</v>
      </c>
      <c r="BD22" s="32">
        <f t="shared" si="4"/>
        <v>14</v>
      </c>
      <c r="BE22" s="33">
        <f t="shared" si="5"/>
        <v>92.85714286</v>
      </c>
    </row>
    <row r="23">
      <c r="A23" s="23">
        <v>19.0</v>
      </c>
      <c r="B23" s="24" t="s">
        <v>65</v>
      </c>
      <c r="C23" s="25" t="s">
        <v>66</v>
      </c>
      <c r="D23" s="26" t="s">
        <v>28</v>
      </c>
      <c r="E23" s="26" t="s">
        <v>28</v>
      </c>
      <c r="F23" s="26" t="s">
        <v>28</v>
      </c>
      <c r="G23" s="26" t="s">
        <v>28</v>
      </c>
      <c r="H23" s="26" t="s">
        <v>28</v>
      </c>
      <c r="I23" s="26" t="s">
        <v>28</v>
      </c>
      <c r="J23" s="26" t="s">
        <v>28</v>
      </c>
      <c r="K23" s="26" t="s">
        <v>28</v>
      </c>
      <c r="L23" s="26" t="s">
        <v>28</v>
      </c>
      <c r="M23" s="26" t="s">
        <v>28</v>
      </c>
      <c r="N23" s="26" t="s">
        <v>28</v>
      </c>
      <c r="O23" s="26" t="s">
        <v>28</v>
      </c>
      <c r="P23" s="26" t="s">
        <v>28</v>
      </c>
      <c r="Q23" s="26" t="s">
        <v>28</v>
      </c>
      <c r="R23" s="43"/>
      <c r="S23" s="44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32">
        <f t="shared" si="1"/>
        <v>0</v>
      </c>
      <c r="BB23" s="32">
        <f t="shared" si="2"/>
        <v>0</v>
      </c>
      <c r="BC23" s="32">
        <f t="shared" si="3"/>
        <v>14</v>
      </c>
      <c r="BD23" s="32">
        <f t="shared" si="4"/>
        <v>14</v>
      </c>
      <c r="BE23" s="33">
        <f t="shared" si="5"/>
        <v>100</v>
      </c>
    </row>
    <row r="24">
      <c r="A24" s="23">
        <v>20.0</v>
      </c>
      <c r="B24" s="24" t="s">
        <v>67</v>
      </c>
      <c r="C24" s="25" t="s">
        <v>68</v>
      </c>
      <c r="D24" s="27" t="s">
        <v>22</v>
      </c>
      <c r="E24" s="26" t="s">
        <v>28</v>
      </c>
      <c r="F24" s="26" t="s">
        <v>28</v>
      </c>
      <c r="G24" s="26" t="s">
        <v>28</v>
      </c>
      <c r="H24" s="26" t="s">
        <v>28</v>
      </c>
      <c r="I24" s="26" t="s">
        <v>28</v>
      </c>
      <c r="J24" s="26" t="s">
        <v>28</v>
      </c>
      <c r="K24" s="26" t="s">
        <v>28</v>
      </c>
      <c r="L24" s="26" t="s">
        <v>28</v>
      </c>
      <c r="M24" s="26" t="s">
        <v>28</v>
      </c>
      <c r="N24" s="26" t="s">
        <v>28</v>
      </c>
      <c r="O24" s="26" t="s">
        <v>28</v>
      </c>
      <c r="P24" s="26" t="s">
        <v>28</v>
      </c>
      <c r="Q24" s="26" t="s">
        <v>28</v>
      </c>
      <c r="R24" s="28"/>
      <c r="S24" s="28"/>
      <c r="T24" s="28"/>
      <c r="U24" s="29"/>
      <c r="V24" s="29"/>
      <c r="W24" s="29"/>
      <c r="X24" s="29"/>
      <c r="Y24" s="29"/>
      <c r="Z24" s="29"/>
      <c r="AA24" s="29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2">
        <f t="shared" si="1"/>
        <v>0</v>
      </c>
      <c r="BB24" s="32">
        <f t="shared" si="2"/>
        <v>1</v>
      </c>
      <c r="BC24" s="32">
        <f t="shared" si="3"/>
        <v>13</v>
      </c>
      <c r="BD24" s="32">
        <f t="shared" si="4"/>
        <v>14</v>
      </c>
      <c r="BE24" s="33">
        <f t="shared" si="5"/>
        <v>92.85714286</v>
      </c>
    </row>
    <row r="25">
      <c r="A25" s="23">
        <v>21.0</v>
      </c>
      <c r="B25" s="24" t="s">
        <v>69</v>
      </c>
      <c r="C25" s="25" t="s">
        <v>70</v>
      </c>
      <c r="D25" s="26" t="s">
        <v>28</v>
      </c>
      <c r="E25" s="27" t="s">
        <v>22</v>
      </c>
      <c r="F25" s="26" t="s">
        <v>28</v>
      </c>
      <c r="G25" s="26" t="s">
        <v>28</v>
      </c>
      <c r="H25" s="26" t="s">
        <v>28</v>
      </c>
      <c r="I25" s="26" t="s">
        <v>28</v>
      </c>
      <c r="J25" s="26" t="s">
        <v>28</v>
      </c>
      <c r="K25" s="26" t="s">
        <v>28</v>
      </c>
      <c r="L25" s="26" t="s">
        <v>28</v>
      </c>
      <c r="M25" s="26" t="s">
        <v>28</v>
      </c>
      <c r="N25" s="27" t="s">
        <v>22</v>
      </c>
      <c r="O25" s="26" t="s">
        <v>28</v>
      </c>
      <c r="P25" s="26" t="s">
        <v>28</v>
      </c>
      <c r="Q25" s="26" t="s">
        <v>28</v>
      </c>
      <c r="R25" s="28"/>
      <c r="S25" s="28"/>
      <c r="T25" s="28"/>
      <c r="U25" s="29"/>
      <c r="V25" s="29"/>
      <c r="W25" s="29"/>
      <c r="X25" s="29"/>
      <c r="Y25" s="29"/>
      <c r="Z25" s="29"/>
      <c r="AA25" s="29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2">
        <f t="shared" si="1"/>
        <v>0</v>
      </c>
      <c r="BB25" s="32">
        <f t="shared" si="2"/>
        <v>2</v>
      </c>
      <c r="BC25" s="32">
        <f t="shared" si="3"/>
        <v>12</v>
      </c>
      <c r="BD25" s="32">
        <f t="shared" si="4"/>
        <v>14</v>
      </c>
      <c r="BE25" s="33">
        <f t="shared" si="5"/>
        <v>85.71428571</v>
      </c>
    </row>
    <row r="26">
      <c r="A26" s="23">
        <v>22.0</v>
      </c>
      <c r="B26" s="24" t="s">
        <v>71</v>
      </c>
      <c r="C26" s="25" t="s">
        <v>72</v>
      </c>
      <c r="D26" s="26" t="s">
        <v>28</v>
      </c>
      <c r="E26" s="26" t="s">
        <v>28</v>
      </c>
      <c r="F26" s="27" t="s">
        <v>22</v>
      </c>
      <c r="G26" s="26" t="s">
        <v>28</v>
      </c>
      <c r="H26" s="26" t="s">
        <v>28</v>
      </c>
      <c r="I26" s="27" t="s">
        <v>22</v>
      </c>
      <c r="J26" s="26" t="s">
        <v>28</v>
      </c>
      <c r="K26" s="26" t="s">
        <v>28</v>
      </c>
      <c r="L26" s="26" t="s">
        <v>28</v>
      </c>
      <c r="M26" s="26" t="s">
        <v>28</v>
      </c>
      <c r="N26" s="26" t="s">
        <v>28</v>
      </c>
      <c r="O26" s="26" t="s">
        <v>28</v>
      </c>
      <c r="P26" s="26" t="s">
        <v>28</v>
      </c>
      <c r="Q26" s="26" t="s">
        <v>28</v>
      </c>
      <c r="R26" s="28"/>
      <c r="S26" s="28"/>
      <c r="T26" s="28"/>
      <c r="U26" s="29"/>
      <c r="V26" s="29"/>
      <c r="W26" s="29"/>
      <c r="X26" s="29"/>
      <c r="Y26" s="29"/>
      <c r="Z26" s="29"/>
      <c r="AA26" s="29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2">
        <f t="shared" si="1"/>
        <v>0</v>
      </c>
      <c r="BB26" s="32">
        <f t="shared" si="2"/>
        <v>2</v>
      </c>
      <c r="BC26" s="32">
        <f t="shared" si="3"/>
        <v>12</v>
      </c>
      <c r="BD26" s="32">
        <f t="shared" si="4"/>
        <v>14</v>
      </c>
      <c r="BE26" s="33">
        <f t="shared" si="5"/>
        <v>85.71428571</v>
      </c>
    </row>
    <row r="27">
      <c r="A27" s="23">
        <v>23.0</v>
      </c>
      <c r="B27" s="47" t="s">
        <v>73</v>
      </c>
      <c r="C27" s="48" t="s">
        <v>74</v>
      </c>
      <c r="D27" s="26" t="s">
        <v>28</v>
      </c>
      <c r="E27" s="26" t="s">
        <v>28</v>
      </c>
      <c r="F27" s="26" t="s">
        <v>28</v>
      </c>
      <c r="G27" s="26" t="s">
        <v>28</v>
      </c>
      <c r="H27" s="26" t="s">
        <v>28</v>
      </c>
      <c r="I27" s="26" t="s">
        <v>28</v>
      </c>
      <c r="J27" s="26" t="s">
        <v>28</v>
      </c>
      <c r="K27" s="26" t="s">
        <v>28</v>
      </c>
      <c r="L27" s="26" t="s">
        <v>28</v>
      </c>
      <c r="M27" s="26" t="s">
        <v>28</v>
      </c>
      <c r="N27" s="26" t="s">
        <v>28</v>
      </c>
      <c r="O27" s="26" t="s">
        <v>28</v>
      </c>
      <c r="P27" s="26" t="s">
        <v>28</v>
      </c>
      <c r="Q27" s="26" t="s">
        <v>28</v>
      </c>
      <c r="R27" s="28"/>
      <c r="S27" s="28"/>
      <c r="T27" s="28"/>
      <c r="U27" s="29"/>
      <c r="V27" s="29"/>
      <c r="W27" s="29"/>
      <c r="X27" s="29"/>
      <c r="Y27" s="29"/>
      <c r="Z27" s="29"/>
      <c r="AA27" s="29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2">
        <f t="shared" si="1"/>
        <v>0</v>
      </c>
      <c r="BB27" s="32">
        <f t="shared" si="2"/>
        <v>0</v>
      </c>
      <c r="BC27" s="32">
        <f t="shared" si="3"/>
        <v>14</v>
      </c>
      <c r="BD27" s="32">
        <f t="shared" si="4"/>
        <v>14</v>
      </c>
      <c r="BE27" s="33">
        <f t="shared" si="5"/>
        <v>100</v>
      </c>
    </row>
    <row r="28">
      <c r="A28" s="23">
        <v>24.0</v>
      </c>
      <c r="B28" s="24" t="s">
        <v>75</v>
      </c>
      <c r="C28" s="25" t="s">
        <v>76</v>
      </c>
      <c r="D28" s="26" t="s">
        <v>28</v>
      </c>
      <c r="E28" s="27" t="s">
        <v>22</v>
      </c>
      <c r="F28" s="26" t="s">
        <v>28</v>
      </c>
      <c r="G28" s="26" t="s">
        <v>28</v>
      </c>
      <c r="H28" s="27" t="s">
        <v>22</v>
      </c>
      <c r="I28" s="27" t="s">
        <v>22</v>
      </c>
      <c r="J28" s="27" t="s">
        <v>22</v>
      </c>
      <c r="K28" s="26" t="s">
        <v>28</v>
      </c>
      <c r="L28" s="27" t="s">
        <v>22</v>
      </c>
      <c r="M28" s="27" t="s">
        <v>22</v>
      </c>
      <c r="N28" s="27" t="s">
        <v>22</v>
      </c>
      <c r="O28" s="26" t="s">
        <v>28</v>
      </c>
      <c r="P28" s="26" t="s">
        <v>28</v>
      </c>
      <c r="Q28" s="27" t="s">
        <v>22</v>
      </c>
      <c r="R28" s="28"/>
      <c r="S28" s="28"/>
      <c r="T28" s="28"/>
      <c r="U28" s="29"/>
      <c r="V28" s="29"/>
      <c r="W28" s="29"/>
      <c r="X28" s="29"/>
      <c r="Y28" s="29"/>
      <c r="Z28" s="29"/>
      <c r="AA28" s="29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2">
        <f t="shared" si="1"/>
        <v>0</v>
      </c>
      <c r="BB28" s="32">
        <f t="shared" si="2"/>
        <v>8</v>
      </c>
      <c r="BC28" s="32">
        <f t="shared" si="3"/>
        <v>6</v>
      </c>
      <c r="BD28" s="32">
        <f t="shared" si="4"/>
        <v>14</v>
      </c>
      <c r="BE28" s="33">
        <f t="shared" si="5"/>
        <v>42.85714286</v>
      </c>
    </row>
    <row r="29">
      <c r="A29" s="23">
        <v>25.0</v>
      </c>
      <c r="B29" s="24" t="s">
        <v>79</v>
      </c>
      <c r="C29" s="25" t="s">
        <v>80</v>
      </c>
      <c r="D29" s="26" t="s">
        <v>28</v>
      </c>
      <c r="E29" s="26" t="s">
        <v>28</v>
      </c>
      <c r="F29" s="27" t="s">
        <v>22</v>
      </c>
      <c r="G29" s="26" t="s">
        <v>28</v>
      </c>
      <c r="H29" s="26" t="s">
        <v>28</v>
      </c>
      <c r="I29" s="26" t="s">
        <v>28</v>
      </c>
      <c r="J29" s="26" t="s">
        <v>28</v>
      </c>
      <c r="K29" s="26" t="s">
        <v>28</v>
      </c>
      <c r="L29" s="26" t="s">
        <v>28</v>
      </c>
      <c r="M29" s="26" t="s">
        <v>28</v>
      </c>
      <c r="N29" s="26" t="s">
        <v>28</v>
      </c>
      <c r="O29" s="26" t="s">
        <v>28</v>
      </c>
      <c r="P29" s="26" t="s">
        <v>28</v>
      </c>
      <c r="Q29" s="26" t="s">
        <v>28</v>
      </c>
      <c r="R29" s="28"/>
      <c r="S29" s="28"/>
      <c r="T29" s="28"/>
      <c r="U29" s="29"/>
      <c r="V29" s="29"/>
      <c r="W29" s="29"/>
      <c r="X29" s="29"/>
      <c r="Y29" s="29"/>
      <c r="Z29" s="29"/>
      <c r="AA29" s="29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2">
        <f t="shared" si="1"/>
        <v>0</v>
      </c>
      <c r="BB29" s="32">
        <f t="shared" si="2"/>
        <v>1</v>
      </c>
      <c r="BC29" s="32">
        <f t="shared" si="3"/>
        <v>13</v>
      </c>
      <c r="BD29" s="32">
        <f t="shared" si="4"/>
        <v>14</v>
      </c>
      <c r="BE29" s="33">
        <f t="shared" si="5"/>
        <v>92.85714286</v>
      </c>
    </row>
    <row r="30">
      <c r="A30" s="23">
        <v>26.0</v>
      </c>
      <c r="B30" s="24" t="s">
        <v>81</v>
      </c>
      <c r="C30" s="25" t="s">
        <v>82</v>
      </c>
      <c r="D30" s="26" t="s">
        <v>28</v>
      </c>
      <c r="E30" s="27" t="s">
        <v>22</v>
      </c>
      <c r="F30" s="26" t="s">
        <v>28</v>
      </c>
      <c r="G30" s="26" t="s">
        <v>28</v>
      </c>
      <c r="H30" s="27" t="s">
        <v>22</v>
      </c>
      <c r="I30" s="27" t="s">
        <v>22</v>
      </c>
      <c r="J30" s="26" t="s">
        <v>28</v>
      </c>
      <c r="K30" s="26" t="s">
        <v>28</v>
      </c>
      <c r="L30" s="26" t="s">
        <v>28</v>
      </c>
      <c r="M30" s="26" t="s">
        <v>28</v>
      </c>
      <c r="N30" s="26" t="s">
        <v>28</v>
      </c>
      <c r="O30" s="27" t="s">
        <v>22</v>
      </c>
      <c r="P30" s="27" t="s">
        <v>22</v>
      </c>
      <c r="Q30" s="26" t="s">
        <v>28</v>
      </c>
      <c r="R30" s="28"/>
      <c r="S30" s="28"/>
      <c r="T30" s="28"/>
      <c r="U30" s="29"/>
      <c r="V30" s="29"/>
      <c r="W30" s="29"/>
      <c r="X30" s="29"/>
      <c r="Y30" s="29"/>
      <c r="Z30" s="29"/>
      <c r="AA30" s="29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2">
        <f t="shared" si="1"/>
        <v>0</v>
      </c>
      <c r="BB30" s="32">
        <f t="shared" si="2"/>
        <v>5</v>
      </c>
      <c r="BC30" s="32">
        <f t="shared" si="3"/>
        <v>9</v>
      </c>
      <c r="BD30" s="32">
        <f t="shared" si="4"/>
        <v>14</v>
      </c>
      <c r="BE30" s="33">
        <f t="shared" si="5"/>
        <v>64.28571429</v>
      </c>
    </row>
    <row r="31">
      <c r="A31" s="23">
        <v>27.0</v>
      </c>
      <c r="B31" s="24" t="s">
        <v>83</v>
      </c>
      <c r="C31" s="25" t="s">
        <v>84</v>
      </c>
      <c r="D31" s="26" t="s">
        <v>28</v>
      </c>
      <c r="E31" s="26" t="s">
        <v>28</v>
      </c>
      <c r="F31" s="26" t="s">
        <v>28</v>
      </c>
      <c r="G31" s="26" t="s">
        <v>28</v>
      </c>
      <c r="H31" s="26" t="s">
        <v>28</v>
      </c>
      <c r="I31" s="26" t="s">
        <v>28</v>
      </c>
      <c r="J31" s="26" t="s">
        <v>28</v>
      </c>
      <c r="K31" s="26" t="s">
        <v>28</v>
      </c>
      <c r="L31" s="26" t="s">
        <v>28</v>
      </c>
      <c r="M31" s="26" t="s">
        <v>28</v>
      </c>
      <c r="N31" s="26" t="s">
        <v>28</v>
      </c>
      <c r="O31" s="26" t="s">
        <v>28</v>
      </c>
      <c r="P31" s="26" t="s">
        <v>28</v>
      </c>
      <c r="Q31" s="26" t="s">
        <v>28</v>
      </c>
      <c r="R31" s="28"/>
      <c r="S31" s="28"/>
      <c r="T31" s="28"/>
      <c r="U31" s="29"/>
      <c r="V31" s="29"/>
      <c r="W31" s="29"/>
      <c r="X31" s="29"/>
      <c r="Y31" s="29"/>
      <c r="Z31" s="29"/>
      <c r="AA31" s="29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2">
        <f t="shared" si="1"/>
        <v>0</v>
      </c>
      <c r="BB31" s="32">
        <f t="shared" si="2"/>
        <v>0</v>
      </c>
      <c r="BC31" s="32">
        <f t="shared" si="3"/>
        <v>14</v>
      </c>
      <c r="BD31" s="32">
        <f t="shared" si="4"/>
        <v>14</v>
      </c>
      <c r="BE31" s="33">
        <f t="shared" si="5"/>
        <v>100</v>
      </c>
    </row>
    <row r="32">
      <c r="A32" s="23">
        <v>28.0</v>
      </c>
      <c r="B32" s="24" t="s">
        <v>85</v>
      </c>
      <c r="C32" s="25" t="s">
        <v>86</v>
      </c>
      <c r="D32" s="26" t="s">
        <v>28</v>
      </c>
      <c r="E32" s="26" t="s">
        <v>28</v>
      </c>
      <c r="F32" s="26" t="s">
        <v>28</v>
      </c>
      <c r="G32" s="26" t="s">
        <v>28</v>
      </c>
      <c r="H32" s="26" t="s">
        <v>28</v>
      </c>
      <c r="I32" s="26" t="s">
        <v>28</v>
      </c>
      <c r="J32" s="26" t="s">
        <v>28</v>
      </c>
      <c r="K32" s="26" t="s">
        <v>28</v>
      </c>
      <c r="L32" s="26" t="s">
        <v>28</v>
      </c>
      <c r="M32" s="26" t="s">
        <v>28</v>
      </c>
      <c r="N32" s="26" t="s">
        <v>28</v>
      </c>
      <c r="O32" s="26" t="s">
        <v>28</v>
      </c>
      <c r="P32" s="26" t="s">
        <v>28</v>
      </c>
      <c r="Q32" s="26" t="s">
        <v>28</v>
      </c>
      <c r="R32" s="28"/>
      <c r="S32" s="28"/>
      <c r="T32" s="28"/>
      <c r="U32" s="29"/>
      <c r="V32" s="29"/>
      <c r="W32" s="29"/>
      <c r="X32" s="29"/>
      <c r="Y32" s="29"/>
      <c r="Z32" s="29"/>
      <c r="AA32" s="29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2">
        <f t="shared" si="1"/>
        <v>0</v>
      </c>
      <c r="BB32" s="32">
        <f t="shared" si="2"/>
        <v>0</v>
      </c>
      <c r="BC32" s="32">
        <f t="shared" si="3"/>
        <v>14</v>
      </c>
      <c r="BD32" s="32">
        <f t="shared" si="4"/>
        <v>14</v>
      </c>
      <c r="BE32" s="33">
        <f t="shared" si="5"/>
        <v>100</v>
      </c>
    </row>
    <row r="33">
      <c r="A33" s="23">
        <v>29.0</v>
      </c>
      <c r="B33" s="24" t="s">
        <v>87</v>
      </c>
      <c r="C33" s="25" t="s">
        <v>88</v>
      </c>
      <c r="D33" s="26" t="s">
        <v>28</v>
      </c>
      <c r="E33" s="27" t="s">
        <v>22</v>
      </c>
      <c r="F33" s="26" t="s">
        <v>28</v>
      </c>
      <c r="G33" s="26" t="s">
        <v>28</v>
      </c>
      <c r="H33" s="26" t="s">
        <v>28</v>
      </c>
      <c r="I33" s="26" t="s">
        <v>28</v>
      </c>
      <c r="J33" s="26" t="s">
        <v>28</v>
      </c>
      <c r="K33" s="26" t="s">
        <v>28</v>
      </c>
      <c r="L33" s="26" t="s">
        <v>28</v>
      </c>
      <c r="M33" s="26" t="s">
        <v>28</v>
      </c>
      <c r="N33" s="26" t="s">
        <v>28</v>
      </c>
      <c r="O33" s="26" t="s">
        <v>28</v>
      </c>
      <c r="P33" s="26" t="s">
        <v>28</v>
      </c>
      <c r="Q33" s="26" t="s">
        <v>28</v>
      </c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2">
        <f t="shared" si="1"/>
        <v>0</v>
      </c>
      <c r="BB33" s="32">
        <f t="shared" si="2"/>
        <v>1</v>
      </c>
      <c r="BC33" s="32">
        <f t="shared" si="3"/>
        <v>13</v>
      </c>
      <c r="BD33" s="32">
        <f t="shared" si="4"/>
        <v>14</v>
      </c>
      <c r="BE33" s="33">
        <f t="shared" si="5"/>
        <v>92.85714286</v>
      </c>
    </row>
    <row r="34">
      <c r="A34" s="23">
        <v>30.0</v>
      </c>
      <c r="B34" s="24" t="s">
        <v>91</v>
      </c>
      <c r="C34" s="25" t="s">
        <v>92</v>
      </c>
      <c r="D34" s="26" t="s">
        <v>28</v>
      </c>
      <c r="E34" s="27" t="s">
        <v>22</v>
      </c>
      <c r="F34" s="26" t="s">
        <v>28</v>
      </c>
      <c r="G34" s="26" t="s">
        <v>28</v>
      </c>
      <c r="H34" s="26" t="s">
        <v>28</v>
      </c>
      <c r="I34" s="26" t="s">
        <v>28</v>
      </c>
      <c r="J34" s="26" t="s">
        <v>28</v>
      </c>
      <c r="K34" s="26" t="s">
        <v>28</v>
      </c>
      <c r="L34" s="26" t="s">
        <v>28</v>
      </c>
      <c r="M34" s="26" t="s">
        <v>28</v>
      </c>
      <c r="N34" s="26" t="s">
        <v>28</v>
      </c>
      <c r="O34" s="26" t="s">
        <v>28</v>
      </c>
      <c r="P34" s="26" t="s">
        <v>28</v>
      </c>
      <c r="Q34" s="26" t="s">
        <v>28</v>
      </c>
      <c r="R34" s="28"/>
      <c r="S34" s="28"/>
      <c r="T34" s="28"/>
      <c r="U34" s="29"/>
      <c r="V34" s="29"/>
      <c r="W34" s="29"/>
      <c r="X34" s="29"/>
      <c r="Y34" s="29"/>
      <c r="Z34" s="29"/>
      <c r="AA34" s="29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2">
        <f t="shared" si="1"/>
        <v>0</v>
      </c>
      <c r="BB34" s="32">
        <f t="shared" si="2"/>
        <v>1</v>
      </c>
      <c r="BC34" s="32">
        <f t="shared" si="3"/>
        <v>13</v>
      </c>
      <c r="BD34" s="32">
        <f t="shared" si="4"/>
        <v>14</v>
      </c>
      <c r="BE34" s="33">
        <f t="shared" si="5"/>
        <v>92.85714286</v>
      </c>
    </row>
    <row r="35">
      <c r="A35" s="23">
        <v>31.0</v>
      </c>
      <c r="B35" s="24" t="s">
        <v>93</v>
      </c>
      <c r="C35" s="25" t="s">
        <v>94</v>
      </c>
      <c r="D35" s="26" t="s">
        <v>28</v>
      </c>
      <c r="E35" s="26" t="s">
        <v>28</v>
      </c>
      <c r="F35" s="27" t="s">
        <v>22</v>
      </c>
      <c r="G35" s="26" t="s">
        <v>28</v>
      </c>
      <c r="H35" s="26" t="s">
        <v>28</v>
      </c>
      <c r="I35" s="26" t="s">
        <v>28</v>
      </c>
      <c r="J35" s="26" t="s">
        <v>28</v>
      </c>
      <c r="K35" s="26" t="s">
        <v>28</v>
      </c>
      <c r="L35" s="26" t="s">
        <v>28</v>
      </c>
      <c r="M35" s="26" t="s">
        <v>28</v>
      </c>
      <c r="N35" s="26" t="s">
        <v>28</v>
      </c>
      <c r="O35" s="26" t="s">
        <v>28</v>
      </c>
      <c r="P35" s="26" t="s">
        <v>28</v>
      </c>
      <c r="Q35" s="26" t="s">
        <v>28</v>
      </c>
      <c r="R35" s="28"/>
      <c r="S35" s="28"/>
      <c r="T35" s="30"/>
      <c r="U35" s="29"/>
      <c r="V35" s="29"/>
      <c r="W35" s="29"/>
      <c r="X35" s="29"/>
      <c r="Y35" s="29"/>
      <c r="Z35" s="29"/>
      <c r="AA35" s="29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2">
        <f t="shared" si="1"/>
        <v>0</v>
      </c>
      <c r="BB35" s="32">
        <f t="shared" si="2"/>
        <v>1</v>
      </c>
      <c r="BC35" s="32">
        <f t="shared" si="3"/>
        <v>13</v>
      </c>
      <c r="BD35" s="32">
        <f t="shared" si="4"/>
        <v>14</v>
      </c>
      <c r="BE35" s="33">
        <f t="shared" si="5"/>
        <v>92.85714286</v>
      </c>
    </row>
    <row r="36">
      <c r="A36" s="23">
        <v>32.0</v>
      </c>
      <c r="B36" s="24" t="s">
        <v>95</v>
      </c>
      <c r="C36" s="25" t="s">
        <v>96</v>
      </c>
      <c r="D36" s="26" t="s">
        <v>28</v>
      </c>
      <c r="E36" s="27" t="s">
        <v>22</v>
      </c>
      <c r="F36" s="27" t="s">
        <v>22</v>
      </c>
      <c r="G36" s="26" t="s">
        <v>28</v>
      </c>
      <c r="H36" s="26" t="s">
        <v>28</v>
      </c>
      <c r="I36" s="26" t="s">
        <v>28</v>
      </c>
      <c r="J36" s="26" t="s">
        <v>28</v>
      </c>
      <c r="K36" s="26" t="s">
        <v>28</v>
      </c>
      <c r="L36" s="26" t="s">
        <v>28</v>
      </c>
      <c r="M36" s="26" t="s">
        <v>28</v>
      </c>
      <c r="N36" s="26" t="s">
        <v>28</v>
      </c>
      <c r="O36" s="26" t="s">
        <v>28</v>
      </c>
      <c r="P36" s="26" t="s">
        <v>28</v>
      </c>
      <c r="Q36" s="27" t="s">
        <v>22</v>
      </c>
      <c r="R36" s="28"/>
      <c r="S36" s="28"/>
      <c r="T36" s="28"/>
      <c r="U36" s="29"/>
      <c r="V36" s="29"/>
      <c r="W36" s="29"/>
      <c r="X36" s="29"/>
      <c r="Y36" s="29"/>
      <c r="Z36" s="29"/>
      <c r="AA36" s="29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2">
        <f t="shared" si="1"/>
        <v>0</v>
      </c>
      <c r="BB36" s="32">
        <f t="shared" si="2"/>
        <v>3</v>
      </c>
      <c r="BC36" s="32">
        <f t="shared" si="3"/>
        <v>11</v>
      </c>
      <c r="BD36" s="32">
        <f t="shared" si="4"/>
        <v>14</v>
      </c>
      <c r="BE36" s="33">
        <f t="shared" si="5"/>
        <v>78.57142857</v>
      </c>
    </row>
    <row r="37">
      <c r="A37" s="23">
        <v>33.0</v>
      </c>
      <c r="B37" s="24" t="s">
        <v>97</v>
      </c>
      <c r="C37" s="25" t="s">
        <v>98</v>
      </c>
      <c r="D37" s="26" t="s">
        <v>28</v>
      </c>
      <c r="E37" s="27" t="s">
        <v>22</v>
      </c>
      <c r="F37" s="26" t="s">
        <v>28</v>
      </c>
      <c r="G37" s="26" t="s">
        <v>28</v>
      </c>
      <c r="H37" s="26" t="s">
        <v>28</v>
      </c>
      <c r="I37" s="26" t="s">
        <v>28</v>
      </c>
      <c r="J37" s="27" t="s">
        <v>22</v>
      </c>
      <c r="K37" s="26" t="s">
        <v>28</v>
      </c>
      <c r="L37" s="26" t="s">
        <v>28</v>
      </c>
      <c r="M37" s="26" t="s">
        <v>28</v>
      </c>
      <c r="N37" s="26" t="s">
        <v>28</v>
      </c>
      <c r="O37" s="26" t="s">
        <v>28</v>
      </c>
      <c r="P37" s="26" t="s">
        <v>28</v>
      </c>
      <c r="Q37" s="26" t="s">
        <v>28</v>
      </c>
      <c r="R37" s="28"/>
      <c r="S37" s="28"/>
      <c r="T37" s="28"/>
      <c r="U37" s="29"/>
      <c r="V37" s="29"/>
      <c r="W37" s="29"/>
      <c r="X37" s="29"/>
      <c r="Y37" s="29"/>
      <c r="Z37" s="29"/>
      <c r="AA37" s="29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2">
        <f t="shared" si="1"/>
        <v>0</v>
      </c>
      <c r="BB37" s="32">
        <f t="shared" si="2"/>
        <v>2</v>
      </c>
      <c r="BC37" s="32">
        <f t="shared" si="3"/>
        <v>12</v>
      </c>
      <c r="BD37" s="32">
        <f t="shared" si="4"/>
        <v>14</v>
      </c>
      <c r="BE37" s="33">
        <f t="shared" si="5"/>
        <v>85.71428571</v>
      </c>
    </row>
    <row r="38">
      <c r="A38" s="23">
        <v>34.0</v>
      </c>
      <c r="B38" s="24" t="s">
        <v>101</v>
      </c>
      <c r="C38" s="25" t="s">
        <v>102</v>
      </c>
      <c r="D38" s="26" t="s">
        <v>28</v>
      </c>
      <c r="E38" s="26" t="s">
        <v>28</v>
      </c>
      <c r="F38" s="26" t="s">
        <v>28</v>
      </c>
      <c r="G38" s="26" t="s">
        <v>28</v>
      </c>
      <c r="H38" s="26" t="s">
        <v>28</v>
      </c>
      <c r="I38" s="26" t="s">
        <v>28</v>
      </c>
      <c r="J38" s="26" t="s">
        <v>28</v>
      </c>
      <c r="K38" s="26" t="s">
        <v>28</v>
      </c>
      <c r="L38" s="26" t="s">
        <v>28</v>
      </c>
      <c r="M38" s="26" t="s">
        <v>28</v>
      </c>
      <c r="N38" s="26" t="s">
        <v>28</v>
      </c>
      <c r="O38" s="26" t="s">
        <v>28</v>
      </c>
      <c r="P38" s="26" t="s">
        <v>28</v>
      </c>
      <c r="Q38" s="26" t="s">
        <v>28</v>
      </c>
      <c r="R38" s="28"/>
      <c r="S38" s="28"/>
      <c r="T38" s="28"/>
      <c r="U38" s="29"/>
      <c r="V38" s="29"/>
      <c r="W38" s="29"/>
      <c r="X38" s="29"/>
      <c r="Y38" s="29"/>
      <c r="Z38" s="29"/>
      <c r="AA38" s="29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2">
        <f t="shared" si="1"/>
        <v>0</v>
      </c>
      <c r="BB38" s="32">
        <f t="shared" si="2"/>
        <v>0</v>
      </c>
      <c r="BC38" s="32">
        <f t="shared" si="3"/>
        <v>14</v>
      </c>
      <c r="BD38" s="32">
        <f t="shared" si="4"/>
        <v>14</v>
      </c>
      <c r="BE38" s="33">
        <f t="shared" si="5"/>
        <v>100</v>
      </c>
    </row>
    <row r="39">
      <c r="A39" s="23">
        <v>35.0</v>
      </c>
      <c r="B39" s="24" t="s">
        <v>103</v>
      </c>
      <c r="C39" s="25" t="s">
        <v>104</v>
      </c>
      <c r="D39" s="26" t="s">
        <v>28</v>
      </c>
      <c r="E39" s="26" t="s">
        <v>28</v>
      </c>
      <c r="F39" s="27" t="s">
        <v>22</v>
      </c>
      <c r="G39" s="26" t="s">
        <v>28</v>
      </c>
      <c r="H39" s="26" t="s">
        <v>28</v>
      </c>
      <c r="I39" s="26" t="s">
        <v>28</v>
      </c>
      <c r="J39" s="26" t="s">
        <v>28</v>
      </c>
      <c r="K39" s="26" t="s">
        <v>28</v>
      </c>
      <c r="L39" s="26" t="s">
        <v>28</v>
      </c>
      <c r="M39" s="26" t="s">
        <v>28</v>
      </c>
      <c r="N39" s="26" t="s">
        <v>28</v>
      </c>
      <c r="O39" s="26" t="s">
        <v>28</v>
      </c>
      <c r="P39" s="26" t="s">
        <v>28</v>
      </c>
      <c r="Q39" s="26" t="s">
        <v>28</v>
      </c>
      <c r="R39" s="28"/>
      <c r="S39" s="28"/>
      <c r="T39" s="28"/>
      <c r="U39" s="29"/>
      <c r="V39" s="29"/>
      <c r="W39" s="29"/>
      <c r="X39" s="29"/>
      <c r="Y39" s="29"/>
      <c r="Z39" s="29"/>
      <c r="AA39" s="29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2">
        <f t="shared" si="1"/>
        <v>0</v>
      </c>
      <c r="BB39" s="32">
        <f t="shared" si="2"/>
        <v>1</v>
      </c>
      <c r="BC39" s="32">
        <f t="shared" si="3"/>
        <v>13</v>
      </c>
      <c r="BD39" s="32">
        <f t="shared" si="4"/>
        <v>14</v>
      </c>
      <c r="BE39" s="33">
        <f t="shared" si="5"/>
        <v>92.85714286</v>
      </c>
    </row>
    <row r="40">
      <c r="A40" s="49">
        <v>36.0</v>
      </c>
      <c r="B40" s="35" t="s">
        <v>105</v>
      </c>
      <c r="C40" s="36" t="s">
        <v>106</v>
      </c>
      <c r="D40" s="27" t="s">
        <v>22</v>
      </c>
      <c r="E40" s="27" t="s">
        <v>22</v>
      </c>
      <c r="F40" s="27" t="s">
        <v>22</v>
      </c>
      <c r="G40" s="27" t="s">
        <v>22</v>
      </c>
      <c r="H40" s="27" t="s">
        <v>22</v>
      </c>
      <c r="I40" s="27" t="s">
        <v>22</v>
      </c>
      <c r="J40" s="27" t="s">
        <v>22</v>
      </c>
      <c r="K40" s="37"/>
      <c r="L40" s="27"/>
      <c r="M40" s="27"/>
      <c r="N40" s="27"/>
      <c r="O40" s="27"/>
      <c r="P40" s="40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1">
        <f t="shared" si="1"/>
        <v>0</v>
      </c>
      <c r="BB40" s="41">
        <f t="shared" si="2"/>
        <v>7</v>
      </c>
      <c r="BC40" s="41">
        <f t="shared" si="3"/>
        <v>0</v>
      </c>
      <c r="BD40" s="41">
        <f t="shared" si="4"/>
        <v>7</v>
      </c>
      <c r="BE40" s="42">
        <f t="shared" si="5"/>
        <v>0</v>
      </c>
    </row>
    <row r="41">
      <c r="A41" s="23">
        <v>37.0</v>
      </c>
      <c r="B41" s="24" t="s">
        <v>109</v>
      </c>
      <c r="C41" s="25" t="s">
        <v>110</v>
      </c>
      <c r="D41" s="26" t="s">
        <v>28</v>
      </c>
      <c r="E41" s="27" t="s">
        <v>22</v>
      </c>
      <c r="F41" s="26" t="s">
        <v>28</v>
      </c>
      <c r="G41" s="26" t="s">
        <v>28</v>
      </c>
      <c r="H41" s="26" t="s">
        <v>28</v>
      </c>
      <c r="I41" s="27" t="s">
        <v>22</v>
      </c>
      <c r="J41" s="26" t="s">
        <v>28</v>
      </c>
      <c r="K41" s="26" t="s">
        <v>28</v>
      </c>
      <c r="L41" s="26" t="s">
        <v>28</v>
      </c>
      <c r="M41" s="26" t="s">
        <v>28</v>
      </c>
      <c r="N41" s="26" t="s">
        <v>28</v>
      </c>
      <c r="O41" s="26" t="s">
        <v>28</v>
      </c>
      <c r="P41" s="26" t="s">
        <v>28</v>
      </c>
      <c r="Q41" s="26" t="s">
        <v>28</v>
      </c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2">
        <f t="shared" si="1"/>
        <v>0</v>
      </c>
      <c r="BB41" s="32">
        <f t="shared" si="2"/>
        <v>2</v>
      </c>
      <c r="BC41" s="32">
        <f t="shared" si="3"/>
        <v>12</v>
      </c>
      <c r="BD41" s="32">
        <f t="shared" si="4"/>
        <v>14</v>
      </c>
      <c r="BE41" s="33">
        <f t="shared" si="5"/>
        <v>85.71428571</v>
      </c>
    </row>
    <row r="42">
      <c r="A42" s="49">
        <v>38.0</v>
      </c>
      <c r="B42" s="35" t="s">
        <v>115</v>
      </c>
      <c r="C42" s="36" t="s">
        <v>116</v>
      </c>
      <c r="D42" s="27" t="s">
        <v>22</v>
      </c>
      <c r="E42" s="27" t="s">
        <v>22</v>
      </c>
      <c r="F42" s="27" t="s">
        <v>22</v>
      </c>
      <c r="G42" s="27" t="s">
        <v>22</v>
      </c>
      <c r="H42" s="27" t="s">
        <v>22</v>
      </c>
      <c r="I42" s="27" t="s">
        <v>22</v>
      </c>
      <c r="J42" s="27" t="s">
        <v>22</v>
      </c>
      <c r="K42" s="27"/>
      <c r="L42" s="37"/>
      <c r="M42" s="27"/>
      <c r="N42" s="37"/>
      <c r="O42" s="37"/>
      <c r="P42" s="38"/>
      <c r="Q42" s="38"/>
      <c r="R42" s="38"/>
      <c r="S42" s="38"/>
      <c r="T42" s="38"/>
      <c r="U42" s="39"/>
      <c r="V42" s="39"/>
      <c r="W42" s="39"/>
      <c r="X42" s="39"/>
      <c r="Y42" s="39"/>
      <c r="Z42" s="39"/>
      <c r="AA42" s="39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1">
        <f t="shared" si="1"/>
        <v>0</v>
      </c>
      <c r="BB42" s="41">
        <f t="shared" si="2"/>
        <v>7</v>
      </c>
      <c r="BC42" s="41">
        <f t="shared" si="3"/>
        <v>0</v>
      </c>
      <c r="BD42" s="41">
        <f t="shared" si="4"/>
        <v>7</v>
      </c>
      <c r="BE42" s="42">
        <f t="shared" si="5"/>
        <v>0</v>
      </c>
    </row>
    <row r="43">
      <c r="A43" s="49">
        <v>39.0</v>
      </c>
      <c r="B43" s="35" t="s">
        <v>123</v>
      </c>
      <c r="C43" s="36" t="s">
        <v>124</v>
      </c>
      <c r="D43" s="37" t="s">
        <v>28</v>
      </c>
      <c r="E43" s="27" t="s">
        <v>22</v>
      </c>
      <c r="F43" s="27" t="s">
        <v>22</v>
      </c>
      <c r="G43" s="37" t="s">
        <v>28</v>
      </c>
      <c r="H43" s="37" t="s">
        <v>28</v>
      </c>
      <c r="I43" s="37" t="s">
        <v>28</v>
      </c>
      <c r="J43" s="37" t="s">
        <v>28</v>
      </c>
      <c r="K43" s="37" t="s">
        <v>28</v>
      </c>
      <c r="L43" s="27" t="s">
        <v>22</v>
      </c>
      <c r="M43" s="27" t="s">
        <v>22</v>
      </c>
      <c r="N43" s="27" t="s">
        <v>22</v>
      </c>
      <c r="O43" s="27" t="s">
        <v>22</v>
      </c>
      <c r="P43" s="38"/>
      <c r="Q43" s="38"/>
      <c r="R43" s="38"/>
      <c r="S43" s="38"/>
      <c r="T43" s="38"/>
      <c r="U43" s="39"/>
      <c r="V43" s="39"/>
      <c r="W43" s="39"/>
      <c r="X43" s="39"/>
      <c r="Y43" s="39"/>
      <c r="Z43" s="39"/>
      <c r="AA43" s="39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1"/>
      <c r="BB43" s="41"/>
      <c r="BC43" s="41"/>
      <c r="BD43" s="41"/>
      <c r="BE43" s="42"/>
    </row>
    <row r="44">
      <c r="A44" s="23">
        <v>40.0</v>
      </c>
      <c r="B44" s="24" t="s">
        <v>125</v>
      </c>
      <c r="C44" s="25" t="s">
        <v>126</v>
      </c>
      <c r="D44" s="26" t="s">
        <v>28</v>
      </c>
      <c r="E44" s="26" t="s">
        <v>28</v>
      </c>
      <c r="F44" s="26" t="s">
        <v>28</v>
      </c>
      <c r="G44" s="26" t="s">
        <v>28</v>
      </c>
      <c r="H44" s="26" t="s">
        <v>28</v>
      </c>
      <c r="I44" s="26" t="s">
        <v>28</v>
      </c>
      <c r="J44" s="26" t="s">
        <v>28</v>
      </c>
      <c r="K44" s="26" t="s">
        <v>28</v>
      </c>
      <c r="L44" s="27" t="s">
        <v>22</v>
      </c>
      <c r="M44" s="26" t="s">
        <v>28</v>
      </c>
      <c r="N44" s="26" t="s">
        <v>28</v>
      </c>
      <c r="O44" s="26" t="s">
        <v>28</v>
      </c>
      <c r="P44" s="26" t="s">
        <v>28</v>
      </c>
      <c r="Q44" s="26" t="s">
        <v>28</v>
      </c>
      <c r="R44" s="28"/>
      <c r="S44" s="28"/>
      <c r="T44" s="28"/>
      <c r="U44" s="29"/>
      <c r="V44" s="29"/>
      <c r="W44" s="29"/>
      <c r="X44" s="29"/>
      <c r="Y44" s="29"/>
      <c r="Z44" s="29"/>
      <c r="AA44" s="29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2">
        <f t="shared" ref="BA44:BA74" si="6">COUNTIF(D44:AZ44,"L")</f>
        <v>0</v>
      </c>
      <c r="BB44" s="32">
        <f t="shared" ref="BB44:BB74" si="7">COUNTIF(D44:AZ44,"A")</f>
        <v>1</v>
      </c>
      <c r="BC44" s="32">
        <f t="shared" ref="BC44:BC74" si="8">COUNTIF(D44:AZ44,"p")</f>
        <v>13</v>
      </c>
      <c r="BD44" s="32">
        <f t="shared" ref="BD44:BD74" si="9">SUM(BA44:BC44)</f>
        <v>14</v>
      </c>
      <c r="BE44" s="33">
        <f t="shared" ref="BE44:BE74" si="10">SUM(BA44,BC44)/BD44*100</f>
        <v>92.85714286</v>
      </c>
    </row>
    <row r="45">
      <c r="A45" s="23">
        <v>41.0</v>
      </c>
      <c r="B45" s="24" t="s">
        <v>127</v>
      </c>
      <c r="C45" s="25" t="s">
        <v>128</v>
      </c>
      <c r="D45" s="26" t="s">
        <v>28</v>
      </c>
      <c r="E45" s="26" t="s">
        <v>28</v>
      </c>
      <c r="F45" s="26" t="s">
        <v>28</v>
      </c>
      <c r="G45" s="26" t="s">
        <v>28</v>
      </c>
      <c r="H45" s="26" t="s">
        <v>28</v>
      </c>
      <c r="I45" s="26" t="s">
        <v>28</v>
      </c>
      <c r="J45" s="26" t="s">
        <v>28</v>
      </c>
      <c r="K45" s="26" t="s">
        <v>28</v>
      </c>
      <c r="L45" s="26" t="s">
        <v>28</v>
      </c>
      <c r="M45" s="26" t="s">
        <v>28</v>
      </c>
      <c r="N45" s="26" t="s">
        <v>28</v>
      </c>
      <c r="O45" s="26" t="s">
        <v>28</v>
      </c>
      <c r="P45" s="27" t="s">
        <v>22</v>
      </c>
      <c r="Q45" s="26" t="s">
        <v>28</v>
      </c>
      <c r="R45" s="28"/>
      <c r="S45" s="28"/>
      <c r="T45" s="28"/>
      <c r="U45" s="29"/>
      <c r="V45" s="29"/>
      <c r="W45" s="29"/>
      <c r="X45" s="29"/>
      <c r="Y45" s="29"/>
      <c r="Z45" s="29"/>
      <c r="AA45" s="29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2">
        <f t="shared" si="6"/>
        <v>0</v>
      </c>
      <c r="BB45" s="32">
        <f t="shared" si="7"/>
        <v>1</v>
      </c>
      <c r="BC45" s="32">
        <f t="shared" si="8"/>
        <v>13</v>
      </c>
      <c r="BD45" s="32">
        <f t="shared" si="9"/>
        <v>14</v>
      </c>
      <c r="BE45" s="33">
        <f t="shared" si="10"/>
        <v>92.85714286</v>
      </c>
    </row>
    <row r="46">
      <c r="A46" s="23">
        <v>42.0</v>
      </c>
      <c r="B46" s="24" t="s">
        <v>129</v>
      </c>
      <c r="C46" s="25" t="s">
        <v>130</v>
      </c>
      <c r="D46" s="26" t="s">
        <v>28</v>
      </c>
      <c r="E46" s="26" t="s">
        <v>28</v>
      </c>
      <c r="F46" s="26" t="s">
        <v>28</v>
      </c>
      <c r="G46" s="26" t="s">
        <v>28</v>
      </c>
      <c r="H46" s="26" t="s">
        <v>28</v>
      </c>
      <c r="I46" s="26" t="s">
        <v>28</v>
      </c>
      <c r="J46" s="26" t="s">
        <v>28</v>
      </c>
      <c r="K46" s="26" t="s">
        <v>28</v>
      </c>
      <c r="L46" s="26" t="s">
        <v>28</v>
      </c>
      <c r="M46" s="26" t="s">
        <v>28</v>
      </c>
      <c r="N46" s="26" t="s">
        <v>28</v>
      </c>
      <c r="O46" s="26" t="s">
        <v>28</v>
      </c>
      <c r="P46" s="26" t="s">
        <v>28</v>
      </c>
      <c r="Q46" s="26" t="s">
        <v>28</v>
      </c>
      <c r="R46" s="28"/>
      <c r="S46" s="28"/>
      <c r="T46" s="28"/>
      <c r="U46" s="29"/>
      <c r="V46" s="29"/>
      <c r="W46" s="29"/>
      <c r="X46" s="29"/>
      <c r="Y46" s="29"/>
      <c r="Z46" s="29"/>
      <c r="AA46" s="29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2">
        <f t="shared" si="6"/>
        <v>0</v>
      </c>
      <c r="BB46" s="32">
        <f t="shared" si="7"/>
        <v>0</v>
      </c>
      <c r="BC46" s="32">
        <f t="shared" si="8"/>
        <v>14</v>
      </c>
      <c r="BD46" s="32">
        <f t="shared" si="9"/>
        <v>14</v>
      </c>
      <c r="BE46" s="33">
        <f t="shared" si="10"/>
        <v>100</v>
      </c>
    </row>
    <row r="47">
      <c r="A47" s="23">
        <v>43.0</v>
      </c>
      <c r="B47" s="24" t="s">
        <v>131</v>
      </c>
      <c r="C47" s="25" t="s">
        <v>132</v>
      </c>
      <c r="D47" s="27" t="s">
        <v>22</v>
      </c>
      <c r="E47" s="26" t="s">
        <v>28</v>
      </c>
      <c r="F47" s="27" t="s">
        <v>22</v>
      </c>
      <c r="G47" s="26" t="s">
        <v>28</v>
      </c>
      <c r="H47" s="26" t="s">
        <v>28</v>
      </c>
      <c r="I47" s="26" t="s">
        <v>28</v>
      </c>
      <c r="J47" s="26" t="s">
        <v>28</v>
      </c>
      <c r="K47" s="27" t="s">
        <v>22</v>
      </c>
      <c r="L47" s="26" t="s">
        <v>28</v>
      </c>
      <c r="M47" s="27" t="s">
        <v>22</v>
      </c>
      <c r="N47" s="27" t="s">
        <v>22</v>
      </c>
      <c r="O47" s="27" t="s">
        <v>22</v>
      </c>
      <c r="P47" s="27" t="s">
        <v>22</v>
      </c>
      <c r="Q47" s="27" t="s">
        <v>22</v>
      </c>
      <c r="R47" s="28"/>
      <c r="S47" s="28"/>
      <c r="T47" s="28"/>
      <c r="U47" s="29"/>
      <c r="V47" s="29"/>
      <c r="W47" s="29"/>
      <c r="X47" s="29"/>
      <c r="Y47" s="29"/>
      <c r="Z47" s="29"/>
      <c r="AA47" s="29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2">
        <f t="shared" si="6"/>
        <v>0</v>
      </c>
      <c r="BB47" s="32">
        <f t="shared" si="7"/>
        <v>8</v>
      </c>
      <c r="BC47" s="32">
        <f t="shared" si="8"/>
        <v>6</v>
      </c>
      <c r="BD47" s="32">
        <f t="shared" si="9"/>
        <v>14</v>
      </c>
      <c r="BE47" s="33">
        <f t="shared" si="10"/>
        <v>42.85714286</v>
      </c>
    </row>
    <row r="48">
      <c r="A48" s="23">
        <v>44.0</v>
      </c>
      <c r="B48" s="24" t="s">
        <v>133</v>
      </c>
      <c r="C48" s="25" t="s">
        <v>134</v>
      </c>
      <c r="D48" s="26" t="s">
        <v>28</v>
      </c>
      <c r="E48" s="26" t="s">
        <v>28</v>
      </c>
      <c r="F48" s="26" t="s">
        <v>28</v>
      </c>
      <c r="G48" s="26" t="s">
        <v>28</v>
      </c>
      <c r="H48" s="26" t="s">
        <v>28</v>
      </c>
      <c r="I48" s="26" t="s">
        <v>28</v>
      </c>
      <c r="J48" s="26" t="s">
        <v>28</v>
      </c>
      <c r="K48" s="26" t="s">
        <v>28</v>
      </c>
      <c r="L48" s="26" t="s">
        <v>28</v>
      </c>
      <c r="M48" s="26" t="s">
        <v>28</v>
      </c>
      <c r="N48" s="26" t="s">
        <v>28</v>
      </c>
      <c r="O48" s="26" t="s">
        <v>28</v>
      </c>
      <c r="P48" s="26" t="s">
        <v>28</v>
      </c>
      <c r="Q48" s="26" t="s">
        <v>28</v>
      </c>
      <c r="R48" s="28"/>
      <c r="S48" s="28"/>
      <c r="T48" s="28"/>
      <c r="U48" s="29"/>
      <c r="V48" s="29"/>
      <c r="W48" s="29"/>
      <c r="X48" s="29"/>
      <c r="Y48" s="29"/>
      <c r="Z48" s="29"/>
      <c r="AA48" s="29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2">
        <f t="shared" si="6"/>
        <v>0</v>
      </c>
      <c r="BB48" s="32">
        <f t="shared" si="7"/>
        <v>0</v>
      </c>
      <c r="BC48" s="32">
        <f t="shared" si="8"/>
        <v>14</v>
      </c>
      <c r="BD48" s="32">
        <f t="shared" si="9"/>
        <v>14</v>
      </c>
      <c r="BE48" s="33">
        <f t="shared" si="10"/>
        <v>100</v>
      </c>
    </row>
    <row r="49">
      <c r="A49" s="23">
        <v>45.0</v>
      </c>
      <c r="B49" s="24" t="s">
        <v>135</v>
      </c>
      <c r="C49" s="25" t="s">
        <v>136</v>
      </c>
      <c r="D49" s="26" t="s">
        <v>28</v>
      </c>
      <c r="E49" s="26" t="s">
        <v>28</v>
      </c>
      <c r="F49" s="26" t="s">
        <v>28</v>
      </c>
      <c r="G49" s="26" t="s">
        <v>28</v>
      </c>
      <c r="H49" s="26" t="s">
        <v>28</v>
      </c>
      <c r="I49" s="26" t="s">
        <v>28</v>
      </c>
      <c r="J49" s="26" t="s">
        <v>28</v>
      </c>
      <c r="K49" s="26" t="s">
        <v>28</v>
      </c>
      <c r="L49" s="26" t="s">
        <v>28</v>
      </c>
      <c r="M49" s="26" t="s">
        <v>28</v>
      </c>
      <c r="N49" s="26" t="s">
        <v>28</v>
      </c>
      <c r="O49" s="26" t="s">
        <v>28</v>
      </c>
      <c r="P49" s="26" t="s">
        <v>28</v>
      </c>
      <c r="Q49" s="26" t="s">
        <v>28</v>
      </c>
      <c r="R49" s="28"/>
      <c r="S49" s="28"/>
      <c r="T49" s="28"/>
      <c r="U49" s="29"/>
      <c r="V49" s="29"/>
      <c r="W49" s="29"/>
      <c r="X49" s="29"/>
      <c r="Y49" s="29"/>
      <c r="Z49" s="29"/>
      <c r="AA49" s="29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2">
        <f t="shared" si="6"/>
        <v>0</v>
      </c>
      <c r="BB49" s="32">
        <f t="shared" si="7"/>
        <v>0</v>
      </c>
      <c r="BC49" s="32">
        <f t="shared" si="8"/>
        <v>14</v>
      </c>
      <c r="BD49" s="32">
        <f t="shared" si="9"/>
        <v>14</v>
      </c>
      <c r="BE49" s="33">
        <f t="shared" si="10"/>
        <v>100</v>
      </c>
    </row>
    <row r="50">
      <c r="A50" s="23">
        <v>46.0</v>
      </c>
      <c r="B50" s="24" t="s">
        <v>137</v>
      </c>
      <c r="C50" s="25" t="s">
        <v>138</v>
      </c>
      <c r="D50" s="26" t="s">
        <v>28</v>
      </c>
      <c r="E50" s="26" t="s">
        <v>28</v>
      </c>
      <c r="F50" s="27" t="s">
        <v>22</v>
      </c>
      <c r="G50" s="26" t="s">
        <v>28</v>
      </c>
      <c r="H50" s="26" t="s">
        <v>28</v>
      </c>
      <c r="I50" s="26" t="s">
        <v>28</v>
      </c>
      <c r="J50" s="26" t="s">
        <v>28</v>
      </c>
      <c r="K50" s="26" t="s">
        <v>28</v>
      </c>
      <c r="L50" s="26" t="s">
        <v>28</v>
      </c>
      <c r="M50" s="26" t="s">
        <v>28</v>
      </c>
      <c r="N50" s="26" t="s">
        <v>28</v>
      </c>
      <c r="O50" s="27" t="s">
        <v>22</v>
      </c>
      <c r="P50" s="26" t="s">
        <v>28</v>
      </c>
      <c r="Q50" s="26" t="s">
        <v>28</v>
      </c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2">
        <f t="shared" si="6"/>
        <v>0</v>
      </c>
      <c r="BB50" s="32">
        <f t="shared" si="7"/>
        <v>2</v>
      </c>
      <c r="BC50" s="32">
        <f t="shared" si="8"/>
        <v>12</v>
      </c>
      <c r="BD50" s="32">
        <f t="shared" si="9"/>
        <v>14</v>
      </c>
      <c r="BE50" s="33">
        <f t="shared" si="10"/>
        <v>85.71428571</v>
      </c>
    </row>
    <row r="51">
      <c r="A51" s="23">
        <v>47.0</v>
      </c>
      <c r="B51" s="24" t="s">
        <v>139</v>
      </c>
      <c r="C51" s="25" t="s">
        <v>140</v>
      </c>
      <c r="D51" s="26" t="s">
        <v>28</v>
      </c>
      <c r="E51" s="27" t="s">
        <v>22</v>
      </c>
      <c r="F51" s="26" t="s">
        <v>28</v>
      </c>
      <c r="G51" s="26" t="s">
        <v>28</v>
      </c>
      <c r="H51" s="26" t="s">
        <v>28</v>
      </c>
      <c r="I51" s="26" t="s">
        <v>28</v>
      </c>
      <c r="J51" s="26" t="s">
        <v>28</v>
      </c>
      <c r="K51" s="26" t="s">
        <v>28</v>
      </c>
      <c r="L51" s="26" t="s">
        <v>28</v>
      </c>
      <c r="M51" s="26" t="s">
        <v>28</v>
      </c>
      <c r="N51" s="27" t="s">
        <v>22</v>
      </c>
      <c r="O51" s="27" t="s">
        <v>22</v>
      </c>
      <c r="P51" s="26" t="s">
        <v>28</v>
      </c>
      <c r="Q51" s="27" t="s">
        <v>22</v>
      </c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2">
        <f t="shared" si="6"/>
        <v>0</v>
      </c>
      <c r="BB51" s="32">
        <f t="shared" si="7"/>
        <v>4</v>
      </c>
      <c r="BC51" s="32">
        <f t="shared" si="8"/>
        <v>10</v>
      </c>
      <c r="BD51" s="32">
        <f t="shared" si="9"/>
        <v>14</v>
      </c>
      <c r="BE51" s="33">
        <f t="shared" si="10"/>
        <v>71.42857143</v>
      </c>
    </row>
    <row r="52">
      <c r="A52" s="23">
        <v>48.0</v>
      </c>
      <c r="B52" s="24" t="s">
        <v>141</v>
      </c>
      <c r="C52" s="25" t="s">
        <v>142</v>
      </c>
      <c r="D52" s="26" t="s">
        <v>28</v>
      </c>
      <c r="E52" s="27" t="s">
        <v>22</v>
      </c>
      <c r="F52" s="26" t="s">
        <v>28</v>
      </c>
      <c r="G52" s="26" t="s">
        <v>28</v>
      </c>
      <c r="H52" s="26" t="s">
        <v>28</v>
      </c>
      <c r="I52" s="26" t="s">
        <v>28</v>
      </c>
      <c r="J52" s="26" t="s">
        <v>28</v>
      </c>
      <c r="K52" s="26" t="s">
        <v>28</v>
      </c>
      <c r="L52" s="26" t="s">
        <v>28</v>
      </c>
      <c r="M52" s="26" t="s">
        <v>28</v>
      </c>
      <c r="N52" s="26" t="s">
        <v>28</v>
      </c>
      <c r="O52" s="27" t="s">
        <v>22</v>
      </c>
      <c r="P52" s="26" t="s">
        <v>28</v>
      </c>
      <c r="Q52" s="27" t="s">
        <v>22</v>
      </c>
      <c r="R52" s="28"/>
      <c r="S52" s="28"/>
      <c r="T52" s="28"/>
      <c r="U52" s="29"/>
      <c r="V52" s="29"/>
      <c r="W52" s="29"/>
      <c r="X52" s="29"/>
      <c r="Y52" s="29"/>
      <c r="Z52" s="29"/>
      <c r="AA52" s="29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2">
        <f t="shared" si="6"/>
        <v>0</v>
      </c>
      <c r="BB52" s="32">
        <f t="shared" si="7"/>
        <v>3</v>
      </c>
      <c r="BC52" s="32">
        <f t="shared" si="8"/>
        <v>11</v>
      </c>
      <c r="BD52" s="32">
        <f t="shared" si="9"/>
        <v>14</v>
      </c>
      <c r="BE52" s="33">
        <f t="shared" si="10"/>
        <v>78.57142857</v>
      </c>
    </row>
    <row r="53">
      <c r="A53" s="23">
        <v>49.0</v>
      </c>
      <c r="B53" s="24" t="s">
        <v>143</v>
      </c>
      <c r="C53" s="25" t="s">
        <v>144</v>
      </c>
      <c r="D53" s="26" t="s">
        <v>28</v>
      </c>
      <c r="E53" s="26" t="s">
        <v>28</v>
      </c>
      <c r="F53" s="26" t="s">
        <v>28</v>
      </c>
      <c r="G53" s="26" t="s">
        <v>28</v>
      </c>
      <c r="H53" s="27" t="s">
        <v>22</v>
      </c>
      <c r="I53" s="26" t="s">
        <v>28</v>
      </c>
      <c r="J53" s="26" t="s">
        <v>28</v>
      </c>
      <c r="K53" s="26" t="s">
        <v>28</v>
      </c>
      <c r="L53" s="26" t="s">
        <v>28</v>
      </c>
      <c r="M53" s="26" t="s">
        <v>28</v>
      </c>
      <c r="N53" s="26" t="s">
        <v>28</v>
      </c>
      <c r="O53" s="26" t="s">
        <v>28</v>
      </c>
      <c r="P53" s="26" t="s">
        <v>28</v>
      </c>
      <c r="Q53" s="26" t="s">
        <v>28</v>
      </c>
      <c r="R53" s="28"/>
      <c r="S53" s="28"/>
      <c r="T53" s="28"/>
      <c r="U53" s="29"/>
      <c r="V53" s="29"/>
      <c r="W53" s="29"/>
      <c r="X53" s="29"/>
      <c r="Y53" s="29"/>
      <c r="Z53" s="29"/>
      <c r="AA53" s="29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2">
        <f t="shared" si="6"/>
        <v>0</v>
      </c>
      <c r="BB53" s="32">
        <f t="shared" si="7"/>
        <v>1</v>
      </c>
      <c r="BC53" s="32">
        <f t="shared" si="8"/>
        <v>13</v>
      </c>
      <c r="BD53" s="32">
        <f t="shared" si="9"/>
        <v>14</v>
      </c>
      <c r="BE53" s="33">
        <f t="shared" si="10"/>
        <v>92.85714286</v>
      </c>
    </row>
    <row r="54">
      <c r="A54" s="23">
        <v>50.0</v>
      </c>
      <c r="B54" s="24" t="s">
        <v>145</v>
      </c>
      <c r="C54" s="25" t="s">
        <v>146</v>
      </c>
      <c r="D54" s="26" t="s">
        <v>28</v>
      </c>
      <c r="E54" s="26" t="s">
        <v>28</v>
      </c>
      <c r="F54" s="27" t="s">
        <v>22</v>
      </c>
      <c r="G54" s="26" t="s">
        <v>28</v>
      </c>
      <c r="H54" s="26" t="s">
        <v>28</v>
      </c>
      <c r="I54" s="26" t="s">
        <v>28</v>
      </c>
      <c r="J54" s="26" t="s">
        <v>28</v>
      </c>
      <c r="K54" s="26" t="s">
        <v>28</v>
      </c>
      <c r="L54" s="26" t="s">
        <v>28</v>
      </c>
      <c r="M54" s="26" t="s">
        <v>28</v>
      </c>
      <c r="N54" s="26" t="s">
        <v>28</v>
      </c>
      <c r="O54" s="26" t="s">
        <v>28</v>
      </c>
      <c r="P54" s="26" t="s">
        <v>28</v>
      </c>
      <c r="Q54" s="27" t="s">
        <v>22</v>
      </c>
      <c r="R54" s="28"/>
      <c r="S54" s="28"/>
      <c r="T54" s="28"/>
      <c r="U54" s="29"/>
      <c r="V54" s="29"/>
      <c r="W54" s="29"/>
      <c r="X54" s="29"/>
      <c r="Y54" s="29"/>
      <c r="Z54" s="29"/>
      <c r="AA54" s="29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2">
        <f t="shared" si="6"/>
        <v>0</v>
      </c>
      <c r="BB54" s="32">
        <f t="shared" si="7"/>
        <v>2</v>
      </c>
      <c r="BC54" s="32">
        <f t="shared" si="8"/>
        <v>12</v>
      </c>
      <c r="BD54" s="32">
        <f t="shared" si="9"/>
        <v>14</v>
      </c>
      <c r="BE54" s="33">
        <f t="shared" si="10"/>
        <v>85.71428571</v>
      </c>
    </row>
    <row r="55">
      <c r="A55" s="23">
        <v>51.0</v>
      </c>
      <c r="B55" s="24" t="s">
        <v>149</v>
      </c>
      <c r="C55" s="25" t="s">
        <v>150</v>
      </c>
      <c r="D55" s="26" t="s">
        <v>28</v>
      </c>
      <c r="E55" s="26" t="s">
        <v>28</v>
      </c>
      <c r="F55" s="27" t="s">
        <v>22</v>
      </c>
      <c r="G55" s="26" t="s">
        <v>28</v>
      </c>
      <c r="H55" s="26" t="s">
        <v>28</v>
      </c>
      <c r="I55" s="26" t="s">
        <v>28</v>
      </c>
      <c r="J55" s="26" t="s">
        <v>28</v>
      </c>
      <c r="K55" s="26" t="s">
        <v>28</v>
      </c>
      <c r="L55" s="26" t="s">
        <v>28</v>
      </c>
      <c r="M55" s="26" t="s">
        <v>28</v>
      </c>
      <c r="N55" s="26" t="s">
        <v>28</v>
      </c>
      <c r="O55" s="26" t="s">
        <v>28</v>
      </c>
      <c r="P55" s="26" t="s">
        <v>28</v>
      </c>
      <c r="Q55" s="26" t="s">
        <v>28</v>
      </c>
      <c r="R55" s="28"/>
      <c r="S55" s="28"/>
      <c r="T55" s="30"/>
      <c r="U55" s="29"/>
      <c r="V55" s="29"/>
      <c r="W55" s="29"/>
      <c r="X55" s="29"/>
      <c r="Y55" s="29"/>
      <c r="Z55" s="29"/>
      <c r="AA55" s="29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2">
        <f t="shared" si="6"/>
        <v>0</v>
      </c>
      <c r="BB55" s="32">
        <f t="shared" si="7"/>
        <v>1</v>
      </c>
      <c r="BC55" s="32">
        <f t="shared" si="8"/>
        <v>13</v>
      </c>
      <c r="BD55" s="32">
        <f t="shared" si="9"/>
        <v>14</v>
      </c>
      <c r="BE55" s="33">
        <f t="shared" si="10"/>
        <v>92.85714286</v>
      </c>
    </row>
    <row r="56">
      <c r="A56" s="23">
        <v>52.0</v>
      </c>
      <c r="B56" s="24" t="s">
        <v>151</v>
      </c>
      <c r="C56" s="25" t="s">
        <v>392</v>
      </c>
      <c r="D56" s="26" t="s">
        <v>28</v>
      </c>
      <c r="E56" s="26" t="s">
        <v>28</v>
      </c>
      <c r="F56" s="26" t="s">
        <v>28</v>
      </c>
      <c r="G56" s="26" t="s">
        <v>28</v>
      </c>
      <c r="H56" s="26" t="s">
        <v>28</v>
      </c>
      <c r="I56" s="26" t="s">
        <v>28</v>
      </c>
      <c r="J56" s="26" t="s">
        <v>28</v>
      </c>
      <c r="K56" s="26" t="s">
        <v>28</v>
      </c>
      <c r="L56" s="26" t="s">
        <v>28</v>
      </c>
      <c r="M56" s="26" t="s">
        <v>28</v>
      </c>
      <c r="N56" s="26" t="s">
        <v>28</v>
      </c>
      <c r="O56" s="26" t="s">
        <v>28</v>
      </c>
      <c r="P56" s="26" t="s">
        <v>28</v>
      </c>
      <c r="Q56" s="26" t="s">
        <v>28</v>
      </c>
      <c r="R56" s="28"/>
      <c r="S56" s="28"/>
      <c r="T56" s="28"/>
      <c r="U56" s="29"/>
      <c r="V56" s="29"/>
      <c r="W56" s="29"/>
      <c r="X56" s="29"/>
      <c r="Y56" s="29"/>
      <c r="Z56" s="29"/>
      <c r="AA56" s="29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2">
        <f t="shared" si="6"/>
        <v>0</v>
      </c>
      <c r="BB56" s="32">
        <f t="shared" si="7"/>
        <v>0</v>
      </c>
      <c r="BC56" s="32">
        <f t="shared" si="8"/>
        <v>14</v>
      </c>
      <c r="BD56" s="32">
        <f t="shared" si="9"/>
        <v>14</v>
      </c>
      <c r="BE56" s="33">
        <f t="shared" si="10"/>
        <v>100</v>
      </c>
    </row>
    <row r="57">
      <c r="A57" s="23">
        <v>53.0</v>
      </c>
      <c r="B57" s="24" t="s">
        <v>153</v>
      </c>
      <c r="C57" s="25" t="s">
        <v>154</v>
      </c>
      <c r="D57" s="26" t="s">
        <v>28</v>
      </c>
      <c r="E57" s="26" t="s">
        <v>28</v>
      </c>
      <c r="F57" s="26" t="s">
        <v>28</v>
      </c>
      <c r="G57" s="26" t="s">
        <v>28</v>
      </c>
      <c r="H57" s="26" t="s">
        <v>28</v>
      </c>
      <c r="I57" s="26" t="s">
        <v>28</v>
      </c>
      <c r="J57" s="26" t="s">
        <v>28</v>
      </c>
      <c r="K57" s="27" t="s">
        <v>22</v>
      </c>
      <c r="L57" s="27" t="s">
        <v>22</v>
      </c>
      <c r="M57" s="26" t="s">
        <v>28</v>
      </c>
      <c r="N57" s="26" t="s">
        <v>28</v>
      </c>
      <c r="O57" s="26" t="s">
        <v>28</v>
      </c>
      <c r="P57" s="26" t="s">
        <v>28</v>
      </c>
      <c r="Q57" s="26" t="s">
        <v>28</v>
      </c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2">
        <f t="shared" si="6"/>
        <v>0</v>
      </c>
      <c r="BB57" s="32">
        <f t="shared" si="7"/>
        <v>2</v>
      </c>
      <c r="BC57" s="32">
        <f t="shared" si="8"/>
        <v>12</v>
      </c>
      <c r="BD57" s="32">
        <f t="shared" si="9"/>
        <v>14</v>
      </c>
      <c r="BE57" s="33">
        <f t="shared" si="10"/>
        <v>85.71428571</v>
      </c>
    </row>
    <row r="58">
      <c r="A58" s="23">
        <v>54.0</v>
      </c>
      <c r="B58" s="24" t="s">
        <v>155</v>
      </c>
      <c r="C58" s="25" t="s">
        <v>156</v>
      </c>
      <c r="D58" s="26" t="s">
        <v>28</v>
      </c>
      <c r="E58" s="26" t="s">
        <v>28</v>
      </c>
      <c r="F58" s="26" t="s">
        <v>28</v>
      </c>
      <c r="G58" s="26" t="s">
        <v>28</v>
      </c>
      <c r="H58" s="26" t="s">
        <v>28</v>
      </c>
      <c r="I58" s="26" t="s">
        <v>28</v>
      </c>
      <c r="J58" s="26" t="s">
        <v>28</v>
      </c>
      <c r="K58" s="26" t="s">
        <v>28</v>
      </c>
      <c r="L58" s="26" t="s">
        <v>28</v>
      </c>
      <c r="M58" s="26" t="s">
        <v>28</v>
      </c>
      <c r="N58" s="26" t="s">
        <v>28</v>
      </c>
      <c r="O58" s="26" t="s">
        <v>28</v>
      </c>
      <c r="P58" s="26" t="s">
        <v>28</v>
      </c>
      <c r="Q58" s="26" t="s">
        <v>28</v>
      </c>
      <c r="R58" s="30"/>
      <c r="S58" s="30"/>
      <c r="T58" s="29"/>
      <c r="U58" s="29"/>
      <c r="V58" s="29"/>
      <c r="W58" s="29"/>
      <c r="X58" s="29"/>
      <c r="Y58" s="29"/>
      <c r="Z58" s="29"/>
      <c r="AA58" s="29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2">
        <f t="shared" si="6"/>
        <v>0</v>
      </c>
      <c r="BB58" s="32">
        <f t="shared" si="7"/>
        <v>0</v>
      </c>
      <c r="BC58" s="32">
        <f t="shared" si="8"/>
        <v>14</v>
      </c>
      <c r="BD58" s="32">
        <f t="shared" si="9"/>
        <v>14</v>
      </c>
      <c r="BE58" s="33">
        <f t="shared" si="10"/>
        <v>100</v>
      </c>
    </row>
    <row r="59">
      <c r="A59" s="23">
        <v>55.0</v>
      </c>
      <c r="B59" s="24" t="s">
        <v>157</v>
      </c>
      <c r="C59" s="25" t="s">
        <v>158</v>
      </c>
      <c r="D59" s="26" t="s">
        <v>28</v>
      </c>
      <c r="E59" s="26" t="s">
        <v>28</v>
      </c>
      <c r="F59" s="27" t="s">
        <v>22</v>
      </c>
      <c r="G59" s="26" t="s">
        <v>28</v>
      </c>
      <c r="H59" s="26" t="s">
        <v>28</v>
      </c>
      <c r="I59" s="26" t="s">
        <v>28</v>
      </c>
      <c r="J59" s="26" t="s">
        <v>28</v>
      </c>
      <c r="K59" s="26" t="s">
        <v>28</v>
      </c>
      <c r="L59" s="26" t="s">
        <v>28</v>
      </c>
      <c r="M59" s="27" t="s">
        <v>22</v>
      </c>
      <c r="N59" s="26" t="s">
        <v>28</v>
      </c>
      <c r="O59" s="26" t="s">
        <v>28</v>
      </c>
      <c r="P59" s="26" t="s">
        <v>28</v>
      </c>
      <c r="Q59" s="26" t="s">
        <v>28</v>
      </c>
      <c r="R59" s="28"/>
      <c r="S59" s="28"/>
      <c r="T59" s="28"/>
      <c r="U59" s="29"/>
      <c r="V59" s="29"/>
      <c r="W59" s="29"/>
      <c r="X59" s="29"/>
      <c r="Y59" s="29"/>
      <c r="Z59" s="29"/>
      <c r="AA59" s="29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2">
        <f t="shared" si="6"/>
        <v>0</v>
      </c>
      <c r="BB59" s="32">
        <f t="shared" si="7"/>
        <v>2</v>
      </c>
      <c r="BC59" s="32">
        <f t="shared" si="8"/>
        <v>12</v>
      </c>
      <c r="BD59" s="32">
        <f t="shared" si="9"/>
        <v>14</v>
      </c>
      <c r="BE59" s="33">
        <f t="shared" si="10"/>
        <v>85.71428571</v>
      </c>
    </row>
    <row r="60">
      <c r="A60" s="23">
        <v>56.0</v>
      </c>
      <c r="B60" s="24" t="s">
        <v>161</v>
      </c>
      <c r="C60" s="25" t="s">
        <v>162</v>
      </c>
      <c r="D60" s="27" t="s">
        <v>22</v>
      </c>
      <c r="E60" s="27" t="s">
        <v>22</v>
      </c>
      <c r="F60" s="26" t="s">
        <v>28</v>
      </c>
      <c r="G60" s="26" t="s">
        <v>28</v>
      </c>
      <c r="H60" s="26" t="s">
        <v>28</v>
      </c>
      <c r="I60" s="26" t="s">
        <v>28</v>
      </c>
      <c r="J60" s="26" t="s">
        <v>28</v>
      </c>
      <c r="K60" s="26" t="s">
        <v>28</v>
      </c>
      <c r="L60" s="26" t="s">
        <v>28</v>
      </c>
      <c r="M60" s="26" t="s">
        <v>28</v>
      </c>
      <c r="N60" s="26" t="s">
        <v>28</v>
      </c>
      <c r="O60" s="26" t="s">
        <v>28</v>
      </c>
      <c r="P60" s="27" t="s">
        <v>22</v>
      </c>
      <c r="Q60" s="26" t="s">
        <v>28</v>
      </c>
      <c r="R60" s="30"/>
      <c r="S60" s="28"/>
      <c r="T60" s="28"/>
      <c r="U60" s="29"/>
      <c r="V60" s="29"/>
      <c r="W60" s="29"/>
      <c r="X60" s="29"/>
      <c r="Y60" s="29"/>
      <c r="Z60" s="29"/>
      <c r="AA60" s="29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2">
        <f t="shared" si="6"/>
        <v>0</v>
      </c>
      <c r="BB60" s="32">
        <f t="shared" si="7"/>
        <v>3</v>
      </c>
      <c r="BC60" s="32">
        <f t="shared" si="8"/>
        <v>11</v>
      </c>
      <c r="BD60" s="32">
        <f t="shared" si="9"/>
        <v>14</v>
      </c>
      <c r="BE60" s="33">
        <f t="shared" si="10"/>
        <v>78.57142857</v>
      </c>
    </row>
    <row r="61">
      <c r="A61" s="23">
        <v>57.0</v>
      </c>
      <c r="B61" s="24" t="s">
        <v>163</v>
      </c>
      <c r="C61" s="25" t="s">
        <v>164</v>
      </c>
      <c r="D61" s="26" t="s">
        <v>28</v>
      </c>
      <c r="E61" s="26" t="s">
        <v>28</v>
      </c>
      <c r="F61" s="26" t="s">
        <v>28</v>
      </c>
      <c r="G61" s="26" t="s">
        <v>28</v>
      </c>
      <c r="H61" s="26" t="s">
        <v>28</v>
      </c>
      <c r="I61" s="26" t="s">
        <v>28</v>
      </c>
      <c r="J61" s="26" t="s">
        <v>28</v>
      </c>
      <c r="K61" s="27" t="s">
        <v>22</v>
      </c>
      <c r="L61" s="26" t="s">
        <v>28</v>
      </c>
      <c r="M61" s="26" t="s">
        <v>28</v>
      </c>
      <c r="N61" s="26" t="s">
        <v>28</v>
      </c>
      <c r="O61" s="26" t="s">
        <v>28</v>
      </c>
      <c r="P61" s="26" t="s">
        <v>28</v>
      </c>
      <c r="Q61" s="26" t="s">
        <v>28</v>
      </c>
      <c r="R61" s="28"/>
      <c r="S61" s="28"/>
      <c r="T61" s="28"/>
      <c r="U61" s="29"/>
      <c r="V61" s="29"/>
      <c r="W61" s="29"/>
      <c r="X61" s="29"/>
      <c r="Y61" s="29"/>
      <c r="Z61" s="29"/>
      <c r="AA61" s="29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2">
        <f t="shared" si="6"/>
        <v>0</v>
      </c>
      <c r="BB61" s="32">
        <f t="shared" si="7"/>
        <v>1</v>
      </c>
      <c r="BC61" s="32">
        <f t="shared" si="8"/>
        <v>13</v>
      </c>
      <c r="BD61" s="32">
        <f t="shared" si="9"/>
        <v>14</v>
      </c>
      <c r="BE61" s="33">
        <f t="shared" si="10"/>
        <v>92.85714286</v>
      </c>
    </row>
    <row r="62">
      <c r="A62" s="23">
        <v>58.0</v>
      </c>
      <c r="B62" s="24" t="s">
        <v>165</v>
      </c>
      <c r="C62" s="25" t="s">
        <v>166</v>
      </c>
      <c r="D62" s="26" t="s">
        <v>28</v>
      </c>
      <c r="E62" s="26" t="s">
        <v>28</v>
      </c>
      <c r="F62" s="27" t="s">
        <v>22</v>
      </c>
      <c r="G62" s="26" t="s">
        <v>28</v>
      </c>
      <c r="H62" s="26" t="s">
        <v>28</v>
      </c>
      <c r="I62" s="26" t="s">
        <v>28</v>
      </c>
      <c r="J62" s="26" t="s">
        <v>28</v>
      </c>
      <c r="K62" s="26" t="s">
        <v>28</v>
      </c>
      <c r="L62" s="26" t="s">
        <v>28</v>
      </c>
      <c r="M62" s="26" t="s">
        <v>28</v>
      </c>
      <c r="N62" s="26" t="s">
        <v>28</v>
      </c>
      <c r="O62" s="26" t="s">
        <v>28</v>
      </c>
      <c r="P62" s="26" t="s">
        <v>28</v>
      </c>
      <c r="Q62" s="26" t="s">
        <v>28</v>
      </c>
      <c r="R62" s="28"/>
      <c r="S62" s="28"/>
      <c r="T62" s="28"/>
      <c r="U62" s="29"/>
      <c r="V62" s="29"/>
      <c r="W62" s="29"/>
      <c r="X62" s="29"/>
      <c r="Y62" s="29"/>
      <c r="Z62" s="29"/>
      <c r="AA62" s="29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2">
        <f t="shared" si="6"/>
        <v>0</v>
      </c>
      <c r="BB62" s="32">
        <f t="shared" si="7"/>
        <v>1</v>
      </c>
      <c r="BC62" s="32">
        <f t="shared" si="8"/>
        <v>13</v>
      </c>
      <c r="BD62" s="32">
        <f t="shared" si="9"/>
        <v>14</v>
      </c>
      <c r="BE62" s="33">
        <f t="shared" si="10"/>
        <v>92.85714286</v>
      </c>
    </row>
    <row r="63">
      <c r="A63" s="23">
        <v>59.0</v>
      </c>
      <c r="B63" s="24" t="s">
        <v>167</v>
      </c>
      <c r="C63" s="25" t="s">
        <v>168</v>
      </c>
      <c r="D63" s="26" t="s">
        <v>28</v>
      </c>
      <c r="E63" s="26" t="s">
        <v>28</v>
      </c>
      <c r="F63" s="26" t="s">
        <v>28</v>
      </c>
      <c r="G63" s="26" t="s">
        <v>28</v>
      </c>
      <c r="H63" s="26" t="s">
        <v>28</v>
      </c>
      <c r="I63" s="26" t="s">
        <v>28</v>
      </c>
      <c r="J63" s="26" t="s">
        <v>28</v>
      </c>
      <c r="K63" s="26" t="s">
        <v>28</v>
      </c>
      <c r="L63" s="26" t="s">
        <v>28</v>
      </c>
      <c r="M63" s="26" t="s">
        <v>28</v>
      </c>
      <c r="N63" s="26" t="s">
        <v>28</v>
      </c>
      <c r="O63" s="26" t="s">
        <v>28</v>
      </c>
      <c r="P63" s="26" t="s">
        <v>28</v>
      </c>
      <c r="Q63" s="26" t="s">
        <v>28</v>
      </c>
      <c r="R63" s="28"/>
      <c r="S63" s="28"/>
      <c r="T63" s="28"/>
      <c r="U63" s="29"/>
      <c r="V63" s="29"/>
      <c r="W63" s="29"/>
      <c r="X63" s="29"/>
      <c r="Y63" s="29"/>
      <c r="Z63" s="29"/>
      <c r="AA63" s="29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2">
        <f t="shared" si="6"/>
        <v>0</v>
      </c>
      <c r="BB63" s="32">
        <f t="shared" si="7"/>
        <v>0</v>
      </c>
      <c r="BC63" s="32">
        <f t="shared" si="8"/>
        <v>14</v>
      </c>
      <c r="BD63" s="32">
        <f t="shared" si="9"/>
        <v>14</v>
      </c>
      <c r="BE63" s="33">
        <f t="shared" si="10"/>
        <v>100</v>
      </c>
    </row>
    <row r="64">
      <c r="A64" s="23">
        <v>60.0</v>
      </c>
      <c r="B64" s="24" t="s">
        <v>169</v>
      </c>
      <c r="C64" s="25" t="s">
        <v>170</v>
      </c>
      <c r="D64" s="26" t="s">
        <v>28</v>
      </c>
      <c r="E64" s="26" t="s">
        <v>28</v>
      </c>
      <c r="F64" s="27" t="s">
        <v>22</v>
      </c>
      <c r="G64" s="26" t="s">
        <v>28</v>
      </c>
      <c r="H64" s="26" t="s">
        <v>28</v>
      </c>
      <c r="I64" s="26" t="s">
        <v>28</v>
      </c>
      <c r="J64" s="26" t="s">
        <v>28</v>
      </c>
      <c r="K64" s="26" t="s">
        <v>28</v>
      </c>
      <c r="L64" s="27" t="s">
        <v>22</v>
      </c>
      <c r="M64" s="26" t="s">
        <v>28</v>
      </c>
      <c r="N64" s="26" t="s">
        <v>28</v>
      </c>
      <c r="O64" s="26" t="s">
        <v>28</v>
      </c>
      <c r="P64" s="26" t="s">
        <v>28</v>
      </c>
      <c r="Q64" s="26" t="s">
        <v>28</v>
      </c>
      <c r="R64" s="51"/>
      <c r="S64" s="51"/>
      <c r="T64" s="51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32">
        <f t="shared" si="6"/>
        <v>0</v>
      </c>
      <c r="BB64" s="32">
        <f t="shared" si="7"/>
        <v>2</v>
      </c>
      <c r="BC64" s="32">
        <f t="shared" si="8"/>
        <v>12</v>
      </c>
      <c r="BD64" s="32">
        <f t="shared" si="9"/>
        <v>14</v>
      </c>
      <c r="BE64" s="33">
        <f t="shared" si="10"/>
        <v>85.71428571</v>
      </c>
    </row>
    <row r="65">
      <c r="A65" s="23">
        <v>61.0</v>
      </c>
      <c r="B65" s="47" t="s">
        <v>171</v>
      </c>
      <c r="C65" s="25" t="s">
        <v>172</v>
      </c>
      <c r="D65" s="26" t="s">
        <v>28</v>
      </c>
      <c r="E65" s="26" t="s">
        <v>28</v>
      </c>
      <c r="F65" s="27" t="s">
        <v>22</v>
      </c>
      <c r="G65" s="26" t="s">
        <v>28</v>
      </c>
      <c r="H65" s="26" t="s">
        <v>28</v>
      </c>
      <c r="I65" s="26" t="s">
        <v>28</v>
      </c>
      <c r="J65" s="26" t="s">
        <v>28</v>
      </c>
      <c r="K65" s="27" t="s">
        <v>22</v>
      </c>
      <c r="L65" s="26" t="s">
        <v>28</v>
      </c>
      <c r="M65" s="26" t="s">
        <v>28</v>
      </c>
      <c r="N65" s="26" t="s">
        <v>28</v>
      </c>
      <c r="O65" s="26" t="s">
        <v>28</v>
      </c>
      <c r="P65" s="26" t="s">
        <v>28</v>
      </c>
      <c r="Q65" s="27" t="s">
        <v>22</v>
      </c>
      <c r="R65" s="51"/>
      <c r="S65" s="51"/>
      <c r="T65" s="51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32">
        <f t="shared" si="6"/>
        <v>0</v>
      </c>
      <c r="BB65" s="32">
        <f t="shared" si="7"/>
        <v>3</v>
      </c>
      <c r="BC65" s="32">
        <f t="shared" si="8"/>
        <v>11</v>
      </c>
      <c r="BD65" s="32">
        <f t="shared" si="9"/>
        <v>14</v>
      </c>
      <c r="BE65" s="33">
        <f t="shared" si="10"/>
        <v>78.57142857</v>
      </c>
    </row>
    <row r="66">
      <c r="A66" s="23">
        <v>62.0</v>
      </c>
      <c r="B66" s="24" t="s">
        <v>173</v>
      </c>
      <c r="C66" s="25" t="s">
        <v>174</v>
      </c>
      <c r="D66" s="26" t="s">
        <v>28</v>
      </c>
      <c r="E66" s="27" t="s">
        <v>22</v>
      </c>
      <c r="F66" s="26" t="s">
        <v>28</v>
      </c>
      <c r="G66" s="26" t="s">
        <v>28</v>
      </c>
      <c r="H66" s="26" t="s">
        <v>28</v>
      </c>
      <c r="I66" s="26" t="s">
        <v>28</v>
      </c>
      <c r="J66" s="26" t="s">
        <v>28</v>
      </c>
      <c r="K66" s="27" t="s">
        <v>22</v>
      </c>
      <c r="L66" s="26" t="s">
        <v>28</v>
      </c>
      <c r="M66" s="27" t="s">
        <v>22</v>
      </c>
      <c r="N66" s="26" t="s">
        <v>28</v>
      </c>
      <c r="O66" s="26" t="s">
        <v>28</v>
      </c>
      <c r="P66" s="26" t="s">
        <v>28</v>
      </c>
      <c r="Q66" s="26" t="s">
        <v>28</v>
      </c>
      <c r="R66" s="51"/>
      <c r="S66" s="51"/>
      <c r="T66" s="51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32">
        <f t="shared" si="6"/>
        <v>0</v>
      </c>
      <c r="BB66" s="32">
        <f t="shared" si="7"/>
        <v>3</v>
      </c>
      <c r="BC66" s="32">
        <f t="shared" si="8"/>
        <v>11</v>
      </c>
      <c r="BD66" s="32">
        <f t="shared" si="9"/>
        <v>14</v>
      </c>
      <c r="BE66" s="33">
        <f t="shared" si="10"/>
        <v>78.57142857</v>
      </c>
    </row>
    <row r="67">
      <c r="A67" s="49">
        <v>63.0</v>
      </c>
      <c r="B67" s="35" t="s">
        <v>175</v>
      </c>
      <c r="C67" s="36" t="s">
        <v>176</v>
      </c>
      <c r="D67" s="37" t="s">
        <v>28</v>
      </c>
      <c r="E67" s="27" t="s">
        <v>22</v>
      </c>
      <c r="F67" s="37" t="s">
        <v>28</v>
      </c>
      <c r="G67" s="37" t="s">
        <v>28</v>
      </c>
      <c r="H67" s="27" t="s">
        <v>22</v>
      </c>
      <c r="I67" s="37" t="s">
        <v>28</v>
      </c>
      <c r="J67" s="37" t="s">
        <v>28</v>
      </c>
      <c r="K67" s="37" t="s">
        <v>28</v>
      </c>
      <c r="L67" s="27" t="s">
        <v>22</v>
      </c>
      <c r="M67" s="27" t="s">
        <v>22</v>
      </c>
      <c r="N67" s="27" t="s">
        <v>22</v>
      </c>
      <c r="O67" s="27" t="s">
        <v>22</v>
      </c>
      <c r="P67" s="37" t="s">
        <v>28</v>
      </c>
      <c r="Q67" s="27" t="s">
        <v>22</v>
      </c>
      <c r="R67" s="53"/>
      <c r="S67" s="53"/>
      <c r="T67" s="53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41">
        <f t="shared" si="6"/>
        <v>0</v>
      </c>
      <c r="BB67" s="41">
        <f t="shared" si="7"/>
        <v>7</v>
      </c>
      <c r="BC67" s="41">
        <f t="shared" si="8"/>
        <v>7</v>
      </c>
      <c r="BD67" s="41">
        <f t="shared" si="9"/>
        <v>14</v>
      </c>
      <c r="BE67" s="42">
        <f t="shared" si="10"/>
        <v>50</v>
      </c>
    </row>
    <row r="68">
      <c r="A68" s="23">
        <v>64.0</v>
      </c>
      <c r="B68" s="24" t="s">
        <v>177</v>
      </c>
      <c r="C68" s="25" t="s">
        <v>178</v>
      </c>
      <c r="D68" s="26" t="s">
        <v>28</v>
      </c>
      <c r="E68" s="26" t="s">
        <v>28</v>
      </c>
      <c r="F68" s="26" t="s">
        <v>28</v>
      </c>
      <c r="G68" s="26" t="s">
        <v>28</v>
      </c>
      <c r="H68" s="26" t="s">
        <v>28</v>
      </c>
      <c r="I68" s="26" t="s">
        <v>28</v>
      </c>
      <c r="J68" s="26" t="s">
        <v>28</v>
      </c>
      <c r="K68" s="26" t="s">
        <v>28</v>
      </c>
      <c r="L68" s="26" t="s">
        <v>28</v>
      </c>
      <c r="M68" s="26" t="s">
        <v>28</v>
      </c>
      <c r="N68" s="26" t="s">
        <v>28</v>
      </c>
      <c r="O68" s="26" t="s">
        <v>28</v>
      </c>
      <c r="P68" s="26" t="s">
        <v>28</v>
      </c>
      <c r="Q68" s="26" t="s">
        <v>28</v>
      </c>
      <c r="R68" s="51"/>
      <c r="S68" s="51"/>
      <c r="T68" s="51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32">
        <f t="shared" si="6"/>
        <v>0</v>
      </c>
      <c r="BB68" s="32">
        <f t="shared" si="7"/>
        <v>0</v>
      </c>
      <c r="BC68" s="32">
        <f t="shared" si="8"/>
        <v>14</v>
      </c>
      <c r="BD68" s="32">
        <f t="shared" si="9"/>
        <v>14</v>
      </c>
      <c r="BE68" s="33">
        <f t="shared" si="10"/>
        <v>100</v>
      </c>
    </row>
    <row r="69">
      <c r="A69" s="23">
        <v>65.0</v>
      </c>
      <c r="B69" s="24" t="s">
        <v>179</v>
      </c>
      <c r="C69" s="25" t="s">
        <v>180</v>
      </c>
      <c r="D69" s="27" t="s">
        <v>22</v>
      </c>
      <c r="E69" s="27" t="s">
        <v>22</v>
      </c>
      <c r="F69" s="26" t="s">
        <v>28</v>
      </c>
      <c r="G69" s="26" t="s">
        <v>28</v>
      </c>
      <c r="H69" s="27" t="s">
        <v>22</v>
      </c>
      <c r="I69" s="26" t="s">
        <v>28</v>
      </c>
      <c r="J69" s="27" t="s">
        <v>22</v>
      </c>
      <c r="K69" s="27" t="s">
        <v>22</v>
      </c>
      <c r="L69" s="26" t="s">
        <v>28</v>
      </c>
      <c r="M69" s="26" t="s">
        <v>28</v>
      </c>
      <c r="N69" s="27" t="s">
        <v>22</v>
      </c>
      <c r="O69" s="26" t="s">
        <v>28</v>
      </c>
      <c r="P69" s="26" t="s">
        <v>28</v>
      </c>
      <c r="Q69" s="26" t="s">
        <v>28</v>
      </c>
      <c r="R69" s="51"/>
      <c r="S69" s="51"/>
      <c r="T69" s="51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32">
        <f t="shared" si="6"/>
        <v>0</v>
      </c>
      <c r="BB69" s="32">
        <f t="shared" si="7"/>
        <v>6</v>
      </c>
      <c r="BC69" s="32">
        <f t="shared" si="8"/>
        <v>8</v>
      </c>
      <c r="BD69" s="32">
        <f t="shared" si="9"/>
        <v>14</v>
      </c>
      <c r="BE69" s="33">
        <f t="shared" si="10"/>
        <v>57.14285714</v>
      </c>
    </row>
    <row r="70">
      <c r="A70" s="23">
        <v>66.0</v>
      </c>
      <c r="B70" s="24" t="s">
        <v>181</v>
      </c>
      <c r="C70" s="25" t="s">
        <v>182</v>
      </c>
      <c r="D70" s="26" t="s">
        <v>28</v>
      </c>
      <c r="E70" s="26" t="s">
        <v>28</v>
      </c>
      <c r="F70" s="26" t="s">
        <v>28</v>
      </c>
      <c r="G70" s="26" t="s">
        <v>28</v>
      </c>
      <c r="H70" s="26" t="s">
        <v>28</v>
      </c>
      <c r="I70" s="26" t="s">
        <v>28</v>
      </c>
      <c r="J70" s="26" t="s">
        <v>28</v>
      </c>
      <c r="K70" s="26" t="s">
        <v>28</v>
      </c>
      <c r="L70" s="26" t="s">
        <v>28</v>
      </c>
      <c r="M70" s="26" t="s">
        <v>28</v>
      </c>
      <c r="N70" s="26" t="s">
        <v>28</v>
      </c>
      <c r="O70" s="26" t="s">
        <v>28</v>
      </c>
      <c r="P70" s="26" t="s">
        <v>28</v>
      </c>
      <c r="Q70" s="26" t="s">
        <v>28</v>
      </c>
      <c r="R70" s="51"/>
      <c r="S70" s="51"/>
      <c r="T70" s="51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32">
        <f t="shared" si="6"/>
        <v>0</v>
      </c>
      <c r="BB70" s="32">
        <f t="shared" si="7"/>
        <v>0</v>
      </c>
      <c r="BC70" s="32">
        <f t="shared" si="8"/>
        <v>14</v>
      </c>
      <c r="BD70" s="32">
        <f t="shared" si="9"/>
        <v>14</v>
      </c>
      <c r="BE70" s="33">
        <f t="shared" si="10"/>
        <v>100</v>
      </c>
    </row>
    <row r="71">
      <c r="A71" s="23">
        <v>67.0</v>
      </c>
      <c r="B71" s="47" t="s">
        <v>183</v>
      </c>
      <c r="C71" s="25" t="s">
        <v>184</v>
      </c>
      <c r="D71" s="26" t="s">
        <v>28</v>
      </c>
      <c r="E71" s="27" t="s">
        <v>22</v>
      </c>
      <c r="F71" s="26" t="s">
        <v>28</v>
      </c>
      <c r="G71" s="26" t="s">
        <v>28</v>
      </c>
      <c r="H71" s="26" t="s">
        <v>28</v>
      </c>
      <c r="I71" s="27" t="s">
        <v>22</v>
      </c>
      <c r="J71" s="26" t="s">
        <v>28</v>
      </c>
      <c r="K71" s="27" t="s">
        <v>22</v>
      </c>
      <c r="L71" s="26" t="s">
        <v>28</v>
      </c>
      <c r="M71" s="26" t="s">
        <v>28</v>
      </c>
      <c r="N71" s="26" t="s">
        <v>28</v>
      </c>
      <c r="O71" s="26" t="s">
        <v>28</v>
      </c>
      <c r="P71" s="26" t="s">
        <v>28</v>
      </c>
      <c r="Q71" s="27" t="s">
        <v>22</v>
      </c>
      <c r="R71" s="51"/>
      <c r="S71" s="51"/>
      <c r="T71" s="51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32">
        <f t="shared" si="6"/>
        <v>0</v>
      </c>
      <c r="BB71" s="32">
        <f t="shared" si="7"/>
        <v>4</v>
      </c>
      <c r="BC71" s="32">
        <f t="shared" si="8"/>
        <v>10</v>
      </c>
      <c r="BD71" s="32">
        <f t="shared" si="9"/>
        <v>14</v>
      </c>
      <c r="BE71" s="33">
        <f t="shared" si="10"/>
        <v>71.42857143</v>
      </c>
    </row>
    <row r="72">
      <c r="A72" s="23">
        <v>68.0</v>
      </c>
      <c r="B72" s="24" t="s">
        <v>187</v>
      </c>
      <c r="C72" s="25" t="s">
        <v>188</v>
      </c>
      <c r="D72" s="26" t="s">
        <v>28</v>
      </c>
      <c r="E72" s="26" t="s">
        <v>28</v>
      </c>
      <c r="F72" s="26" t="s">
        <v>28</v>
      </c>
      <c r="G72" s="26" t="s">
        <v>28</v>
      </c>
      <c r="H72" s="26" t="s">
        <v>28</v>
      </c>
      <c r="I72" s="26" t="s">
        <v>28</v>
      </c>
      <c r="J72" s="26" t="s">
        <v>28</v>
      </c>
      <c r="K72" s="26" t="s">
        <v>28</v>
      </c>
      <c r="L72" s="27" t="s">
        <v>22</v>
      </c>
      <c r="M72" s="26" t="s">
        <v>28</v>
      </c>
      <c r="N72" s="26" t="s">
        <v>28</v>
      </c>
      <c r="O72" s="27" t="s">
        <v>22</v>
      </c>
      <c r="P72" s="26" t="s">
        <v>28</v>
      </c>
      <c r="Q72" s="26" t="s">
        <v>28</v>
      </c>
      <c r="R72" s="51"/>
      <c r="S72" s="51"/>
      <c r="T72" s="51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32">
        <f t="shared" si="6"/>
        <v>0</v>
      </c>
      <c r="BB72" s="32">
        <f t="shared" si="7"/>
        <v>2</v>
      </c>
      <c r="BC72" s="32">
        <f t="shared" si="8"/>
        <v>12</v>
      </c>
      <c r="BD72" s="32">
        <f t="shared" si="9"/>
        <v>14</v>
      </c>
      <c r="BE72" s="33">
        <f t="shared" si="10"/>
        <v>85.71428571</v>
      </c>
    </row>
    <row r="73">
      <c r="A73" s="23">
        <v>69.0</v>
      </c>
      <c r="B73" s="24" t="s">
        <v>189</v>
      </c>
      <c r="C73" s="25" t="s">
        <v>190</v>
      </c>
      <c r="D73" s="27" t="s">
        <v>22</v>
      </c>
      <c r="E73" s="27" t="s">
        <v>22</v>
      </c>
      <c r="F73" s="26" t="s">
        <v>28</v>
      </c>
      <c r="G73" s="26" t="s">
        <v>28</v>
      </c>
      <c r="H73" s="26" t="s">
        <v>28</v>
      </c>
      <c r="I73" s="27" t="s">
        <v>22</v>
      </c>
      <c r="J73" s="26" t="s">
        <v>28</v>
      </c>
      <c r="K73" s="26" t="s">
        <v>28</v>
      </c>
      <c r="L73" s="26" t="s">
        <v>28</v>
      </c>
      <c r="M73" s="26" t="s">
        <v>28</v>
      </c>
      <c r="N73" s="26" t="s">
        <v>28</v>
      </c>
      <c r="O73" s="27" t="s">
        <v>22</v>
      </c>
      <c r="P73" s="26" t="s">
        <v>28</v>
      </c>
      <c r="Q73" s="26" t="s">
        <v>28</v>
      </c>
      <c r="R73" s="51"/>
      <c r="S73" s="51"/>
      <c r="T73" s="51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32">
        <f t="shared" si="6"/>
        <v>0</v>
      </c>
      <c r="BB73" s="32">
        <f t="shared" si="7"/>
        <v>4</v>
      </c>
      <c r="BC73" s="32">
        <f t="shared" si="8"/>
        <v>10</v>
      </c>
      <c r="BD73" s="32">
        <f t="shared" si="9"/>
        <v>14</v>
      </c>
      <c r="BE73" s="33">
        <f t="shared" si="10"/>
        <v>71.42857143</v>
      </c>
    </row>
    <row r="74">
      <c r="A74" s="55"/>
      <c r="B74" s="55"/>
      <c r="C74" s="56" t="s">
        <v>191</v>
      </c>
      <c r="D74" s="57">
        <f t="shared" ref="D74:AZ74" si="11">COUNTIF(D5:D73,"P")+COUNTIF(D5:D73,"L")</f>
        <v>58</v>
      </c>
      <c r="E74" s="57">
        <f t="shared" si="11"/>
        <v>43</v>
      </c>
      <c r="F74" s="57">
        <f t="shared" si="11"/>
        <v>47</v>
      </c>
      <c r="G74" s="57">
        <f t="shared" si="11"/>
        <v>67</v>
      </c>
      <c r="H74" s="57">
        <f t="shared" si="11"/>
        <v>59</v>
      </c>
      <c r="I74" s="57">
        <f t="shared" si="11"/>
        <v>59</v>
      </c>
      <c r="J74" s="57">
        <f t="shared" si="11"/>
        <v>60</v>
      </c>
      <c r="K74" s="57">
        <f t="shared" si="11"/>
        <v>56</v>
      </c>
      <c r="L74" s="57">
        <f t="shared" si="11"/>
        <v>57</v>
      </c>
      <c r="M74" s="57">
        <f t="shared" si="11"/>
        <v>57</v>
      </c>
      <c r="N74" s="57">
        <f t="shared" si="11"/>
        <v>56</v>
      </c>
      <c r="O74" s="57">
        <f t="shared" si="11"/>
        <v>54</v>
      </c>
      <c r="P74" s="57">
        <f t="shared" si="11"/>
        <v>57</v>
      </c>
      <c r="Q74" s="57">
        <f t="shared" si="11"/>
        <v>53</v>
      </c>
      <c r="R74" s="57">
        <f t="shared" si="11"/>
        <v>0</v>
      </c>
      <c r="S74" s="57">
        <f t="shared" si="11"/>
        <v>0</v>
      </c>
      <c r="T74" s="57">
        <f t="shared" si="11"/>
        <v>0</v>
      </c>
      <c r="U74" s="57">
        <f t="shared" si="11"/>
        <v>0</v>
      </c>
      <c r="V74" s="57">
        <f t="shared" si="11"/>
        <v>0</v>
      </c>
      <c r="W74" s="57">
        <f t="shared" si="11"/>
        <v>0</v>
      </c>
      <c r="X74" s="57">
        <f t="shared" si="11"/>
        <v>0</v>
      </c>
      <c r="Y74" s="57">
        <f t="shared" si="11"/>
        <v>0</v>
      </c>
      <c r="Z74" s="57">
        <f t="shared" si="11"/>
        <v>0</v>
      </c>
      <c r="AA74" s="57">
        <f t="shared" si="11"/>
        <v>0</v>
      </c>
      <c r="AB74" s="57">
        <f t="shared" si="11"/>
        <v>0</v>
      </c>
      <c r="AC74" s="57">
        <f t="shared" si="11"/>
        <v>0</v>
      </c>
      <c r="AD74" s="57">
        <f t="shared" si="11"/>
        <v>0</v>
      </c>
      <c r="AE74" s="57">
        <f t="shared" si="11"/>
        <v>0</v>
      </c>
      <c r="AF74" s="57">
        <f t="shared" si="11"/>
        <v>0</v>
      </c>
      <c r="AG74" s="57">
        <f t="shared" si="11"/>
        <v>0</v>
      </c>
      <c r="AH74" s="57">
        <f t="shared" si="11"/>
        <v>0</v>
      </c>
      <c r="AI74" s="57">
        <f t="shared" si="11"/>
        <v>0</v>
      </c>
      <c r="AJ74" s="57">
        <f t="shared" si="11"/>
        <v>0</v>
      </c>
      <c r="AK74" s="57">
        <f t="shared" si="11"/>
        <v>0</v>
      </c>
      <c r="AL74" s="57">
        <f t="shared" si="11"/>
        <v>0</v>
      </c>
      <c r="AM74" s="57">
        <f t="shared" si="11"/>
        <v>0</v>
      </c>
      <c r="AN74" s="57">
        <f t="shared" si="11"/>
        <v>0</v>
      </c>
      <c r="AO74" s="57">
        <f t="shared" si="11"/>
        <v>0</v>
      </c>
      <c r="AP74" s="57">
        <f t="shared" si="11"/>
        <v>0</v>
      </c>
      <c r="AQ74" s="57">
        <f t="shared" si="11"/>
        <v>0</v>
      </c>
      <c r="AR74" s="57">
        <f t="shared" si="11"/>
        <v>0</v>
      </c>
      <c r="AS74" s="57">
        <f t="shared" si="11"/>
        <v>0</v>
      </c>
      <c r="AT74" s="57">
        <f t="shared" si="11"/>
        <v>0</v>
      </c>
      <c r="AU74" s="57">
        <f t="shared" si="11"/>
        <v>0</v>
      </c>
      <c r="AV74" s="57">
        <f t="shared" si="11"/>
        <v>0</v>
      </c>
      <c r="AW74" s="57">
        <f t="shared" si="11"/>
        <v>0</v>
      </c>
      <c r="AX74" s="57">
        <f t="shared" si="11"/>
        <v>0</v>
      </c>
      <c r="AY74" s="57">
        <f t="shared" si="11"/>
        <v>0</v>
      </c>
      <c r="AZ74" s="57">
        <f t="shared" si="11"/>
        <v>0</v>
      </c>
      <c r="BA74" s="32">
        <f t="shared" si="6"/>
        <v>0</v>
      </c>
      <c r="BB74" s="32">
        <f t="shared" si="7"/>
        <v>0</v>
      </c>
      <c r="BC74" s="32">
        <f t="shared" si="8"/>
        <v>0</v>
      </c>
      <c r="BD74" s="32">
        <f t="shared" si="9"/>
        <v>0</v>
      </c>
      <c r="BE74" s="33" t="str">
        <f t="shared" si="10"/>
        <v>#DIV/0!</v>
      </c>
    </row>
    <row r="75">
      <c r="A75" s="83" t="s">
        <v>393</v>
      </c>
      <c r="B75" s="55"/>
      <c r="C75" s="59" t="s">
        <v>192</v>
      </c>
      <c r="D75" s="60">
        <v>67.0</v>
      </c>
      <c r="E75" s="60">
        <v>67.0</v>
      </c>
      <c r="F75" s="60">
        <v>67.0</v>
      </c>
      <c r="G75" s="60">
        <v>67.0</v>
      </c>
      <c r="H75" s="60">
        <v>67.0</v>
      </c>
      <c r="I75" s="60">
        <v>67.0</v>
      </c>
      <c r="J75" s="60">
        <v>67.0</v>
      </c>
      <c r="K75" s="60">
        <v>67.0</v>
      </c>
      <c r="L75" s="60">
        <v>67.0</v>
      </c>
      <c r="M75" s="60">
        <v>67.0</v>
      </c>
      <c r="N75" s="60">
        <v>67.0</v>
      </c>
      <c r="O75" s="60">
        <v>67.0</v>
      </c>
      <c r="P75" s="60">
        <v>67.0</v>
      </c>
      <c r="Q75" s="60">
        <v>67.0</v>
      </c>
      <c r="R75" s="60">
        <v>67.0</v>
      </c>
      <c r="S75" s="60">
        <v>67.0</v>
      </c>
      <c r="T75" s="60">
        <v>67.0</v>
      </c>
      <c r="U75" s="60">
        <v>67.0</v>
      </c>
      <c r="V75" s="60">
        <v>67.0</v>
      </c>
      <c r="W75" s="60">
        <v>67.0</v>
      </c>
      <c r="X75" s="60">
        <v>67.0</v>
      </c>
      <c r="Y75" s="60">
        <v>67.0</v>
      </c>
      <c r="Z75" s="60">
        <v>67.0</v>
      </c>
      <c r="AA75" s="60">
        <v>67.0</v>
      </c>
      <c r="AB75" s="60">
        <v>67.0</v>
      </c>
      <c r="AC75" s="60">
        <v>67.0</v>
      </c>
      <c r="AD75" s="60">
        <v>67.0</v>
      </c>
      <c r="AE75" s="60">
        <v>67.0</v>
      </c>
      <c r="AF75" s="60">
        <v>67.0</v>
      </c>
      <c r="AG75" s="60">
        <v>67.0</v>
      </c>
      <c r="AH75" s="60">
        <v>67.0</v>
      </c>
      <c r="AI75" s="60">
        <v>67.0</v>
      </c>
      <c r="AJ75" s="60">
        <v>67.0</v>
      </c>
      <c r="AK75" s="60">
        <v>67.0</v>
      </c>
      <c r="AL75" s="60">
        <v>67.0</v>
      </c>
      <c r="AM75" s="60">
        <v>67.0</v>
      </c>
      <c r="AN75" s="60">
        <v>67.0</v>
      </c>
      <c r="AO75" s="60">
        <v>67.0</v>
      </c>
      <c r="AP75" s="60">
        <v>67.0</v>
      </c>
      <c r="AQ75" s="60">
        <v>67.0</v>
      </c>
      <c r="AR75" s="60">
        <v>67.0</v>
      </c>
      <c r="AS75" s="60">
        <v>67.0</v>
      </c>
      <c r="AT75" s="60">
        <v>67.0</v>
      </c>
      <c r="AU75" s="60">
        <v>67.0</v>
      </c>
      <c r="AV75" s="60">
        <v>67.0</v>
      </c>
      <c r="AW75" s="60">
        <v>67.0</v>
      </c>
      <c r="AX75" s="60">
        <v>67.0</v>
      </c>
      <c r="AY75" s="60">
        <v>67.0</v>
      </c>
      <c r="AZ75" s="60">
        <v>67.0</v>
      </c>
      <c r="BA75" s="34"/>
      <c r="BB75" s="34"/>
      <c r="BC75" s="34"/>
      <c r="BD75" s="34"/>
      <c r="BE75" s="61"/>
    </row>
    <row r="76">
      <c r="A76" s="55"/>
      <c r="B76" s="55"/>
      <c r="C76" s="62" t="s">
        <v>193</v>
      </c>
      <c r="D76" s="63">
        <f t="shared" ref="D76:AZ76" si="12">SUM(D74/D75)*100</f>
        <v>86.56716418</v>
      </c>
      <c r="E76" s="63">
        <f t="shared" si="12"/>
        <v>64.17910448</v>
      </c>
      <c r="F76" s="63">
        <f t="shared" si="12"/>
        <v>70.14925373</v>
      </c>
      <c r="G76" s="63">
        <f t="shared" si="12"/>
        <v>100</v>
      </c>
      <c r="H76" s="63">
        <f t="shared" si="12"/>
        <v>88.05970149</v>
      </c>
      <c r="I76" s="63">
        <f t="shared" si="12"/>
        <v>88.05970149</v>
      </c>
      <c r="J76" s="63">
        <f t="shared" si="12"/>
        <v>89.55223881</v>
      </c>
      <c r="K76" s="63">
        <f t="shared" si="12"/>
        <v>83.58208955</v>
      </c>
      <c r="L76" s="63">
        <f t="shared" si="12"/>
        <v>85.07462687</v>
      </c>
      <c r="M76" s="63">
        <f t="shared" si="12"/>
        <v>85.07462687</v>
      </c>
      <c r="N76" s="63">
        <f t="shared" si="12"/>
        <v>83.58208955</v>
      </c>
      <c r="O76" s="63">
        <f t="shared" si="12"/>
        <v>80.59701493</v>
      </c>
      <c r="P76" s="63">
        <f t="shared" si="12"/>
        <v>85.07462687</v>
      </c>
      <c r="Q76" s="63">
        <f t="shared" si="12"/>
        <v>79.10447761</v>
      </c>
      <c r="R76" s="63">
        <f t="shared" si="12"/>
        <v>0</v>
      </c>
      <c r="S76" s="63">
        <f t="shared" si="12"/>
        <v>0</v>
      </c>
      <c r="T76" s="63">
        <f t="shared" si="12"/>
        <v>0</v>
      </c>
      <c r="U76" s="63">
        <f t="shared" si="12"/>
        <v>0</v>
      </c>
      <c r="V76" s="63">
        <f t="shared" si="12"/>
        <v>0</v>
      </c>
      <c r="W76" s="63">
        <f t="shared" si="12"/>
        <v>0</v>
      </c>
      <c r="X76" s="63">
        <f t="shared" si="12"/>
        <v>0</v>
      </c>
      <c r="Y76" s="63">
        <f t="shared" si="12"/>
        <v>0</v>
      </c>
      <c r="Z76" s="63">
        <f t="shared" si="12"/>
        <v>0</v>
      </c>
      <c r="AA76" s="63">
        <f t="shared" si="12"/>
        <v>0</v>
      </c>
      <c r="AB76" s="63">
        <f t="shared" si="12"/>
        <v>0</v>
      </c>
      <c r="AC76" s="63">
        <f t="shared" si="12"/>
        <v>0</v>
      </c>
      <c r="AD76" s="63">
        <f t="shared" si="12"/>
        <v>0</v>
      </c>
      <c r="AE76" s="63">
        <f t="shared" si="12"/>
        <v>0</v>
      </c>
      <c r="AF76" s="63">
        <f t="shared" si="12"/>
        <v>0</v>
      </c>
      <c r="AG76" s="63">
        <f t="shared" si="12"/>
        <v>0</v>
      </c>
      <c r="AH76" s="63">
        <f t="shared" si="12"/>
        <v>0</v>
      </c>
      <c r="AI76" s="63">
        <f t="shared" si="12"/>
        <v>0</v>
      </c>
      <c r="AJ76" s="63">
        <f t="shared" si="12"/>
        <v>0</v>
      </c>
      <c r="AK76" s="63">
        <f t="shared" si="12"/>
        <v>0</v>
      </c>
      <c r="AL76" s="63">
        <f t="shared" si="12"/>
        <v>0</v>
      </c>
      <c r="AM76" s="63">
        <f t="shared" si="12"/>
        <v>0</v>
      </c>
      <c r="AN76" s="63">
        <f t="shared" si="12"/>
        <v>0</v>
      </c>
      <c r="AO76" s="63">
        <f t="shared" si="12"/>
        <v>0</v>
      </c>
      <c r="AP76" s="63">
        <f t="shared" si="12"/>
        <v>0</v>
      </c>
      <c r="AQ76" s="63">
        <f t="shared" si="12"/>
        <v>0</v>
      </c>
      <c r="AR76" s="63">
        <f t="shared" si="12"/>
        <v>0</v>
      </c>
      <c r="AS76" s="63">
        <f t="shared" si="12"/>
        <v>0</v>
      </c>
      <c r="AT76" s="63">
        <f t="shared" si="12"/>
        <v>0</v>
      </c>
      <c r="AU76" s="63">
        <f t="shared" si="12"/>
        <v>0</v>
      </c>
      <c r="AV76" s="63">
        <f t="shared" si="12"/>
        <v>0</v>
      </c>
      <c r="AW76" s="63">
        <f t="shared" si="12"/>
        <v>0</v>
      </c>
      <c r="AX76" s="63">
        <f t="shared" si="12"/>
        <v>0</v>
      </c>
      <c r="AY76" s="63">
        <f t="shared" si="12"/>
        <v>0</v>
      </c>
      <c r="AZ76" s="63">
        <f t="shared" si="12"/>
        <v>0</v>
      </c>
      <c r="BA76" s="34"/>
      <c r="BB76" s="34"/>
      <c r="BC76" s="34"/>
      <c r="BD76" s="34"/>
      <c r="BE76" s="61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</row>
    <row r="81">
      <c r="A81" s="1" t="s">
        <v>394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3"/>
    </row>
    <row r="82">
      <c r="A82" s="4" t="s">
        <v>1</v>
      </c>
      <c r="B82" s="5" t="s">
        <v>2</v>
      </c>
      <c r="C82" s="6" t="s">
        <v>3</v>
      </c>
      <c r="D82" s="7" t="s">
        <v>370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3"/>
    </row>
    <row r="83" ht="62.25" customHeight="1">
      <c r="A83" s="8"/>
      <c r="B83" s="8"/>
      <c r="C83" s="8"/>
      <c r="D83" s="77" t="s">
        <v>371</v>
      </c>
      <c r="E83" s="65" t="s">
        <v>372</v>
      </c>
      <c r="F83" s="77" t="s">
        <v>373</v>
      </c>
      <c r="G83" s="65" t="s">
        <v>374</v>
      </c>
      <c r="H83" s="65" t="s">
        <v>375</v>
      </c>
      <c r="I83" s="65" t="s">
        <v>375</v>
      </c>
      <c r="J83" s="65" t="s">
        <v>375</v>
      </c>
      <c r="K83" s="65" t="s">
        <v>375</v>
      </c>
      <c r="L83" s="65" t="s">
        <v>375</v>
      </c>
      <c r="M83" s="65" t="s">
        <v>375</v>
      </c>
      <c r="N83" s="65" t="s">
        <v>375</v>
      </c>
      <c r="O83" s="65" t="s">
        <v>375</v>
      </c>
      <c r="P83" s="10" t="s">
        <v>376</v>
      </c>
      <c r="Q83" s="10" t="s">
        <v>376</v>
      </c>
      <c r="R83" s="67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9"/>
      <c r="AY83" s="69"/>
      <c r="AZ83" s="68"/>
      <c r="BA83" s="18" t="s">
        <v>21</v>
      </c>
      <c r="BB83" s="19" t="s">
        <v>22</v>
      </c>
      <c r="BC83" s="20" t="s">
        <v>23</v>
      </c>
      <c r="BD83" s="21" t="s">
        <v>24</v>
      </c>
      <c r="BE83" s="22" t="s">
        <v>25</v>
      </c>
    </row>
    <row r="84" ht="57.75" customHeight="1">
      <c r="A84" s="15"/>
      <c r="B84" s="15"/>
      <c r="C84" s="15"/>
      <c r="D84" s="65" t="s">
        <v>395</v>
      </c>
      <c r="E84" s="65" t="s">
        <v>396</v>
      </c>
      <c r="F84" s="66" t="s">
        <v>379</v>
      </c>
      <c r="G84" s="78" t="s">
        <v>380</v>
      </c>
      <c r="H84" s="66" t="s">
        <v>397</v>
      </c>
      <c r="I84" s="66" t="s">
        <v>398</v>
      </c>
      <c r="J84" s="66" t="s">
        <v>399</v>
      </c>
      <c r="K84" s="66" t="s">
        <v>400</v>
      </c>
      <c r="L84" s="66" t="s">
        <v>401</v>
      </c>
      <c r="M84" s="66" t="s">
        <v>402</v>
      </c>
      <c r="N84" s="66" t="s">
        <v>403</v>
      </c>
      <c r="O84" s="66" t="s">
        <v>404</v>
      </c>
      <c r="P84" s="66" t="s">
        <v>405</v>
      </c>
      <c r="Q84" s="84" t="s">
        <v>406</v>
      </c>
      <c r="R84" s="70"/>
      <c r="S84" s="69"/>
      <c r="T84" s="69"/>
      <c r="U84" s="69"/>
      <c r="V84" s="69"/>
      <c r="W84" s="69"/>
      <c r="X84" s="69"/>
      <c r="Y84" s="69"/>
      <c r="Z84" s="69"/>
      <c r="AA84" s="68"/>
      <c r="AB84" s="68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8"/>
      <c r="BA84" s="32">
        <f t="shared" ref="BA84:BA157" si="13">COUNTIF(D84:AZ84,"L")</f>
        <v>0</v>
      </c>
      <c r="BB84" s="32">
        <f t="shared" ref="BB84:BB157" si="14">COUNTIF(D84:AZ84,"A")</f>
        <v>0</v>
      </c>
      <c r="BC84" s="32">
        <f t="shared" ref="BC84:BC157" si="15">COUNTIF(D84:AZ84,"p")</f>
        <v>0</v>
      </c>
      <c r="BD84" s="32">
        <f t="shared" ref="BD84:BD157" si="16">SUM(BA84:BC84)</f>
        <v>0</v>
      </c>
      <c r="BE84" s="33" t="str">
        <f t="shared" ref="BE84:BE157" si="17">SUM(BA84,BC84)/BD84*100</f>
        <v>#DIV/0!</v>
      </c>
    </row>
    <row r="85">
      <c r="A85" s="24">
        <v>1.0</v>
      </c>
      <c r="B85" s="24" t="s">
        <v>207</v>
      </c>
      <c r="C85" s="25" t="s">
        <v>208</v>
      </c>
      <c r="D85" s="26" t="s">
        <v>28</v>
      </c>
      <c r="E85" s="26" t="s">
        <v>28</v>
      </c>
      <c r="F85" s="26" t="s">
        <v>28</v>
      </c>
      <c r="G85" s="26" t="s">
        <v>28</v>
      </c>
      <c r="H85" s="27" t="s">
        <v>22</v>
      </c>
      <c r="I85" s="26" t="s">
        <v>28</v>
      </c>
      <c r="J85" s="26" t="s">
        <v>28</v>
      </c>
      <c r="K85" s="26" t="s">
        <v>28</v>
      </c>
      <c r="L85" s="26" t="s">
        <v>28</v>
      </c>
      <c r="M85" s="26" t="s">
        <v>28</v>
      </c>
      <c r="N85" s="26" t="s">
        <v>28</v>
      </c>
      <c r="O85" s="26" t="s">
        <v>28</v>
      </c>
      <c r="P85" s="26" t="s">
        <v>28</v>
      </c>
      <c r="Q85" s="26" t="s">
        <v>28</v>
      </c>
      <c r="R85" s="43"/>
      <c r="S85" s="44"/>
      <c r="T85" s="45"/>
      <c r="U85" s="45"/>
      <c r="V85" s="45"/>
      <c r="W85" s="45"/>
      <c r="X85" s="45"/>
      <c r="Y85" s="45"/>
      <c r="Z85" s="45"/>
      <c r="AA85" s="45"/>
      <c r="AB85" s="71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32">
        <f t="shared" si="13"/>
        <v>0</v>
      </c>
      <c r="BB85" s="32">
        <f t="shared" si="14"/>
        <v>1</v>
      </c>
      <c r="BC85" s="32">
        <f t="shared" si="15"/>
        <v>13</v>
      </c>
      <c r="BD85" s="32">
        <f t="shared" si="16"/>
        <v>14</v>
      </c>
      <c r="BE85" s="33">
        <f t="shared" si="17"/>
        <v>92.85714286</v>
      </c>
    </row>
    <row r="86">
      <c r="A86" s="24">
        <v>2.0</v>
      </c>
      <c r="B86" s="24" t="s">
        <v>209</v>
      </c>
      <c r="C86" s="25" t="s">
        <v>210</v>
      </c>
      <c r="D86" s="26" t="s">
        <v>28</v>
      </c>
      <c r="E86" s="27" t="s">
        <v>22</v>
      </c>
      <c r="F86" s="26" t="s">
        <v>28</v>
      </c>
      <c r="G86" s="26" t="s">
        <v>28</v>
      </c>
      <c r="H86" s="26" t="s">
        <v>28</v>
      </c>
      <c r="I86" s="26" t="s">
        <v>28</v>
      </c>
      <c r="J86" s="26" t="s">
        <v>28</v>
      </c>
      <c r="K86" s="26" t="s">
        <v>28</v>
      </c>
      <c r="L86" s="26" t="s">
        <v>28</v>
      </c>
      <c r="M86" s="26" t="s">
        <v>28</v>
      </c>
      <c r="N86" s="26" t="s">
        <v>28</v>
      </c>
      <c r="O86" s="26" t="s">
        <v>28</v>
      </c>
      <c r="P86" s="27" t="s">
        <v>22</v>
      </c>
      <c r="Q86" s="26" t="s">
        <v>28</v>
      </c>
      <c r="R86" s="43"/>
      <c r="S86" s="44"/>
      <c r="T86" s="45"/>
      <c r="U86" s="45"/>
      <c r="V86" s="45"/>
      <c r="W86" s="45"/>
      <c r="X86" s="45"/>
      <c r="Y86" s="45"/>
      <c r="Z86" s="45"/>
      <c r="AA86" s="45"/>
      <c r="AB86" s="46"/>
      <c r="AC86" s="46"/>
      <c r="AD86" s="46"/>
      <c r="AE86" s="55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32">
        <f t="shared" si="13"/>
        <v>0</v>
      </c>
      <c r="BB86" s="32">
        <f t="shared" si="14"/>
        <v>2</v>
      </c>
      <c r="BC86" s="32">
        <f t="shared" si="15"/>
        <v>12</v>
      </c>
      <c r="BD86" s="32">
        <f t="shared" si="16"/>
        <v>14</v>
      </c>
      <c r="BE86" s="33">
        <f t="shared" si="17"/>
        <v>85.71428571</v>
      </c>
    </row>
    <row r="87">
      <c r="A87" s="24">
        <v>3.0</v>
      </c>
      <c r="B87" s="24" t="s">
        <v>211</v>
      </c>
      <c r="C87" s="25" t="s">
        <v>212</v>
      </c>
      <c r="D87" s="27" t="s">
        <v>22</v>
      </c>
      <c r="E87" s="27" t="s">
        <v>22</v>
      </c>
      <c r="F87" s="27" t="s">
        <v>22</v>
      </c>
      <c r="G87" s="26" t="s">
        <v>28</v>
      </c>
      <c r="H87" s="26" t="s">
        <v>28</v>
      </c>
      <c r="I87" s="26" t="s">
        <v>28</v>
      </c>
      <c r="J87" s="26" t="s">
        <v>28</v>
      </c>
      <c r="K87" s="26" t="s">
        <v>28</v>
      </c>
      <c r="L87" s="26" t="s">
        <v>28</v>
      </c>
      <c r="M87" s="26" t="s">
        <v>28</v>
      </c>
      <c r="N87" s="26" t="s">
        <v>28</v>
      </c>
      <c r="O87" s="26" t="s">
        <v>28</v>
      </c>
      <c r="P87" s="26" t="s">
        <v>28</v>
      </c>
      <c r="Q87" s="26" t="s">
        <v>28</v>
      </c>
      <c r="R87" s="30"/>
      <c r="S87" s="30"/>
      <c r="T87" s="28"/>
      <c r="U87" s="29"/>
      <c r="V87" s="29"/>
      <c r="W87" s="29"/>
      <c r="X87" s="29"/>
      <c r="Y87" s="29"/>
      <c r="Z87" s="29"/>
      <c r="AA87" s="29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2">
        <f t="shared" si="13"/>
        <v>0</v>
      </c>
      <c r="BB87" s="32">
        <f t="shared" si="14"/>
        <v>3</v>
      </c>
      <c r="BC87" s="32">
        <f t="shared" si="15"/>
        <v>11</v>
      </c>
      <c r="BD87" s="32">
        <f t="shared" si="16"/>
        <v>14</v>
      </c>
      <c r="BE87" s="33">
        <f t="shared" si="17"/>
        <v>78.57142857</v>
      </c>
    </row>
    <row r="88">
      <c r="A88" s="24">
        <v>4.0</v>
      </c>
      <c r="B88" s="24" t="s">
        <v>213</v>
      </c>
      <c r="C88" s="25" t="s">
        <v>214</v>
      </c>
      <c r="D88" s="27" t="s">
        <v>22</v>
      </c>
      <c r="E88" s="27" t="s">
        <v>22</v>
      </c>
      <c r="F88" s="27" t="s">
        <v>22</v>
      </c>
      <c r="G88" s="26" t="s">
        <v>28</v>
      </c>
      <c r="H88" s="26" t="s">
        <v>28</v>
      </c>
      <c r="I88" s="26" t="s">
        <v>28</v>
      </c>
      <c r="J88" s="26" t="s">
        <v>28</v>
      </c>
      <c r="K88" s="26" t="s">
        <v>28</v>
      </c>
      <c r="L88" s="26" t="s">
        <v>28</v>
      </c>
      <c r="M88" s="26" t="s">
        <v>28</v>
      </c>
      <c r="N88" s="26" t="s">
        <v>28</v>
      </c>
      <c r="O88" s="26" t="s">
        <v>28</v>
      </c>
      <c r="P88" s="26" t="s">
        <v>28</v>
      </c>
      <c r="Q88" s="26" t="s">
        <v>28</v>
      </c>
      <c r="R88" s="28"/>
      <c r="S88" s="28"/>
      <c r="T88" s="30"/>
      <c r="U88" s="29"/>
      <c r="V88" s="29"/>
      <c r="W88" s="29"/>
      <c r="X88" s="29"/>
      <c r="Y88" s="29"/>
      <c r="Z88" s="29"/>
      <c r="AA88" s="29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2">
        <f t="shared" si="13"/>
        <v>0</v>
      </c>
      <c r="BB88" s="32">
        <f t="shared" si="14"/>
        <v>3</v>
      </c>
      <c r="BC88" s="32">
        <f t="shared" si="15"/>
        <v>11</v>
      </c>
      <c r="BD88" s="32">
        <f t="shared" si="16"/>
        <v>14</v>
      </c>
      <c r="BE88" s="33">
        <f t="shared" si="17"/>
        <v>78.57142857</v>
      </c>
    </row>
    <row r="89">
      <c r="A89" s="24">
        <v>5.0</v>
      </c>
      <c r="B89" s="24" t="s">
        <v>215</v>
      </c>
      <c r="C89" s="25" t="s">
        <v>216</v>
      </c>
      <c r="D89" s="26" t="s">
        <v>28</v>
      </c>
      <c r="E89" s="27" t="s">
        <v>22</v>
      </c>
      <c r="F89" s="26" t="s">
        <v>28</v>
      </c>
      <c r="G89" s="26" t="s">
        <v>28</v>
      </c>
      <c r="H89" s="26" t="s">
        <v>28</v>
      </c>
      <c r="I89" s="27" t="s">
        <v>22</v>
      </c>
      <c r="J89" s="26" t="s">
        <v>28</v>
      </c>
      <c r="K89" s="26" t="s">
        <v>28</v>
      </c>
      <c r="L89" s="26" t="s">
        <v>28</v>
      </c>
      <c r="M89" s="26" t="s">
        <v>28</v>
      </c>
      <c r="N89" s="26" t="s">
        <v>28</v>
      </c>
      <c r="O89" s="26" t="s">
        <v>28</v>
      </c>
      <c r="P89" s="26" t="s">
        <v>28</v>
      </c>
      <c r="Q89" s="27" t="s">
        <v>22</v>
      </c>
      <c r="R89" s="43"/>
      <c r="S89" s="44"/>
      <c r="T89" s="45"/>
      <c r="U89" s="45"/>
      <c r="V89" s="45"/>
      <c r="W89" s="45"/>
      <c r="X89" s="45"/>
      <c r="Y89" s="45"/>
      <c r="Z89" s="45"/>
      <c r="AA89" s="45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32">
        <f t="shared" si="13"/>
        <v>0</v>
      </c>
      <c r="BB89" s="32">
        <f t="shared" si="14"/>
        <v>3</v>
      </c>
      <c r="BC89" s="32">
        <f t="shared" si="15"/>
        <v>11</v>
      </c>
      <c r="BD89" s="32">
        <f t="shared" si="16"/>
        <v>14</v>
      </c>
      <c r="BE89" s="33">
        <f t="shared" si="17"/>
        <v>78.57142857</v>
      </c>
    </row>
    <row r="90">
      <c r="A90" s="24">
        <v>6.0</v>
      </c>
      <c r="B90" s="24" t="s">
        <v>217</v>
      </c>
      <c r="C90" s="25" t="s">
        <v>218</v>
      </c>
      <c r="D90" s="26" t="s">
        <v>28</v>
      </c>
      <c r="E90" s="26" t="s">
        <v>28</v>
      </c>
      <c r="F90" s="27" t="s">
        <v>22</v>
      </c>
      <c r="G90" s="26" t="s">
        <v>28</v>
      </c>
      <c r="H90" s="26" t="s">
        <v>28</v>
      </c>
      <c r="I90" s="26" t="s">
        <v>28</v>
      </c>
      <c r="J90" s="26" t="s">
        <v>28</v>
      </c>
      <c r="K90" s="26" t="s">
        <v>28</v>
      </c>
      <c r="L90" s="27" t="s">
        <v>22</v>
      </c>
      <c r="M90" s="26" t="s">
        <v>28</v>
      </c>
      <c r="N90" s="26" t="s">
        <v>28</v>
      </c>
      <c r="O90" s="26" t="s">
        <v>28</v>
      </c>
      <c r="P90" s="26" t="s">
        <v>28</v>
      </c>
      <c r="Q90" s="26" t="s">
        <v>28</v>
      </c>
      <c r="R90" s="43"/>
      <c r="S90" s="44"/>
      <c r="T90" s="45"/>
      <c r="U90" s="45"/>
      <c r="V90" s="45"/>
      <c r="W90" s="45"/>
      <c r="X90" s="45"/>
      <c r="Y90" s="45"/>
      <c r="Z90" s="45"/>
      <c r="AA90" s="45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32">
        <f t="shared" si="13"/>
        <v>0</v>
      </c>
      <c r="BB90" s="32">
        <f t="shared" si="14"/>
        <v>2</v>
      </c>
      <c r="BC90" s="32">
        <f t="shared" si="15"/>
        <v>12</v>
      </c>
      <c r="BD90" s="32">
        <f t="shared" si="16"/>
        <v>14</v>
      </c>
      <c r="BE90" s="33">
        <f t="shared" si="17"/>
        <v>85.71428571</v>
      </c>
    </row>
    <row r="91">
      <c r="A91" s="24">
        <v>7.0</v>
      </c>
      <c r="B91" s="47" t="s">
        <v>219</v>
      </c>
      <c r="C91" s="85" t="s">
        <v>220</v>
      </c>
      <c r="D91" s="26" t="s">
        <v>28</v>
      </c>
      <c r="E91" s="26" t="s">
        <v>28</v>
      </c>
      <c r="F91" s="27" t="s">
        <v>22</v>
      </c>
      <c r="G91" s="26" t="s">
        <v>28</v>
      </c>
      <c r="H91" s="26" t="s">
        <v>28</v>
      </c>
      <c r="I91" s="26" t="s">
        <v>28</v>
      </c>
      <c r="J91" s="27" t="s">
        <v>22</v>
      </c>
      <c r="K91" s="27" t="s">
        <v>22</v>
      </c>
      <c r="L91" s="26" t="s">
        <v>28</v>
      </c>
      <c r="M91" s="26" t="s">
        <v>28</v>
      </c>
      <c r="N91" s="27" t="s">
        <v>22</v>
      </c>
      <c r="O91" s="26" t="s">
        <v>28</v>
      </c>
      <c r="P91" s="27" t="s">
        <v>22</v>
      </c>
      <c r="Q91" s="27" t="s">
        <v>22</v>
      </c>
      <c r="R91" s="43"/>
      <c r="S91" s="44"/>
      <c r="T91" s="45"/>
      <c r="U91" s="45"/>
      <c r="V91" s="45"/>
      <c r="W91" s="45"/>
      <c r="X91" s="45"/>
      <c r="Y91" s="45"/>
      <c r="Z91" s="45"/>
      <c r="AA91" s="45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32">
        <f t="shared" si="13"/>
        <v>0</v>
      </c>
      <c r="BB91" s="32">
        <f t="shared" si="14"/>
        <v>6</v>
      </c>
      <c r="BC91" s="32">
        <f t="shared" si="15"/>
        <v>8</v>
      </c>
      <c r="BD91" s="32">
        <f t="shared" si="16"/>
        <v>14</v>
      </c>
      <c r="BE91" s="33">
        <f t="shared" si="17"/>
        <v>57.14285714</v>
      </c>
    </row>
    <row r="92">
      <c r="A92" s="24">
        <v>8.0</v>
      </c>
      <c r="B92" s="24" t="s">
        <v>221</v>
      </c>
      <c r="C92" s="25" t="s">
        <v>222</v>
      </c>
      <c r="D92" s="26" t="s">
        <v>28</v>
      </c>
      <c r="E92" s="26" t="s">
        <v>28</v>
      </c>
      <c r="F92" s="26" t="s">
        <v>28</v>
      </c>
      <c r="G92" s="26" t="s">
        <v>28</v>
      </c>
      <c r="H92" s="26" t="s">
        <v>28</v>
      </c>
      <c r="I92" s="26" t="s">
        <v>28</v>
      </c>
      <c r="J92" s="26" t="s">
        <v>28</v>
      </c>
      <c r="K92" s="26" t="s">
        <v>28</v>
      </c>
      <c r="L92" s="26" t="s">
        <v>28</v>
      </c>
      <c r="M92" s="26" t="s">
        <v>28</v>
      </c>
      <c r="N92" s="26" t="s">
        <v>28</v>
      </c>
      <c r="O92" s="26" t="s">
        <v>28</v>
      </c>
      <c r="P92" s="26" t="s">
        <v>28</v>
      </c>
      <c r="Q92" s="26" t="s">
        <v>28</v>
      </c>
      <c r="R92" s="43"/>
      <c r="S92" s="44"/>
      <c r="T92" s="45"/>
      <c r="U92" s="45"/>
      <c r="V92" s="45"/>
      <c r="W92" s="45"/>
      <c r="X92" s="45"/>
      <c r="Y92" s="45"/>
      <c r="Z92" s="45"/>
      <c r="AA92" s="45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32">
        <f t="shared" si="13"/>
        <v>0</v>
      </c>
      <c r="BB92" s="32">
        <f t="shared" si="14"/>
        <v>0</v>
      </c>
      <c r="BC92" s="32">
        <f t="shared" si="15"/>
        <v>14</v>
      </c>
      <c r="BD92" s="32">
        <f t="shared" si="16"/>
        <v>14</v>
      </c>
      <c r="BE92" s="33">
        <f t="shared" si="17"/>
        <v>100</v>
      </c>
    </row>
    <row r="93">
      <c r="A93" s="24">
        <v>9.0</v>
      </c>
      <c r="B93" s="24" t="s">
        <v>223</v>
      </c>
      <c r="C93" s="25" t="s">
        <v>224</v>
      </c>
      <c r="D93" s="26" t="s">
        <v>28</v>
      </c>
      <c r="E93" s="26" t="s">
        <v>28</v>
      </c>
      <c r="F93" s="27" t="s">
        <v>22</v>
      </c>
      <c r="G93" s="26" t="s">
        <v>28</v>
      </c>
      <c r="H93" s="26" t="s">
        <v>28</v>
      </c>
      <c r="I93" s="26" t="s">
        <v>28</v>
      </c>
      <c r="J93" s="26" t="s">
        <v>28</v>
      </c>
      <c r="K93" s="26" t="s">
        <v>28</v>
      </c>
      <c r="L93" s="26" t="s">
        <v>28</v>
      </c>
      <c r="M93" s="26" t="s">
        <v>28</v>
      </c>
      <c r="N93" s="26" t="s">
        <v>28</v>
      </c>
      <c r="O93" s="26" t="s">
        <v>28</v>
      </c>
      <c r="P93" s="26" t="s">
        <v>28</v>
      </c>
      <c r="Q93" s="26" t="s">
        <v>28</v>
      </c>
      <c r="R93" s="43"/>
      <c r="S93" s="44"/>
      <c r="T93" s="45"/>
      <c r="U93" s="45"/>
      <c r="V93" s="45"/>
      <c r="W93" s="45"/>
      <c r="X93" s="45"/>
      <c r="Y93" s="45"/>
      <c r="Z93" s="45"/>
      <c r="AA93" s="45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32">
        <f t="shared" si="13"/>
        <v>0</v>
      </c>
      <c r="BB93" s="32">
        <f t="shared" si="14"/>
        <v>1</v>
      </c>
      <c r="BC93" s="32">
        <f t="shared" si="15"/>
        <v>13</v>
      </c>
      <c r="BD93" s="32">
        <f t="shared" si="16"/>
        <v>14</v>
      </c>
      <c r="BE93" s="33">
        <f t="shared" si="17"/>
        <v>92.85714286</v>
      </c>
    </row>
    <row r="94">
      <c r="A94" s="24">
        <v>10.0</v>
      </c>
      <c r="B94" s="24" t="s">
        <v>225</v>
      </c>
      <c r="C94" s="25" t="s">
        <v>226</v>
      </c>
      <c r="D94" s="26" t="s">
        <v>28</v>
      </c>
      <c r="E94" s="26" t="s">
        <v>28</v>
      </c>
      <c r="F94" s="26" t="s">
        <v>28</v>
      </c>
      <c r="G94" s="26" t="s">
        <v>28</v>
      </c>
      <c r="H94" s="26" t="s">
        <v>28</v>
      </c>
      <c r="I94" s="26" t="s">
        <v>28</v>
      </c>
      <c r="J94" s="26" t="s">
        <v>28</v>
      </c>
      <c r="K94" s="26" t="s">
        <v>28</v>
      </c>
      <c r="L94" s="26" t="s">
        <v>28</v>
      </c>
      <c r="M94" s="26" t="s">
        <v>28</v>
      </c>
      <c r="N94" s="26" t="s">
        <v>28</v>
      </c>
      <c r="O94" s="26" t="s">
        <v>28</v>
      </c>
      <c r="P94" s="26" t="s">
        <v>28</v>
      </c>
      <c r="Q94" s="26" t="s">
        <v>28</v>
      </c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32">
        <f t="shared" si="13"/>
        <v>0</v>
      </c>
      <c r="BB94" s="32">
        <f t="shared" si="14"/>
        <v>0</v>
      </c>
      <c r="BC94" s="32">
        <f t="shared" si="15"/>
        <v>14</v>
      </c>
      <c r="BD94" s="32">
        <f t="shared" si="16"/>
        <v>14</v>
      </c>
      <c r="BE94" s="33">
        <f t="shared" si="17"/>
        <v>100</v>
      </c>
    </row>
    <row r="95">
      <c r="A95" s="24">
        <v>11.0</v>
      </c>
      <c r="B95" s="24" t="s">
        <v>227</v>
      </c>
      <c r="C95" s="25" t="s">
        <v>228</v>
      </c>
      <c r="D95" s="26" t="s">
        <v>28</v>
      </c>
      <c r="E95" s="26" t="s">
        <v>28</v>
      </c>
      <c r="F95" s="26" t="s">
        <v>28</v>
      </c>
      <c r="G95" s="26" t="s">
        <v>28</v>
      </c>
      <c r="H95" s="26" t="s">
        <v>28</v>
      </c>
      <c r="I95" s="26" t="s">
        <v>28</v>
      </c>
      <c r="J95" s="26" t="s">
        <v>28</v>
      </c>
      <c r="K95" s="26" t="s">
        <v>28</v>
      </c>
      <c r="L95" s="26" t="s">
        <v>28</v>
      </c>
      <c r="M95" s="26" t="s">
        <v>28</v>
      </c>
      <c r="N95" s="26" t="s">
        <v>28</v>
      </c>
      <c r="O95" s="26" t="s">
        <v>28</v>
      </c>
      <c r="P95" s="26" t="s">
        <v>28</v>
      </c>
      <c r="Q95" s="26" t="s">
        <v>28</v>
      </c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32">
        <f t="shared" si="13"/>
        <v>0</v>
      </c>
      <c r="BB95" s="32">
        <f t="shared" si="14"/>
        <v>0</v>
      </c>
      <c r="BC95" s="32">
        <f t="shared" si="15"/>
        <v>14</v>
      </c>
      <c r="BD95" s="32">
        <f t="shared" si="16"/>
        <v>14</v>
      </c>
      <c r="BE95" s="33">
        <f t="shared" si="17"/>
        <v>100</v>
      </c>
    </row>
    <row r="96">
      <c r="A96" s="24">
        <v>12.0</v>
      </c>
      <c r="B96" s="24" t="s">
        <v>229</v>
      </c>
      <c r="C96" s="25" t="s">
        <v>230</v>
      </c>
      <c r="D96" s="26" t="s">
        <v>28</v>
      </c>
      <c r="E96" s="27" t="s">
        <v>22</v>
      </c>
      <c r="F96" s="26" t="s">
        <v>28</v>
      </c>
      <c r="G96" s="26" t="s">
        <v>28</v>
      </c>
      <c r="H96" s="26" t="s">
        <v>28</v>
      </c>
      <c r="I96" s="26" t="s">
        <v>28</v>
      </c>
      <c r="J96" s="26" t="s">
        <v>28</v>
      </c>
      <c r="K96" s="26" t="s">
        <v>28</v>
      </c>
      <c r="L96" s="26" t="s">
        <v>28</v>
      </c>
      <c r="M96" s="26" t="s">
        <v>28</v>
      </c>
      <c r="N96" s="27" t="s">
        <v>22</v>
      </c>
      <c r="O96" s="27" t="s">
        <v>22</v>
      </c>
      <c r="P96" s="27" t="s">
        <v>22</v>
      </c>
      <c r="Q96" s="26" t="s">
        <v>28</v>
      </c>
      <c r="R96" s="43"/>
      <c r="S96" s="44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32">
        <f t="shared" si="13"/>
        <v>0</v>
      </c>
      <c r="BB96" s="32">
        <f t="shared" si="14"/>
        <v>4</v>
      </c>
      <c r="BC96" s="32">
        <f t="shared" si="15"/>
        <v>10</v>
      </c>
      <c r="BD96" s="32">
        <f t="shared" si="16"/>
        <v>14</v>
      </c>
      <c r="BE96" s="33">
        <f t="shared" si="17"/>
        <v>71.42857143</v>
      </c>
    </row>
    <row r="97">
      <c r="A97" s="24">
        <v>13.0</v>
      </c>
      <c r="B97" s="24" t="s">
        <v>231</v>
      </c>
      <c r="C97" s="25" t="s">
        <v>232</v>
      </c>
      <c r="D97" s="26" t="s">
        <v>28</v>
      </c>
      <c r="E97" s="26" t="s">
        <v>28</v>
      </c>
      <c r="F97" s="26" t="s">
        <v>28</v>
      </c>
      <c r="G97" s="26" t="s">
        <v>28</v>
      </c>
      <c r="H97" s="26" t="s">
        <v>28</v>
      </c>
      <c r="I97" s="26" t="s">
        <v>28</v>
      </c>
      <c r="J97" s="26" t="s">
        <v>28</v>
      </c>
      <c r="K97" s="26" t="s">
        <v>28</v>
      </c>
      <c r="L97" s="26" t="s">
        <v>28</v>
      </c>
      <c r="M97" s="26" t="s">
        <v>28</v>
      </c>
      <c r="N97" s="26" t="s">
        <v>28</v>
      </c>
      <c r="O97" s="26" t="s">
        <v>28</v>
      </c>
      <c r="P97" s="26" t="s">
        <v>28</v>
      </c>
      <c r="Q97" s="26" t="s">
        <v>28</v>
      </c>
      <c r="R97" s="43"/>
      <c r="S97" s="44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32">
        <f t="shared" si="13"/>
        <v>0</v>
      </c>
      <c r="BB97" s="32">
        <f t="shared" si="14"/>
        <v>0</v>
      </c>
      <c r="BC97" s="32">
        <f t="shared" si="15"/>
        <v>14</v>
      </c>
      <c r="BD97" s="32">
        <f t="shared" si="16"/>
        <v>14</v>
      </c>
      <c r="BE97" s="33">
        <f t="shared" si="17"/>
        <v>100</v>
      </c>
    </row>
    <row r="98">
      <c r="A98" s="24">
        <v>14.0</v>
      </c>
      <c r="B98" s="72" t="s">
        <v>233</v>
      </c>
      <c r="C98" s="73" t="s">
        <v>234</v>
      </c>
      <c r="D98" s="26" t="s">
        <v>28</v>
      </c>
      <c r="E98" s="27" t="s">
        <v>22</v>
      </c>
      <c r="F98" s="27" t="s">
        <v>22</v>
      </c>
      <c r="G98" s="26" t="s">
        <v>28</v>
      </c>
      <c r="H98" s="27" t="s">
        <v>22</v>
      </c>
      <c r="I98" s="26" t="s">
        <v>28</v>
      </c>
      <c r="J98" s="26" t="s">
        <v>28</v>
      </c>
      <c r="K98" s="27" t="s">
        <v>22</v>
      </c>
      <c r="L98" s="26" t="s">
        <v>28</v>
      </c>
      <c r="M98" s="27" t="s">
        <v>22</v>
      </c>
      <c r="N98" s="27" t="s">
        <v>22</v>
      </c>
      <c r="O98" s="27" t="s">
        <v>22</v>
      </c>
      <c r="P98" s="26" t="s">
        <v>28</v>
      </c>
      <c r="Q98" s="27" t="s">
        <v>22</v>
      </c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32">
        <f t="shared" si="13"/>
        <v>0</v>
      </c>
      <c r="BB98" s="32">
        <f t="shared" si="14"/>
        <v>8</v>
      </c>
      <c r="BC98" s="32">
        <f t="shared" si="15"/>
        <v>6</v>
      </c>
      <c r="BD98" s="32">
        <f t="shared" si="16"/>
        <v>14</v>
      </c>
      <c r="BE98" s="33">
        <f t="shared" si="17"/>
        <v>42.85714286</v>
      </c>
    </row>
    <row r="99">
      <c r="A99" s="24">
        <v>15.0</v>
      </c>
      <c r="B99" s="24" t="s">
        <v>235</v>
      </c>
      <c r="C99" s="25" t="s">
        <v>236</v>
      </c>
      <c r="D99" s="26" t="s">
        <v>28</v>
      </c>
      <c r="E99" s="26" t="s">
        <v>28</v>
      </c>
      <c r="F99" s="26" t="s">
        <v>28</v>
      </c>
      <c r="G99" s="26" t="s">
        <v>28</v>
      </c>
      <c r="H99" s="26" t="s">
        <v>28</v>
      </c>
      <c r="I99" s="26" t="s">
        <v>28</v>
      </c>
      <c r="J99" s="26" t="s">
        <v>28</v>
      </c>
      <c r="K99" s="26" t="s">
        <v>28</v>
      </c>
      <c r="L99" s="26" t="s">
        <v>28</v>
      </c>
      <c r="M99" s="26" t="s">
        <v>28</v>
      </c>
      <c r="N99" s="26" t="s">
        <v>28</v>
      </c>
      <c r="O99" s="26" t="s">
        <v>28</v>
      </c>
      <c r="P99" s="26" t="s">
        <v>28</v>
      </c>
      <c r="Q99" s="26" t="s">
        <v>28</v>
      </c>
      <c r="R99" s="43"/>
      <c r="S99" s="44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32">
        <f t="shared" si="13"/>
        <v>0</v>
      </c>
      <c r="BB99" s="32">
        <f t="shared" si="14"/>
        <v>0</v>
      </c>
      <c r="BC99" s="32">
        <f t="shared" si="15"/>
        <v>14</v>
      </c>
      <c r="BD99" s="32">
        <f t="shared" si="16"/>
        <v>14</v>
      </c>
      <c r="BE99" s="33">
        <f t="shared" si="17"/>
        <v>100</v>
      </c>
    </row>
    <row r="100">
      <c r="A100" s="24">
        <v>16.0</v>
      </c>
      <c r="B100" s="24" t="s">
        <v>237</v>
      </c>
      <c r="C100" s="25" t="s">
        <v>238</v>
      </c>
      <c r="D100" s="27" t="s">
        <v>22</v>
      </c>
      <c r="E100" s="26" t="s">
        <v>28</v>
      </c>
      <c r="F100" s="26" t="s">
        <v>28</v>
      </c>
      <c r="G100" s="26" t="s">
        <v>28</v>
      </c>
      <c r="H100" s="26" t="s">
        <v>28</v>
      </c>
      <c r="I100" s="26" t="s">
        <v>28</v>
      </c>
      <c r="J100" s="26" t="s">
        <v>28</v>
      </c>
      <c r="K100" s="26" t="s">
        <v>28</v>
      </c>
      <c r="L100" s="26" t="s">
        <v>28</v>
      </c>
      <c r="M100" s="26" t="s">
        <v>28</v>
      </c>
      <c r="N100" s="26" t="s">
        <v>28</v>
      </c>
      <c r="O100" s="26" t="s">
        <v>28</v>
      </c>
      <c r="P100" s="26" t="s">
        <v>28</v>
      </c>
      <c r="Q100" s="26" t="s">
        <v>28</v>
      </c>
      <c r="R100" s="43"/>
      <c r="S100" s="44"/>
      <c r="T100" s="45"/>
      <c r="U100" s="45"/>
      <c r="V100" s="45"/>
      <c r="W100" s="45"/>
      <c r="X100" s="45"/>
      <c r="Y100" s="45"/>
      <c r="Z100" s="45"/>
      <c r="AA100" s="45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32">
        <f t="shared" si="13"/>
        <v>0</v>
      </c>
      <c r="BB100" s="32">
        <f t="shared" si="14"/>
        <v>1</v>
      </c>
      <c r="BC100" s="32">
        <f t="shared" si="15"/>
        <v>13</v>
      </c>
      <c r="BD100" s="32">
        <f t="shared" si="16"/>
        <v>14</v>
      </c>
      <c r="BE100" s="33">
        <f t="shared" si="17"/>
        <v>92.85714286</v>
      </c>
    </row>
    <row r="101">
      <c r="A101" s="24">
        <v>17.0</v>
      </c>
      <c r="B101" s="24" t="s">
        <v>239</v>
      </c>
      <c r="C101" s="25" t="s">
        <v>240</v>
      </c>
      <c r="D101" s="26" t="s">
        <v>28</v>
      </c>
      <c r="E101" s="27" t="s">
        <v>22</v>
      </c>
      <c r="F101" s="26" t="s">
        <v>28</v>
      </c>
      <c r="G101" s="26" t="s">
        <v>28</v>
      </c>
      <c r="H101" s="26" t="s">
        <v>28</v>
      </c>
      <c r="I101" s="27" t="s">
        <v>22</v>
      </c>
      <c r="J101" s="26" t="s">
        <v>28</v>
      </c>
      <c r="K101" s="27" t="s">
        <v>22</v>
      </c>
      <c r="L101" s="26" t="s">
        <v>28</v>
      </c>
      <c r="M101" s="26" t="s">
        <v>28</v>
      </c>
      <c r="N101" s="27" t="s">
        <v>22</v>
      </c>
      <c r="O101" s="26" t="s">
        <v>28</v>
      </c>
      <c r="P101" s="26" t="s">
        <v>28</v>
      </c>
      <c r="Q101" s="27" t="s">
        <v>22</v>
      </c>
      <c r="R101" s="43"/>
      <c r="S101" s="44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32">
        <f t="shared" si="13"/>
        <v>0</v>
      </c>
      <c r="BB101" s="32">
        <f t="shared" si="14"/>
        <v>5</v>
      </c>
      <c r="BC101" s="32">
        <f t="shared" si="15"/>
        <v>9</v>
      </c>
      <c r="BD101" s="32">
        <f t="shared" si="16"/>
        <v>14</v>
      </c>
      <c r="BE101" s="33">
        <f t="shared" si="17"/>
        <v>64.28571429</v>
      </c>
    </row>
    <row r="102">
      <c r="A102" s="47">
        <v>18.0</v>
      </c>
      <c r="B102" s="47" t="s">
        <v>241</v>
      </c>
      <c r="C102" s="85" t="s">
        <v>242</v>
      </c>
      <c r="D102" s="26" t="s">
        <v>28</v>
      </c>
      <c r="E102" s="26" t="s">
        <v>28</v>
      </c>
      <c r="F102" s="26" t="s">
        <v>28</v>
      </c>
      <c r="G102" s="26" t="s">
        <v>28</v>
      </c>
      <c r="H102" s="26" t="s">
        <v>28</v>
      </c>
      <c r="I102" s="27" t="s">
        <v>22</v>
      </c>
      <c r="J102" s="27" t="s">
        <v>22</v>
      </c>
      <c r="K102" s="26" t="s">
        <v>28</v>
      </c>
      <c r="L102" s="27" t="s">
        <v>22</v>
      </c>
      <c r="M102" s="27" t="s">
        <v>22</v>
      </c>
      <c r="N102" s="27" t="s">
        <v>22</v>
      </c>
      <c r="O102" s="27" t="s">
        <v>22</v>
      </c>
      <c r="P102" s="27" t="s">
        <v>22</v>
      </c>
      <c r="Q102" s="27" t="s">
        <v>22</v>
      </c>
      <c r="R102" s="43"/>
      <c r="S102" s="44"/>
      <c r="T102" s="45"/>
      <c r="U102" s="45"/>
      <c r="V102" s="45"/>
      <c r="W102" s="45"/>
      <c r="X102" s="45"/>
      <c r="Y102" s="45"/>
      <c r="Z102" s="45"/>
      <c r="AA102" s="45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32">
        <f t="shared" si="13"/>
        <v>0</v>
      </c>
      <c r="BB102" s="32">
        <f t="shared" si="14"/>
        <v>8</v>
      </c>
      <c r="BC102" s="32">
        <f t="shared" si="15"/>
        <v>6</v>
      </c>
      <c r="BD102" s="32">
        <f t="shared" si="16"/>
        <v>14</v>
      </c>
      <c r="BE102" s="33">
        <f t="shared" si="17"/>
        <v>42.85714286</v>
      </c>
    </row>
    <row r="103">
      <c r="A103" s="24">
        <v>19.0</v>
      </c>
      <c r="B103" s="47" t="s">
        <v>243</v>
      </c>
      <c r="C103" s="25" t="s">
        <v>244</v>
      </c>
      <c r="D103" s="26" t="s">
        <v>28</v>
      </c>
      <c r="E103" s="26" t="s">
        <v>28</v>
      </c>
      <c r="F103" s="27" t="s">
        <v>22</v>
      </c>
      <c r="G103" s="26" t="s">
        <v>28</v>
      </c>
      <c r="H103" s="26" t="s">
        <v>28</v>
      </c>
      <c r="I103" s="26" t="s">
        <v>28</v>
      </c>
      <c r="J103" s="26" t="s">
        <v>28</v>
      </c>
      <c r="K103" s="26" t="s">
        <v>28</v>
      </c>
      <c r="L103" s="26" t="s">
        <v>28</v>
      </c>
      <c r="M103" s="26" t="s">
        <v>28</v>
      </c>
      <c r="N103" s="26" t="s">
        <v>28</v>
      </c>
      <c r="O103" s="26" t="s">
        <v>28</v>
      </c>
      <c r="P103" s="26" t="s">
        <v>28</v>
      </c>
      <c r="Q103" s="26" t="s">
        <v>28</v>
      </c>
      <c r="R103" s="71"/>
      <c r="S103" s="46"/>
      <c r="T103" s="45"/>
      <c r="U103" s="45"/>
      <c r="V103" s="45"/>
      <c r="W103" s="45"/>
      <c r="X103" s="45"/>
      <c r="Y103" s="45"/>
      <c r="Z103" s="45"/>
      <c r="AA103" s="45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32">
        <f t="shared" si="13"/>
        <v>0</v>
      </c>
      <c r="BB103" s="32">
        <f t="shared" si="14"/>
        <v>1</v>
      </c>
      <c r="BC103" s="32">
        <f t="shared" si="15"/>
        <v>13</v>
      </c>
      <c r="BD103" s="32">
        <f t="shared" si="16"/>
        <v>14</v>
      </c>
      <c r="BE103" s="33">
        <f t="shared" si="17"/>
        <v>92.85714286</v>
      </c>
    </row>
    <row r="104">
      <c r="A104" s="24">
        <v>20.0</v>
      </c>
      <c r="B104" s="24" t="s">
        <v>245</v>
      </c>
      <c r="C104" s="25" t="s">
        <v>246</v>
      </c>
      <c r="D104" s="27" t="s">
        <v>22</v>
      </c>
      <c r="E104" s="27" t="s">
        <v>22</v>
      </c>
      <c r="F104" s="26" t="s">
        <v>28</v>
      </c>
      <c r="G104" s="27" t="s">
        <v>22</v>
      </c>
      <c r="H104" s="27" t="s">
        <v>22</v>
      </c>
      <c r="I104" s="26" t="s">
        <v>28</v>
      </c>
      <c r="J104" s="26" t="s">
        <v>28</v>
      </c>
      <c r="K104" s="26" t="s">
        <v>28</v>
      </c>
      <c r="L104" s="26" t="s">
        <v>28</v>
      </c>
      <c r="M104" s="26" t="s">
        <v>28</v>
      </c>
      <c r="N104" s="26" t="s">
        <v>28</v>
      </c>
      <c r="O104" s="26" t="s">
        <v>28</v>
      </c>
      <c r="P104" s="26" t="s">
        <v>28</v>
      </c>
      <c r="Q104" s="27" t="s">
        <v>22</v>
      </c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32">
        <f t="shared" si="13"/>
        <v>0</v>
      </c>
      <c r="BB104" s="32">
        <f t="shared" si="14"/>
        <v>5</v>
      </c>
      <c r="BC104" s="32">
        <f t="shared" si="15"/>
        <v>9</v>
      </c>
      <c r="BD104" s="32">
        <f t="shared" si="16"/>
        <v>14</v>
      </c>
      <c r="BE104" s="33">
        <f t="shared" si="17"/>
        <v>64.28571429</v>
      </c>
    </row>
    <row r="105">
      <c r="A105" s="24">
        <v>21.0</v>
      </c>
      <c r="B105" s="24" t="s">
        <v>247</v>
      </c>
      <c r="C105" s="25" t="s">
        <v>248</v>
      </c>
      <c r="D105" s="26" t="s">
        <v>28</v>
      </c>
      <c r="E105" s="26" t="s">
        <v>28</v>
      </c>
      <c r="F105" s="27" t="s">
        <v>22</v>
      </c>
      <c r="G105" s="26" t="s">
        <v>28</v>
      </c>
      <c r="H105" s="26" t="s">
        <v>28</v>
      </c>
      <c r="I105" s="26" t="s">
        <v>28</v>
      </c>
      <c r="J105" s="26" t="s">
        <v>28</v>
      </c>
      <c r="K105" s="26" t="s">
        <v>28</v>
      </c>
      <c r="L105" s="26" t="s">
        <v>28</v>
      </c>
      <c r="M105" s="26" t="s">
        <v>28</v>
      </c>
      <c r="N105" s="26" t="s">
        <v>28</v>
      </c>
      <c r="O105" s="26" t="s">
        <v>28</v>
      </c>
      <c r="P105" s="26" t="s">
        <v>28</v>
      </c>
      <c r="Q105" s="26" t="s">
        <v>28</v>
      </c>
      <c r="R105" s="43"/>
      <c r="S105" s="44"/>
      <c r="T105" s="45"/>
      <c r="U105" s="45"/>
      <c r="V105" s="45"/>
      <c r="W105" s="45"/>
      <c r="X105" s="45"/>
      <c r="Y105" s="45"/>
      <c r="Z105" s="45"/>
      <c r="AA105" s="45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32">
        <f t="shared" si="13"/>
        <v>0</v>
      </c>
      <c r="BB105" s="32">
        <f t="shared" si="14"/>
        <v>1</v>
      </c>
      <c r="BC105" s="32">
        <f t="shared" si="15"/>
        <v>13</v>
      </c>
      <c r="BD105" s="32">
        <f t="shared" si="16"/>
        <v>14</v>
      </c>
      <c r="BE105" s="33">
        <f t="shared" si="17"/>
        <v>92.85714286</v>
      </c>
    </row>
    <row r="106">
      <c r="A106" s="24">
        <v>22.0</v>
      </c>
      <c r="B106" s="24" t="s">
        <v>249</v>
      </c>
      <c r="C106" s="25" t="s">
        <v>250</v>
      </c>
      <c r="D106" s="26" t="s">
        <v>28</v>
      </c>
      <c r="E106" s="26" t="s">
        <v>28</v>
      </c>
      <c r="F106" s="26" t="s">
        <v>28</v>
      </c>
      <c r="G106" s="26" t="s">
        <v>28</v>
      </c>
      <c r="H106" s="27" t="s">
        <v>22</v>
      </c>
      <c r="I106" s="26" t="s">
        <v>28</v>
      </c>
      <c r="J106" s="26" t="s">
        <v>28</v>
      </c>
      <c r="K106" s="26" t="s">
        <v>28</v>
      </c>
      <c r="L106" s="26" t="s">
        <v>28</v>
      </c>
      <c r="M106" s="26" t="s">
        <v>28</v>
      </c>
      <c r="N106" s="26" t="s">
        <v>28</v>
      </c>
      <c r="O106" s="26" t="s">
        <v>28</v>
      </c>
      <c r="P106" s="26" t="s">
        <v>28</v>
      </c>
      <c r="Q106" s="27" t="s">
        <v>22</v>
      </c>
      <c r="R106" s="43"/>
      <c r="S106" s="44"/>
      <c r="T106" s="45"/>
      <c r="U106" s="45"/>
      <c r="V106" s="45"/>
      <c r="W106" s="45"/>
      <c r="X106" s="45"/>
      <c r="Y106" s="45"/>
      <c r="Z106" s="45"/>
      <c r="AA106" s="45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32">
        <f t="shared" si="13"/>
        <v>0</v>
      </c>
      <c r="BB106" s="32">
        <f t="shared" si="14"/>
        <v>2</v>
      </c>
      <c r="BC106" s="32">
        <f t="shared" si="15"/>
        <v>12</v>
      </c>
      <c r="BD106" s="32">
        <f t="shared" si="16"/>
        <v>14</v>
      </c>
      <c r="BE106" s="33">
        <f t="shared" si="17"/>
        <v>85.71428571</v>
      </c>
    </row>
    <row r="107">
      <c r="A107" s="35">
        <v>23.0</v>
      </c>
      <c r="B107" s="35" t="s">
        <v>251</v>
      </c>
      <c r="C107" s="36" t="s">
        <v>252</v>
      </c>
      <c r="D107" s="37" t="s">
        <v>28</v>
      </c>
      <c r="E107" s="37" t="s">
        <v>28</v>
      </c>
      <c r="F107" s="37" t="s">
        <v>28</v>
      </c>
      <c r="G107" s="37" t="s">
        <v>28</v>
      </c>
      <c r="H107" s="27" t="s">
        <v>22</v>
      </c>
      <c r="I107" s="37" t="s">
        <v>28</v>
      </c>
      <c r="J107" s="37" t="s">
        <v>28</v>
      </c>
      <c r="K107" s="37" t="s">
        <v>28</v>
      </c>
      <c r="L107" s="37" t="s">
        <v>28</v>
      </c>
      <c r="M107" s="37" t="s">
        <v>28</v>
      </c>
      <c r="N107" s="27" t="s">
        <v>22</v>
      </c>
      <c r="O107" s="27" t="s">
        <v>22</v>
      </c>
      <c r="P107" s="37" t="s">
        <v>28</v>
      </c>
      <c r="Q107" s="27" t="s">
        <v>22</v>
      </c>
      <c r="R107" s="38"/>
      <c r="S107" s="86"/>
      <c r="T107" s="39"/>
      <c r="U107" s="39"/>
      <c r="V107" s="39"/>
      <c r="W107" s="39"/>
      <c r="X107" s="39"/>
      <c r="Y107" s="39"/>
      <c r="Z107" s="39"/>
      <c r="AA107" s="39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1">
        <f t="shared" si="13"/>
        <v>0</v>
      </c>
      <c r="BB107" s="41">
        <f t="shared" si="14"/>
        <v>4</v>
      </c>
      <c r="BC107" s="41">
        <f t="shared" si="15"/>
        <v>10</v>
      </c>
      <c r="BD107" s="41">
        <f t="shared" si="16"/>
        <v>14</v>
      </c>
      <c r="BE107" s="42">
        <f t="shared" si="17"/>
        <v>71.42857143</v>
      </c>
    </row>
    <row r="108">
      <c r="A108" s="24">
        <v>24.0</v>
      </c>
      <c r="B108" s="24" t="s">
        <v>253</v>
      </c>
      <c r="C108" s="25" t="s">
        <v>254</v>
      </c>
      <c r="D108" s="26" t="s">
        <v>28</v>
      </c>
      <c r="E108" s="26" t="s">
        <v>28</v>
      </c>
      <c r="F108" s="26" t="s">
        <v>28</v>
      </c>
      <c r="G108" s="27" t="s">
        <v>22</v>
      </c>
      <c r="H108" s="27" t="s">
        <v>22</v>
      </c>
      <c r="I108" s="26" t="s">
        <v>28</v>
      </c>
      <c r="J108" s="26" t="s">
        <v>28</v>
      </c>
      <c r="K108" s="26" t="s">
        <v>28</v>
      </c>
      <c r="L108" s="26" t="s">
        <v>28</v>
      </c>
      <c r="M108" s="26" t="s">
        <v>28</v>
      </c>
      <c r="N108" s="26" t="s">
        <v>28</v>
      </c>
      <c r="O108" s="27" t="s">
        <v>22</v>
      </c>
      <c r="P108" s="26" t="s">
        <v>28</v>
      </c>
      <c r="Q108" s="26" t="s">
        <v>28</v>
      </c>
      <c r="R108" s="43"/>
      <c r="S108" s="44"/>
      <c r="T108" s="45"/>
      <c r="U108" s="45"/>
      <c r="V108" s="45"/>
      <c r="W108" s="45"/>
      <c r="X108" s="45"/>
      <c r="Y108" s="45"/>
      <c r="Z108" s="45"/>
      <c r="AA108" s="45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32">
        <f t="shared" si="13"/>
        <v>0</v>
      </c>
      <c r="BB108" s="32">
        <f t="shared" si="14"/>
        <v>3</v>
      </c>
      <c r="BC108" s="32">
        <f t="shared" si="15"/>
        <v>11</v>
      </c>
      <c r="BD108" s="32">
        <f t="shared" si="16"/>
        <v>14</v>
      </c>
      <c r="BE108" s="33">
        <f t="shared" si="17"/>
        <v>78.57142857</v>
      </c>
    </row>
    <row r="109">
      <c r="A109" s="24">
        <v>25.0</v>
      </c>
      <c r="B109" s="24" t="s">
        <v>255</v>
      </c>
      <c r="C109" s="25" t="s">
        <v>256</v>
      </c>
      <c r="D109" s="26" t="s">
        <v>28</v>
      </c>
      <c r="E109" s="26" t="s">
        <v>28</v>
      </c>
      <c r="F109" s="26" t="s">
        <v>28</v>
      </c>
      <c r="G109" s="26" t="s">
        <v>28</v>
      </c>
      <c r="H109" s="27" t="s">
        <v>22</v>
      </c>
      <c r="I109" s="26" t="s">
        <v>28</v>
      </c>
      <c r="J109" s="26" t="s">
        <v>28</v>
      </c>
      <c r="K109" s="26" t="s">
        <v>28</v>
      </c>
      <c r="L109" s="27" t="s">
        <v>22</v>
      </c>
      <c r="M109" s="26" t="s">
        <v>28</v>
      </c>
      <c r="N109" s="26" t="s">
        <v>28</v>
      </c>
      <c r="O109" s="26" t="s">
        <v>28</v>
      </c>
      <c r="P109" s="26" t="s">
        <v>28</v>
      </c>
      <c r="Q109" s="27" t="s">
        <v>22</v>
      </c>
      <c r="R109" s="71"/>
      <c r="S109" s="45"/>
      <c r="T109" s="45"/>
      <c r="U109" s="45"/>
      <c r="V109" s="45"/>
      <c r="W109" s="45"/>
      <c r="X109" s="45"/>
      <c r="Y109" s="45"/>
      <c r="Z109" s="45"/>
      <c r="AA109" s="45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32">
        <f t="shared" si="13"/>
        <v>0</v>
      </c>
      <c r="BB109" s="32">
        <f t="shared" si="14"/>
        <v>3</v>
      </c>
      <c r="BC109" s="32">
        <f t="shared" si="15"/>
        <v>11</v>
      </c>
      <c r="BD109" s="32">
        <f t="shared" si="16"/>
        <v>14</v>
      </c>
      <c r="BE109" s="33">
        <f t="shared" si="17"/>
        <v>78.57142857</v>
      </c>
    </row>
    <row r="110">
      <c r="A110" s="24">
        <v>26.0</v>
      </c>
      <c r="B110" s="24" t="s">
        <v>257</v>
      </c>
      <c r="C110" s="25" t="s">
        <v>258</v>
      </c>
      <c r="D110" s="26" t="s">
        <v>28</v>
      </c>
      <c r="E110" s="26" t="s">
        <v>28</v>
      </c>
      <c r="F110" s="26" t="s">
        <v>28</v>
      </c>
      <c r="G110" s="26" t="s">
        <v>28</v>
      </c>
      <c r="H110" s="26" t="s">
        <v>28</v>
      </c>
      <c r="I110" s="26" t="s">
        <v>28</v>
      </c>
      <c r="J110" s="26" t="s">
        <v>28</v>
      </c>
      <c r="K110" s="26" t="s">
        <v>28</v>
      </c>
      <c r="L110" s="27" t="s">
        <v>22</v>
      </c>
      <c r="M110" s="26" t="s">
        <v>28</v>
      </c>
      <c r="N110" s="26" t="s">
        <v>28</v>
      </c>
      <c r="O110" s="26" t="s">
        <v>28</v>
      </c>
      <c r="P110" s="26" t="s">
        <v>28</v>
      </c>
      <c r="Q110" s="26" t="s">
        <v>28</v>
      </c>
      <c r="R110" s="43"/>
      <c r="S110" s="44"/>
      <c r="T110" s="45"/>
      <c r="U110" s="45"/>
      <c r="V110" s="45"/>
      <c r="W110" s="45"/>
      <c r="X110" s="45"/>
      <c r="Y110" s="45"/>
      <c r="Z110" s="45"/>
      <c r="AA110" s="45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32">
        <f t="shared" si="13"/>
        <v>0</v>
      </c>
      <c r="BB110" s="32">
        <f t="shared" si="14"/>
        <v>1</v>
      </c>
      <c r="BC110" s="32">
        <f t="shared" si="15"/>
        <v>13</v>
      </c>
      <c r="BD110" s="32">
        <f t="shared" si="16"/>
        <v>14</v>
      </c>
      <c r="BE110" s="33">
        <f t="shared" si="17"/>
        <v>92.85714286</v>
      </c>
    </row>
    <row r="111">
      <c r="A111" s="24">
        <v>27.0</v>
      </c>
      <c r="B111" s="24" t="s">
        <v>259</v>
      </c>
      <c r="C111" s="25" t="s">
        <v>260</v>
      </c>
      <c r="D111" s="26" t="s">
        <v>28</v>
      </c>
      <c r="E111" s="26" t="s">
        <v>28</v>
      </c>
      <c r="F111" s="26" t="s">
        <v>28</v>
      </c>
      <c r="G111" s="26" t="s">
        <v>28</v>
      </c>
      <c r="H111" s="26" t="s">
        <v>28</v>
      </c>
      <c r="I111" s="26" t="s">
        <v>28</v>
      </c>
      <c r="J111" s="26" t="s">
        <v>28</v>
      </c>
      <c r="K111" s="26" t="s">
        <v>28</v>
      </c>
      <c r="L111" s="26" t="s">
        <v>28</v>
      </c>
      <c r="M111" s="26" t="s">
        <v>28</v>
      </c>
      <c r="N111" s="26" t="s">
        <v>28</v>
      </c>
      <c r="O111" s="26" t="s">
        <v>28</v>
      </c>
      <c r="P111" s="26" t="s">
        <v>28</v>
      </c>
      <c r="Q111" s="26" t="s">
        <v>28</v>
      </c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32">
        <f t="shared" si="13"/>
        <v>0</v>
      </c>
      <c r="BB111" s="32">
        <f t="shared" si="14"/>
        <v>0</v>
      </c>
      <c r="BC111" s="32">
        <f t="shared" si="15"/>
        <v>14</v>
      </c>
      <c r="BD111" s="32">
        <f t="shared" si="16"/>
        <v>14</v>
      </c>
      <c r="BE111" s="33">
        <f t="shared" si="17"/>
        <v>100</v>
      </c>
    </row>
    <row r="112">
      <c r="A112" s="24">
        <v>28.0</v>
      </c>
      <c r="B112" s="24" t="s">
        <v>261</v>
      </c>
      <c r="C112" s="25" t="s">
        <v>262</v>
      </c>
      <c r="D112" s="26" t="s">
        <v>28</v>
      </c>
      <c r="E112" s="26" t="s">
        <v>28</v>
      </c>
      <c r="F112" s="26" t="s">
        <v>28</v>
      </c>
      <c r="G112" s="26" t="s">
        <v>28</v>
      </c>
      <c r="H112" s="27" t="s">
        <v>22</v>
      </c>
      <c r="I112" s="26" t="s">
        <v>28</v>
      </c>
      <c r="J112" s="26" t="s">
        <v>28</v>
      </c>
      <c r="K112" s="26" t="s">
        <v>28</v>
      </c>
      <c r="L112" s="26" t="s">
        <v>28</v>
      </c>
      <c r="M112" s="26" t="s">
        <v>28</v>
      </c>
      <c r="N112" s="27" t="s">
        <v>22</v>
      </c>
      <c r="O112" s="27" t="s">
        <v>22</v>
      </c>
      <c r="P112" s="27" t="s">
        <v>22</v>
      </c>
      <c r="Q112" s="27" t="s">
        <v>22</v>
      </c>
      <c r="R112" s="43"/>
      <c r="S112" s="44"/>
      <c r="T112" s="45"/>
      <c r="U112" s="45"/>
      <c r="V112" s="45"/>
      <c r="W112" s="45"/>
      <c r="X112" s="45"/>
      <c r="Y112" s="45"/>
      <c r="Z112" s="45"/>
      <c r="AA112" s="45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32">
        <f t="shared" si="13"/>
        <v>0</v>
      </c>
      <c r="BB112" s="32">
        <f t="shared" si="14"/>
        <v>5</v>
      </c>
      <c r="BC112" s="32">
        <f t="shared" si="15"/>
        <v>9</v>
      </c>
      <c r="BD112" s="32">
        <f t="shared" si="16"/>
        <v>14</v>
      </c>
      <c r="BE112" s="33">
        <f t="shared" si="17"/>
        <v>64.28571429</v>
      </c>
    </row>
    <row r="113">
      <c r="A113" s="24">
        <v>29.0</v>
      </c>
      <c r="B113" s="24" t="s">
        <v>263</v>
      </c>
      <c r="C113" s="25" t="s">
        <v>264</v>
      </c>
      <c r="D113" s="26" t="s">
        <v>28</v>
      </c>
      <c r="E113" s="26" t="s">
        <v>28</v>
      </c>
      <c r="F113" s="26" t="s">
        <v>28</v>
      </c>
      <c r="G113" s="26" t="s">
        <v>28</v>
      </c>
      <c r="H113" s="27" t="s">
        <v>22</v>
      </c>
      <c r="I113" s="26" t="s">
        <v>28</v>
      </c>
      <c r="J113" s="26" t="s">
        <v>28</v>
      </c>
      <c r="K113" s="26" t="s">
        <v>28</v>
      </c>
      <c r="L113" s="26" t="s">
        <v>28</v>
      </c>
      <c r="M113" s="26" t="s">
        <v>28</v>
      </c>
      <c r="N113" s="26" t="s">
        <v>28</v>
      </c>
      <c r="O113" s="26" t="s">
        <v>28</v>
      </c>
      <c r="P113" s="26" t="s">
        <v>28</v>
      </c>
      <c r="Q113" s="26" t="s">
        <v>28</v>
      </c>
      <c r="R113" s="43"/>
      <c r="S113" s="44"/>
      <c r="T113" s="45"/>
      <c r="U113" s="45"/>
      <c r="V113" s="45"/>
      <c r="W113" s="45"/>
      <c r="X113" s="45"/>
      <c r="Y113" s="45"/>
      <c r="Z113" s="45"/>
      <c r="AA113" s="45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32">
        <f t="shared" si="13"/>
        <v>0</v>
      </c>
      <c r="BB113" s="32">
        <f t="shared" si="14"/>
        <v>1</v>
      </c>
      <c r="BC113" s="32">
        <f t="shared" si="15"/>
        <v>13</v>
      </c>
      <c r="BD113" s="32">
        <f t="shared" si="16"/>
        <v>14</v>
      </c>
      <c r="BE113" s="33">
        <f t="shared" si="17"/>
        <v>92.85714286</v>
      </c>
    </row>
    <row r="114">
      <c r="A114" s="24">
        <v>30.0</v>
      </c>
      <c r="B114" s="24" t="s">
        <v>265</v>
      </c>
      <c r="C114" s="25" t="s">
        <v>266</v>
      </c>
      <c r="D114" s="26" t="s">
        <v>28</v>
      </c>
      <c r="E114" s="26" t="s">
        <v>28</v>
      </c>
      <c r="F114" s="26" t="s">
        <v>28</v>
      </c>
      <c r="G114" s="26" t="s">
        <v>28</v>
      </c>
      <c r="H114" s="26" t="s">
        <v>28</v>
      </c>
      <c r="I114" s="26" t="s">
        <v>28</v>
      </c>
      <c r="J114" s="26" t="s">
        <v>28</v>
      </c>
      <c r="K114" s="26" t="s">
        <v>28</v>
      </c>
      <c r="L114" s="26" t="s">
        <v>28</v>
      </c>
      <c r="M114" s="26" t="s">
        <v>28</v>
      </c>
      <c r="N114" s="26" t="s">
        <v>28</v>
      </c>
      <c r="O114" s="26" t="s">
        <v>28</v>
      </c>
      <c r="P114" s="26" t="s">
        <v>28</v>
      </c>
      <c r="Q114" s="26" t="s">
        <v>28</v>
      </c>
      <c r="R114" s="43"/>
      <c r="S114" s="44"/>
      <c r="T114" s="45"/>
      <c r="U114" s="45"/>
      <c r="V114" s="45"/>
      <c r="W114" s="45"/>
      <c r="X114" s="45"/>
      <c r="Y114" s="45"/>
      <c r="Z114" s="45"/>
      <c r="AA114" s="45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32">
        <f t="shared" si="13"/>
        <v>0</v>
      </c>
      <c r="BB114" s="32">
        <f t="shared" si="14"/>
        <v>0</v>
      </c>
      <c r="BC114" s="32">
        <f t="shared" si="15"/>
        <v>14</v>
      </c>
      <c r="BD114" s="32">
        <f t="shared" si="16"/>
        <v>14</v>
      </c>
      <c r="BE114" s="33">
        <f t="shared" si="17"/>
        <v>100</v>
      </c>
    </row>
    <row r="115">
      <c r="A115" s="24">
        <v>31.0</v>
      </c>
      <c r="B115" s="24" t="s">
        <v>267</v>
      </c>
      <c r="C115" s="25" t="s">
        <v>268</v>
      </c>
      <c r="D115" s="26" t="s">
        <v>28</v>
      </c>
      <c r="E115" s="26" t="s">
        <v>28</v>
      </c>
      <c r="F115" s="26" t="s">
        <v>28</v>
      </c>
      <c r="G115" s="26" t="s">
        <v>28</v>
      </c>
      <c r="H115" s="26" t="s">
        <v>28</v>
      </c>
      <c r="I115" s="26" t="s">
        <v>28</v>
      </c>
      <c r="J115" s="26" t="s">
        <v>28</v>
      </c>
      <c r="K115" s="26" t="s">
        <v>28</v>
      </c>
      <c r="L115" s="26" t="s">
        <v>28</v>
      </c>
      <c r="M115" s="26" t="s">
        <v>28</v>
      </c>
      <c r="N115" s="26" t="s">
        <v>28</v>
      </c>
      <c r="O115" s="27" t="s">
        <v>22</v>
      </c>
      <c r="P115" s="26" t="s">
        <v>28</v>
      </c>
      <c r="Q115" s="26" t="s">
        <v>28</v>
      </c>
      <c r="R115" s="43"/>
      <c r="S115" s="44"/>
      <c r="T115" s="45"/>
      <c r="U115" s="45"/>
      <c r="V115" s="45"/>
      <c r="W115" s="45"/>
      <c r="X115" s="45"/>
      <c r="Y115" s="45"/>
      <c r="Z115" s="45"/>
      <c r="AA115" s="45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32">
        <f t="shared" si="13"/>
        <v>0</v>
      </c>
      <c r="BB115" s="32">
        <f t="shared" si="14"/>
        <v>1</v>
      </c>
      <c r="BC115" s="32">
        <f t="shared" si="15"/>
        <v>13</v>
      </c>
      <c r="BD115" s="32">
        <f t="shared" si="16"/>
        <v>14</v>
      </c>
      <c r="BE115" s="33">
        <f t="shared" si="17"/>
        <v>92.85714286</v>
      </c>
    </row>
    <row r="116">
      <c r="A116" s="24">
        <v>32.0</v>
      </c>
      <c r="B116" s="24" t="s">
        <v>269</v>
      </c>
      <c r="C116" s="25" t="s">
        <v>270</v>
      </c>
      <c r="D116" s="26" t="s">
        <v>28</v>
      </c>
      <c r="E116" s="26" t="s">
        <v>28</v>
      </c>
      <c r="F116" s="26" t="s">
        <v>28</v>
      </c>
      <c r="G116" s="26" t="s">
        <v>28</v>
      </c>
      <c r="H116" s="26" t="s">
        <v>28</v>
      </c>
      <c r="I116" s="27" t="s">
        <v>22</v>
      </c>
      <c r="J116" s="26" t="s">
        <v>28</v>
      </c>
      <c r="K116" s="26" t="s">
        <v>28</v>
      </c>
      <c r="L116" s="26" t="s">
        <v>28</v>
      </c>
      <c r="M116" s="26" t="s">
        <v>28</v>
      </c>
      <c r="N116" s="26" t="s">
        <v>28</v>
      </c>
      <c r="O116" s="26" t="s">
        <v>28</v>
      </c>
      <c r="P116" s="26" t="s">
        <v>28</v>
      </c>
      <c r="Q116" s="26" t="s">
        <v>28</v>
      </c>
      <c r="R116" s="43"/>
      <c r="S116" s="44"/>
      <c r="T116" s="45"/>
      <c r="U116" s="45"/>
      <c r="V116" s="45"/>
      <c r="W116" s="45"/>
      <c r="X116" s="45"/>
      <c r="Y116" s="45"/>
      <c r="Z116" s="45"/>
      <c r="AA116" s="45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32">
        <f t="shared" si="13"/>
        <v>0</v>
      </c>
      <c r="BB116" s="32">
        <f t="shared" si="14"/>
        <v>1</v>
      </c>
      <c r="BC116" s="32">
        <f t="shared" si="15"/>
        <v>13</v>
      </c>
      <c r="BD116" s="32">
        <f t="shared" si="16"/>
        <v>14</v>
      </c>
      <c r="BE116" s="33">
        <f t="shared" si="17"/>
        <v>92.85714286</v>
      </c>
    </row>
    <row r="117">
      <c r="A117" s="24">
        <v>33.0</v>
      </c>
      <c r="B117" s="24" t="s">
        <v>271</v>
      </c>
      <c r="C117" s="25" t="s">
        <v>272</v>
      </c>
      <c r="D117" s="26" t="s">
        <v>28</v>
      </c>
      <c r="E117" s="26" t="s">
        <v>28</v>
      </c>
      <c r="F117" s="26" t="s">
        <v>28</v>
      </c>
      <c r="G117" s="26" t="s">
        <v>28</v>
      </c>
      <c r="H117" s="26" t="s">
        <v>28</v>
      </c>
      <c r="I117" s="26" t="s">
        <v>28</v>
      </c>
      <c r="J117" s="26" t="s">
        <v>28</v>
      </c>
      <c r="K117" s="27" t="s">
        <v>22</v>
      </c>
      <c r="L117" s="26" t="s">
        <v>28</v>
      </c>
      <c r="M117" s="26" t="s">
        <v>28</v>
      </c>
      <c r="N117" s="26" t="s">
        <v>28</v>
      </c>
      <c r="O117" s="26" t="s">
        <v>28</v>
      </c>
      <c r="P117" s="26" t="s">
        <v>28</v>
      </c>
      <c r="Q117" s="26" t="s">
        <v>28</v>
      </c>
      <c r="R117" s="43"/>
      <c r="S117" s="44"/>
      <c r="T117" s="45"/>
      <c r="U117" s="45"/>
      <c r="V117" s="45"/>
      <c r="W117" s="45"/>
      <c r="X117" s="45"/>
      <c r="Y117" s="45"/>
      <c r="Z117" s="45"/>
      <c r="AA117" s="45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32">
        <f t="shared" si="13"/>
        <v>0</v>
      </c>
      <c r="BB117" s="32">
        <f t="shared" si="14"/>
        <v>1</v>
      </c>
      <c r="BC117" s="32">
        <f t="shared" si="15"/>
        <v>13</v>
      </c>
      <c r="BD117" s="32">
        <f t="shared" si="16"/>
        <v>14</v>
      </c>
      <c r="BE117" s="33">
        <f t="shared" si="17"/>
        <v>92.85714286</v>
      </c>
    </row>
    <row r="118">
      <c r="A118" s="24">
        <v>34.0</v>
      </c>
      <c r="B118" s="24" t="s">
        <v>273</v>
      </c>
      <c r="C118" s="25" t="s">
        <v>274</v>
      </c>
      <c r="D118" s="26" t="s">
        <v>28</v>
      </c>
      <c r="E118" s="26" t="s">
        <v>28</v>
      </c>
      <c r="F118" s="26" t="s">
        <v>28</v>
      </c>
      <c r="G118" s="26" t="s">
        <v>28</v>
      </c>
      <c r="H118" s="26" t="s">
        <v>28</v>
      </c>
      <c r="I118" s="26" t="s">
        <v>28</v>
      </c>
      <c r="J118" s="26" t="s">
        <v>28</v>
      </c>
      <c r="K118" s="26" t="s">
        <v>28</v>
      </c>
      <c r="L118" s="26" t="s">
        <v>28</v>
      </c>
      <c r="M118" s="26" t="s">
        <v>28</v>
      </c>
      <c r="N118" s="26" t="s">
        <v>28</v>
      </c>
      <c r="O118" s="26" t="s">
        <v>28</v>
      </c>
      <c r="P118" s="26" t="s">
        <v>28</v>
      </c>
      <c r="Q118" s="26" t="s">
        <v>28</v>
      </c>
      <c r="R118" s="43"/>
      <c r="S118" s="44"/>
      <c r="T118" s="45"/>
      <c r="U118" s="45"/>
      <c r="V118" s="45"/>
      <c r="W118" s="45"/>
      <c r="X118" s="45"/>
      <c r="Y118" s="45"/>
      <c r="Z118" s="45"/>
      <c r="AA118" s="45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32">
        <f t="shared" si="13"/>
        <v>0</v>
      </c>
      <c r="BB118" s="32">
        <f t="shared" si="14"/>
        <v>0</v>
      </c>
      <c r="BC118" s="32">
        <f t="shared" si="15"/>
        <v>14</v>
      </c>
      <c r="BD118" s="32">
        <f t="shared" si="16"/>
        <v>14</v>
      </c>
      <c r="BE118" s="33">
        <f t="shared" si="17"/>
        <v>100</v>
      </c>
    </row>
    <row r="119">
      <c r="A119" s="24">
        <v>35.0</v>
      </c>
      <c r="B119" s="24" t="s">
        <v>275</v>
      </c>
      <c r="C119" s="25" t="s">
        <v>276</v>
      </c>
      <c r="D119" s="26" t="s">
        <v>28</v>
      </c>
      <c r="E119" s="26" t="s">
        <v>28</v>
      </c>
      <c r="F119" s="26" t="s">
        <v>28</v>
      </c>
      <c r="G119" s="26" t="s">
        <v>28</v>
      </c>
      <c r="H119" s="26" t="s">
        <v>28</v>
      </c>
      <c r="I119" s="26" t="s">
        <v>28</v>
      </c>
      <c r="J119" s="26" t="s">
        <v>28</v>
      </c>
      <c r="K119" s="26" t="s">
        <v>28</v>
      </c>
      <c r="L119" s="26" t="s">
        <v>28</v>
      </c>
      <c r="M119" s="26" t="s">
        <v>28</v>
      </c>
      <c r="N119" s="26" t="s">
        <v>28</v>
      </c>
      <c r="O119" s="26" t="s">
        <v>28</v>
      </c>
      <c r="P119" s="26" t="s">
        <v>28</v>
      </c>
      <c r="Q119" s="26" t="s">
        <v>28</v>
      </c>
      <c r="R119" s="43"/>
      <c r="S119" s="44"/>
      <c r="T119" s="45"/>
      <c r="U119" s="45"/>
      <c r="V119" s="45"/>
      <c r="W119" s="45"/>
      <c r="X119" s="45"/>
      <c r="Y119" s="45"/>
      <c r="Z119" s="45"/>
      <c r="AA119" s="45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32">
        <f t="shared" si="13"/>
        <v>0</v>
      </c>
      <c r="BB119" s="32">
        <f t="shared" si="14"/>
        <v>0</v>
      </c>
      <c r="BC119" s="32">
        <f t="shared" si="15"/>
        <v>14</v>
      </c>
      <c r="BD119" s="32">
        <f t="shared" si="16"/>
        <v>14</v>
      </c>
      <c r="BE119" s="33">
        <f t="shared" si="17"/>
        <v>100</v>
      </c>
    </row>
    <row r="120">
      <c r="A120" s="24">
        <v>36.0</v>
      </c>
      <c r="B120" s="24" t="s">
        <v>277</v>
      </c>
      <c r="C120" s="25" t="s">
        <v>278</v>
      </c>
      <c r="D120" s="26" t="s">
        <v>28</v>
      </c>
      <c r="E120" s="26" t="s">
        <v>28</v>
      </c>
      <c r="F120" s="26" t="s">
        <v>28</v>
      </c>
      <c r="G120" s="27" t="s">
        <v>22</v>
      </c>
      <c r="H120" s="26" t="s">
        <v>28</v>
      </c>
      <c r="I120" s="26" t="s">
        <v>28</v>
      </c>
      <c r="J120" s="26" t="s">
        <v>28</v>
      </c>
      <c r="K120" s="26" t="s">
        <v>28</v>
      </c>
      <c r="L120" s="26" t="s">
        <v>28</v>
      </c>
      <c r="M120" s="26" t="s">
        <v>28</v>
      </c>
      <c r="N120" s="26" t="s">
        <v>28</v>
      </c>
      <c r="O120" s="27" t="s">
        <v>22</v>
      </c>
      <c r="P120" s="26" t="s">
        <v>28</v>
      </c>
      <c r="Q120" s="26" t="s">
        <v>28</v>
      </c>
      <c r="R120" s="43"/>
      <c r="S120" s="44"/>
      <c r="T120" s="45"/>
      <c r="U120" s="45"/>
      <c r="V120" s="45"/>
      <c r="W120" s="45"/>
      <c r="X120" s="45"/>
      <c r="Y120" s="45"/>
      <c r="Z120" s="45"/>
      <c r="AA120" s="45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32">
        <f t="shared" si="13"/>
        <v>0</v>
      </c>
      <c r="BB120" s="32">
        <f t="shared" si="14"/>
        <v>2</v>
      </c>
      <c r="BC120" s="32">
        <f t="shared" si="15"/>
        <v>12</v>
      </c>
      <c r="BD120" s="32">
        <f t="shared" si="16"/>
        <v>14</v>
      </c>
      <c r="BE120" s="33">
        <f t="shared" si="17"/>
        <v>85.71428571</v>
      </c>
    </row>
    <row r="121">
      <c r="A121" s="24">
        <v>37.0</v>
      </c>
      <c r="B121" s="24" t="s">
        <v>279</v>
      </c>
      <c r="C121" s="25" t="s">
        <v>280</v>
      </c>
      <c r="D121" s="26" t="s">
        <v>28</v>
      </c>
      <c r="E121" s="26" t="s">
        <v>28</v>
      </c>
      <c r="F121" s="26" t="s">
        <v>28</v>
      </c>
      <c r="G121" s="26" t="s">
        <v>28</v>
      </c>
      <c r="H121" s="26" t="s">
        <v>28</v>
      </c>
      <c r="I121" s="26" t="s">
        <v>28</v>
      </c>
      <c r="J121" s="26" t="s">
        <v>28</v>
      </c>
      <c r="K121" s="26" t="s">
        <v>28</v>
      </c>
      <c r="L121" s="26" t="s">
        <v>28</v>
      </c>
      <c r="M121" s="26" t="s">
        <v>28</v>
      </c>
      <c r="N121" s="26" t="s">
        <v>28</v>
      </c>
      <c r="O121" s="26" t="s">
        <v>28</v>
      </c>
      <c r="P121" s="26" t="s">
        <v>28</v>
      </c>
      <c r="Q121" s="26" t="s">
        <v>28</v>
      </c>
      <c r="R121" s="43"/>
      <c r="S121" s="44"/>
      <c r="T121" s="45"/>
      <c r="U121" s="45"/>
      <c r="V121" s="45"/>
      <c r="W121" s="45"/>
      <c r="X121" s="45"/>
      <c r="Y121" s="45"/>
      <c r="Z121" s="45"/>
      <c r="AA121" s="45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32">
        <f t="shared" si="13"/>
        <v>0</v>
      </c>
      <c r="BB121" s="32">
        <f t="shared" si="14"/>
        <v>0</v>
      </c>
      <c r="BC121" s="32">
        <f t="shared" si="15"/>
        <v>14</v>
      </c>
      <c r="BD121" s="32">
        <f t="shared" si="16"/>
        <v>14</v>
      </c>
      <c r="BE121" s="33">
        <f t="shared" si="17"/>
        <v>100</v>
      </c>
    </row>
    <row r="122">
      <c r="A122" s="24">
        <v>38.0</v>
      </c>
      <c r="B122" s="24" t="s">
        <v>281</v>
      </c>
      <c r="C122" s="25" t="s">
        <v>282</v>
      </c>
      <c r="D122" s="26" t="s">
        <v>28</v>
      </c>
      <c r="E122" s="26" t="s">
        <v>28</v>
      </c>
      <c r="F122" s="26" t="s">
        <v>28</v>
      </c>
      <c r="G122" s="26" t="s">
        <v>28</v>
      </c>
      <c r="H122" s="27" t="s">
        <v>22</v>
      </c>
      <c r="I122" s="27" t="s">
        <v>22</v>
      </c>
      <c r="J122" s="27" t="s">
        <v>22</v>
      </c>
      <c r="K122" s="27" t="s">
        <v>22</v>
      </c>
      <c r="L122" s="27" t="s">
        <v>22</v>
      </c>
      <c r="M122" s="27" t="s">
        <v>22</v>
      </c>
      <c r="N122" s="27" t="s">
        <v>22</v>
      </c>
      <c r="O122" s="26" t="s">
        <v>28</v>
      </c>
      <c r="P122" s="26" t="s">
        <v>28</v>
      </c>
      <c r="Q122" s="26" t="s">
        <v>28</v>
      </c>
      <c r="R122" s="43"/>
      <c r="S122" s="44"/>
      <c r="T122" s="45"/>
      <c r="U122" s="45"/>
      <c r="V122" s="45"/>
      <c r="W122" s="45"/>
      <c r="X122" s="45"/>
      <c r="Y122" s="45"/>
      <c r="Z122" s="45"/>
      <c r="AA122" s="45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32">
        <f t="shared" si="13"/>
        <v>0</v>
      </c>
      <c r="BB122" s="32">
        <f t="shared" si="14"/>
        <v>7</v>
      </c>
      <c r="BC122" s="32">
        <f t="shared" si="15"/>
        <v>7</v>
      </c>
      <c r="BD122" s="32">
        <f t="shared" si="16"/>
        <v>14</v>
      </c>
      <c r="BE122" s="33">
        <f t="shared" si="17"/>
        <v>50</v>
      </c>
    </row>
    <row r="123">
      <c r="A123" s="24">
        <v>39.0</v>
      </c>
      <c r="B123" s="24" t="s">
        <v>283</v>
      </c>
      <c r="C123" s="25" t="s">
        <v>284</v>
      </c>
      <c r="D123" s="26" t="s">
        <v>28</v>
      </c>
      <c r="E123" s="26" t="s">
        <v>28</v>
      </c>
      <c r="F123" s="26" t="s">
        <v>28</v>
      </c>
      <c r="G123" s="26" t="s">
        <v>28</v>
      </c>
      <c r="H123" s="26" t="s">
        <v>28</v>
      </c>
      <c r="I123" s="26" t="s">
        <v>28</v>
      </c>
      <c r="J123" s="26" t="s">
        <v>28</v>
      </c>
      <c r="K123" s="26" t="s">
        <v>28</v>
      </c>
      <c r="L123" s="26" t="s">
        <v>28</v>
      </c>
      <c r="M123" s="26" t="s">
        <v>28</v>
      </c>
      <c r="N123" s="26" t="s">
        <v>28</v>
      </c>
      <c r="O123" s="26" t="s">
        <v>28</v>
      </c>
      <c r="P123" s="26" t="s">
        <v>28</v>
      </c>
      <c r="Q123" s="26" t="s">
        <v>28</v>
      </c>
      <c r="R123" s="43"/>
      <c r="S123" s="44"/>
      <c r="T123" s="45"/>
      <c r="U123" s="45"/>
      <c r="V123" s="45"/>
      <c r="W123" s="45"/>
      <c r="X123" s="45"/>
      <c r="Y123" s="45"/>
      <c r="Z123" s="45"/>
      <c r="AA123" s="45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32">
        <f t="shared" si="13"/>
        <v>0</v>
      </c>
      <c r="BB123" s="32">
        <f t="shared" si="14"/>
        <v>0</v>
      </c>
      <c r="BC123" s="32">
        <f t="shared" si="15"/>
        <v>14</v>
      </c>
      <c r="BD123" s="32">
        <f t="shared" si="16"/>
        <v>14</v>
      </c>
      <c r="BE123" s="33">
        <f t="shared" si="17"/>
        <v>100</v>
      </c>
    </row>
    <row r="124">
      <c r="A124" s="24">
        <v>40.0</v>
      </c>
      <c r="B124" s="24" t="s">
        <v>285</v>
      </c>
      <c r="C124" s="25" t="s">
        <v>286</v>
      </c>
      <c r="D124" s="26" t="s">
        <v>28</v>
      </c>
      <c r="E124" s="27" t="s">
        <v>22</v>
      </c>
      <c r="F124" s="26" t="s">
        <v>28</v>
      </c>
      <c r="G124" s="26" t="s">
        <v>28</v>
      </c>
      <c r="H124" s="26" t="s">
        <v>28</v>
      </c>
      <c r="I124" s="26" t="s">
        <v>28</v>
      </c>
      <c r="J124" s="26" t="s">
        <v>28</v>
      </c>
      <c r="K124" s="26" t="s">
        <v>28</v>
      </c>
      <c r="L124" s="26" t="s">
        <v>28</v>
      </c>
      <c r="M124" s="26" t="s">
        <v>28</v>
      </c>
      <c r="N124" s="26" t="s">
        <v>28</v>
      </c>
      <c r="O124" s="26" t="s">
        <v>28</v>
      </c>
      <c r="P124" s="26" t="s">
        <v>28</v>
      </c>
      <c r="Q124" s="27" t="s">
        <v>22</v>
      </c>
      <c r="R124" s="43"/>
      <c r="S124" s="44"/>
      <c r="T124" s="45"/>
      <c r="U124" s="45"/>
      <c r="V124" s="45"/>
      <c r="W124" s="45"/>
      <c r="X124" s="45"/>
      <c r="Y124" s="45"/>
      <c r="Z124" s="45"/>
      <c r="AA124" s="45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32">
        <f t="shared" si="13"/>
        <v>0</v>
      </c>
      <c r="BB124" s="32">
        <f t="shared" si="14"/>
        <v>2</v>
      </c>
      <c r="BC124" s="32">
        <f t="shared" si="15"/>
        <v>12</v>
      </c>
      <c r="BD124" s="32">
        <f t="shared" si="16"/>
        <v>14</v>
      </c>
      <c r="BE124" s="33">
        <f t="shared" si="17"/>
        <v>85.71428571</v>
      </c>
    </row>
    <row r="125">
      <c r="A125" s="24">
        <v>41.0</v>
      </c>
      <c r="B125" s="24" t="s">
        <v>287</v>
      </c>
      <c r="C125" s="25" t="s">
        <v>288</v>
      </c>
      <c r="D125" s="26" t="s">
        <v>28</v>
      </c>
      <c r="E125" s="26" t="s">
        <v>28</v>
      </c>
      <c r="F125" s="27" t="s">
        <v>22</v>
      </c>
      <c r="G125" s="26" t="s">
        <v>28</v>
      </c>
      <c r="H125" s="27" t="s">
        <v>22</v>
      </c>
      <c r="I125" s="26" t="s">
        <v>28</v>
      </c>
      <c r="J125" s="26" t="s">
        <v>28</v>
      </c>
      <c r="K125" s="26" t="s">
        <v>28</v>
      </c>
      <c r="L125" s="26" t="s">
        <v>28</v>
      </c>
      <c r="M125" s="26" t="s">
        <v>28</v>
      </c>
      <c r="N125" s="26" t="s">
        <v>28</v>
      </c>
      <c r="O125" s="26" t="s">
        <v>28</v>
      </c>
      <c r="P125" s="26" t="s">
        <v>28</v>
      </c>
      <c r="Q125" s="27" t="s">
        <v>22</v>
      </c>
      <c r="R125" s="43"/>
      <c r="S125" s="44"/>
      <c r="T125" s="45"/>
      <c r="U125" s="45"/>
      <c r="V125" s="45"/>
      <c r="W125" s="45"/>
      <c r="X125" s="45"/>
      <c r="Y125" s="45"/>
      <c r="Z125" s="45"/>
      <c r="AA125" s="45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32">
        <f t="shared" si="13"/>
        <v>0</v>
      </c>
      <c r="BB125" s="32">
        <f t="shared" si="14"/>
        <v>3</v>
      </c>
      <c r="BC125" s="32">
        <f t="shared" si="15"/>
        <v>11</v>
      </c>
      <c r="BD125" s="32">
        <f t="shared" si="16"/>
        <v>14</v>
      </c>
      <c r="BE125" s="33">
        <f t="shared" si="17"/>
        <v>78.57142857</v>
      </c>
    </row>
    <row r="126">
      <c r="A126" s="24">
        <v>42.0</v>
      </c>
      <c r="B126" s="24" t="s">
        <v>289</v>
      </c>
      <c r="C126" s="25" t="s">
        <v>290</v>
      </c>
      <c r="D126" s="26" t="s">
        <v>28</v>
      </c>
      <c r="E126" s="26" t="s">
        <v>28</v>
      </c>
      <c r="F126" s="26" t="s">
        <v>28</v>
      </c>
      <c r="G126" s="26" t="s">
        <v>28</v>
      </c>
      <c r="H126" s="26" t="s">
        <v>28</v>
      </c>
      <c r="I126" s="26" t="s">
        <v>28</v>
      </c>
      <c r="J126" s="26" t="s">
        <v>28</v>
      </c>
      <c r="K126" s="26" t="s">
        <v>28</v>
      </c>
      <c r="L126" s="26" t="s">
        <v>28</v>
      </c>
      <c r="M126" s="26" t="s">
        <v>28</v>
      </c>
      <c r="N126" s="26" t="s">
        <v>28</v>
      </c>
      <c r="O126" s="26" t="s">
        <v>28</v>
      </c>
      <c r="P126" s="26" t="s">
        <v>28</v>
      </c>
      <c r="Q126" s="26" t="s">
        <v>28</v>
      </c>
      <c r="R126" s="71"/>
      <c r="S126" s="45"/>
      <c r="T126" s="45"/>
      <c r="U126" s="45"/>
      <c r="V126" s="45"/>
      <c r="W126" s="45"/>
      <c r="X126" s="45"/>
      <c r="Y126" s="45"/>
      <c r="Z126" s="45"/>
      <c r="AA126" s="45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32">
        <f t="shared" si="13"/>
        <v>0</v>
      </c>
      <c r="BB126" s="32">
        <f t="shared" si="14"/>
        <v>0</v>
      </c>
      <c r="BC126" s="32">
        <f t="shared" si="15"/>
        <v>14</v>
      </c>
      <c r="BD126" s="32">
        <f t="shared" si="16"/>
        <v>14</v>
      </c>
      <c r="BE126" s="33">
        <f t="shared" si="17"/>
        <v>100</v>
      </c>
    </row>
    <row r="127">
      <c r="A127" s="24">
        <v>43.0</v>
      </c>
      <c r="B127" s="24" t="s">
        <v>291</v>
      </c>
      <c r="C127" s="25" t="s">
        <v>292</v>
      </c>
      <c r="D127" s="26" t="s">
        <v>28</v>
      </c>
      <c r="E127" s="26" t="s">
        <v>28</v>
      </c>
      <c r="F127" s="27" t="s">
        <v>22</v>
      </c>
      <c r="G127" s="26" t="s">
        <v>28</v>
      </c>
      <c r="H127" s="26" t="s">
        <v>28</v>
      </c>
      <c r="I127" s="26" t="s">
        <v>28</v>
      </c>
      <c r="J127" s="26" t="s">
        <v>28</v>
      </c>
      <c r="K127" s="26" t="s">
        <v>28</v>
      </c>
      <c r="L127" s="26" t="s">
        <v>28</v>
      </c>
      <c r="M127" s="26" t="s">
        <v>28</v>
      </c>
      <c r="N127" s="26" t="s">
        <v>28</v>
      </c>
      <c r="O127" s="26" t="s">
        <v>28</v>
      </c>
      <c r="P127" s="26" t="s">
        <v>28</v>
      </c>
      <c r="Q127" s="26" t="s">
        <v>28</v>
      </c>
      <c r="R127" s="43"/>
      <c r="S127" s="44"/>
      <c r="T127" s="45"/>
      <c r="U127" s="45"/>
      <c r="V127" s="45"/>
      <c r="W127" s="45"/>
      <c r="X127" s="45"/>
      <c r="Y127" s="45"/>
      <c r="Z127" s="45"/>
      <c r="AA127" s="45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32">
        <f t="shared" si="13"/>
        <v>0</v>
      </c>
      <c r="BB127" s="32">
        <f t="shared" si="14"/>
        <v>1</v>
      </c>
      <c r="BC127" s="32">
        <f t="shared" si="15"/>
        <v>13</v>
      </c>
      <c r="BD127" s="32">
        <f t="shared" si="16"/>
        <v>14</v>
      </c>
      <c r="BE127" s="33">
        <f t="shared" si="17"/>
        <v>92.85714286</v>
      </c>
    </row>
    <row r="128">
      <c r="A128" s="24">
        <v>44.0</v>
      </c>
      <c r="B128" s="24" t="s">
        <v>293</v>
      </c>
      <c r="C128" s="25" t="s">
        <v>294</v>
      </c>
      <c r="D128" s="26" t="s">
        <v>28</v>
      </c>
      <c r="E128" s="26" t="s">
        <v>28</v>
      </c>
      <c r="F128" s="26" t="s">
        <v>28</v>
      </c>
      <c r="G128" s="26" t="s">
        <v>28</v>
      </c>
      <c r="H128" s="27" t="s">
        <v>22</v>
      </c>
      <c r="I128" s="26" t="s">
        <v>28</v>
      </c>
      <c r="J128" s="26" t="s">
        <v>28</v>
      </c>
      <c r="K128" s="27" t="s">
        <v>22</v>
      </c>
      <c r="L128" s="26" t="s">
        <v>28</v>
      </c>
      <c r="M128" s="26" t="s">
        <v>28</v>
      </c>
      <c r="N128" s="26" t="s">
        <v>28</v>
      </c>
      <c r="O128" s="26" t="s">
        <v>28</v>
      </c>
      <c r="P128" s="26" t="s">
        <v>28</v>
      </c>
      <c r="Q128" s="27" t="s">
        <v>22</v>
      </c>
      <c r="R128" s="43"/>
      <c r="S128" s="44"/>
      <c r="T128" s="45"/>
      <c r="U128" s="45"/>
      <c r="V128" s="45"/>
      <c r="W128" s="45"/>
      <c r="X128" s="45"/>
      <c r="Y128" s="45"/>
      <c r="Z128" s="45"/>
      <c r="AA128" s="45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32">
        <f t="shared" si="13"/>
        <v>0</v>
      </c>
      <c r="BB128" s="32">
        <f t="shared" si="14"/>
        <v>3</v>
      </c>
      <c r="BC128" s="32">
        <f t="shared" si="15"/>
        <v>11</v>
      </c>
      <c r="BD128" s="32">
        <f t="shared" si="16"/>
        <v>14</v>
      </c>
      <c r="BE128" s="33">
        <f t="shared" si="17"/>
        <v>78.57142857</v>
      </c>
    </row>
    <row r="129">
      <c r="A129" s="24">
        <v>45.0</v>
      </c>
      <c r="B129" s="24" t="s">
        <v>295</v>
      </c>
      <c r="C129" s="25" t="s">
        <v>296</v>
      </c>
      <c r="D129" s="27" t="s">
        <v>22</v>
      </c>
      <c r="E129" s="26" t="s">
        <v>28</v>
      </c>
      <c r="F129" s="26" t="s">
        <v>28</v>
      </c>
      <c r="G129" s="26" t="s">
        <v>28</v>
      </c>
      <c r="H129" s="27" t="s">
        <v>22</v>
      </c>
      <c r="I129" s="26" t="s">
        <v>28</v>
      </c>
      <c r="J129" s="26" t="s">
        <v>28</v>
      </c>
      <c r="K129" s="26" t="s">
        <v>28</v>
      </c>
      <c r="L129" s="26" t="s">
        <v>28</v>
      </c>
      <c r="M129" s="26" t="s">
        <v>28</v>
      </c>
      <c r="N129" s="26" t="s">
        <v>28</v>
      </c>
      <c r="O129" s="26" t="s">
        <v>28</v>
      </c>
      <c r="P129" s="26" t="s">
        <v>28</v>
      </c>
      <c r="Q129" s="26" t="s">
        <v>28</v>
      </c>
      <c r="R129" s="43"/>
      <c r="S129" s="44"/>
      <c r="T129" s="45"/>
      <c r="U129" s="45"/>
      <c r="V129" s="45"/>
      <c r="W129" s="45"/>
      <c r="X129" s="45"/>
      <c r="Y129" s="45"/>
      <c r="Z129" s="45"/>
      <c r="AA129" s="45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32">
        <f t="shared" si="13"/>
        <v>0</v>
      </c>
      <c r="BB129" s="32">
        <f t="shared" si="14"/>
        <v>2</v>
      </c>
      <c r="BC129" s="32">
        <f t="shared" si="15"/>
        <v>12</v>
      </c>
      <c r="BD129" s="32">
        <f t="shared" si="16"/>
        <v>14</v>
      </c>
      <c r="BE129" s="33">
        <f t="shared" si="17"/>
        <v>85.71428571</v>
      </c>
    </row>
    <row r="130">
      <c r="A130" s="24">
        <v>46.0</v>
      </c>
      <c r="B130" s="24" t="s">
        <v>299</v>
      </c>
      <c r="C130" s="25" t="s">
        <v>300</v>
      </c>
      <c r="D130" s="26" t="s">
        <v>28</v>
      </c>
      <c r="E130" s="26" t="s">
        <v>28</v>
      </c>
      <c r="F130" s="26" t="s">
        <v>28</v>
      </c>
      <c r="G130" s="26" t="s">
        <v>28</v>
      </c>
      <c r="H130" s="26" t="s">
        <v>28</v>
      </c>
      <c r="I130" s="26" t="s">
        <v>28</v>
      </c>
      <c r="J130" s="26" t="s">
        <v>28</v>
      </c>
      <c r="K130" s="26" t="s">
        <v>28</v>
      </c>
      <c r="L130" s="26" t="s">
        <v>28</v>
      </c>
      <c r="M130" s="26" t="s">
        <v>28</v>
      </c>
      <c r="N130" s="26" t="s">
        <v>28</v>
      </c>
      <c r="O130" s="26" t="s">
        <v>28</v>
      </c>
      <c r="P130" s="27" t="s">
        <v>22</v>
      </c>
      <c r="Q130" s="26" t="s">
        <v>28</v>
      </c>
      <c r="R130" s="43"/>
      <c r="S130" s="44"/>
      <c r="T130" s="45"/>
      <c r="U130" s="45"/>
      <c r="V130" s="45"/>
      <c r="W130" s="45"/>
      <c r="X130" s="45"/>
      <c r="Y130" s="45"/>
      <c r="Z130" s="45"/>
      <c r="AA130" s="45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32">
        <f t="shared" si="13"/>
        <v>0</v>
      </c>
      <c r="BB130" s="32">
        <f t="shared" si="14"/>
        <v>1</v>
      </c>
      <c r="BC130" s="32">
        <f t="shared" si="15"/>
        <v>13</v>
      </c>
      <c r="BD130" s="32">
        <f t="shared" si="16"/>
        <v>14</v>
      </c>
      <c r="BE130" s="33">
        <f t="shared" si="17"/>
        <v>92.85714286</v>
      </c>
    </row>
    <row r="131">
      <c r="A131" s="24">
        <v>47.0</v>
      </c>
      <c r="B131" s="24" t="s">
        <v>301</v>
      </c>
      <c r="C131" s="25" t="s">
        <v>302</v>
      </c>
      <c r="D131" s="26" t="s">
        <v>28</v>
      </c>
      <c r="E131" s="26" t="s">
        <v>28</v>
      </c>
      <c r="F131" s="26" t="s">
        <v>28</v>
      </c>
      <c r="G131" s="27" t="s">
        <v>22</v>
      </c>
      <c r="H131" s="26" t="s">
        <v>28</v>
      </c>
      <c r="I131" s="26" t="s">
        <v>28</v>
      </c>
      <c r="J131" s="26" t="s">
        <v>28</v>
      </c>
      <c r="K131" s="26" t="s">
        <v>28</v>
      </c>
      <c r="L131" s="27" t="s">
        <v>22</v>
      </c>
      <c r="M131" s="26" t="s">
        <v>28</v>
      </c>
      <c r="N131" s="26" t="s">
        <v>28</v>
      </c>
      <c r="O131" s="26" t="s">
        <v>28</v>
      </c>
      <c r="P131" s="26" t="s">
        <v>28</v>
      </c>
      <c r="Q131" s="26" t="s">
        <v>28</v>
      </c>
      <c r="R131" s="43"/>
      <c r="S131" s="44"/>
      <c r="T131" s="45"/>
      <c r="U131" s="45"/>
      <c r="V131" s="45"/>
      <c r="W131" s="45"/>
      <c r="X131" s="45"/>
      <c r="Y131" s="45"/>
      <c r="Z131" s="45"/>
      <c r="AA131" s="45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32">
        <f t="shared" si="13"/>
        <v>0</v>
      </c>
      <c r="BB131" s="32">
        <f t="shared" si="14"/>
        <v>2</v>
      </c>
      <c r="BC131" s="32">
        <f t="shared" si="15"/>
        <v>12</v>
      </c>
      <c r="BD131" s="32">
        <f t="shared" si="16"/>
        <v>14</v>
      </c>
      <c r="BE131" s="33">
        <f t="shared" si="17"/>
        <v>85.71428571</v>
      </c>
    </row>
    <row r="132">
      <c r="A132" s="24">
        <v>48.0</v>
      </c>
      <c r="B132" s="24" t="s">
        <v>303</v>
      </c>
      <c r="C132" s="25" t="s">
        <v>304</v>
      </c>
      <c r="D132" s="26" t="s">
        <v>28</v>
      </c>
      <c r="E132" s="26" t="s">
        <v>28</v>
      </c>
      <c r="F132" s="26" t="s">
        <v>28</v>
      </c>
      <c r="G132" s="26" t="s">
        <v>28</v>
      </c>
      <c r="H132" s="27" t="s">
        <v>22</v>
      </c>
      <c r="I132" s="26" t="s">
        <v>28</v>
      </c>
      <c r="J132" s="26" t="s">
        <v>28</v>
      </c>
      <c r="K132" s="26" t="s">
        <v>28</v>
      </c>
      <c r="L132" s="26" t="s">
        <v>28</v>
      </c>
      <c r="M132" s="26" t="s">
        <v>28</v>
      </c>
      <c r="N132" s="26" t="s">
        <v>28</v>
      </c>
      <c r="O132" s="26" t="s">
        <v>28</v>
      </c>
      <c r="P132" s="26" t="s">
        <v>28</v>
      </c>
      <c r="Q132" s="26" t="s">
        <v>28</v>
      </c>
      <c r="R132" s="43"/>
      <c r="S132" s="44"/>
      <c r="T132" s="45"/>
      <c r="U132" s="45"/>
      <c r="V132" s="45"/>
      <c r="W132" s="45"/>
      <c r="X132" s="45"/>
      <c r="Y132" s="45"/>
      <c r="Z132" s="45"/>
      <c r="AA132" s="45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32">
        <f t="shared" si="13"/>
        <v>0</v>
      </c>
      <c r="BB132" s="32">
        <f t="shared" si="14"/>
        <v>1</v>
      </c>
      <c r="BC132" s="32">
        <f t="shared" si="15"/>
        <v>13</v>
      </c>
      <c r="BD132" s="32">
        <f t="shared" si="16"/>
        <v>14</v>
      </c>
      <c r="BE132" s="33">
        <f t="shared" si="17"/>
        <v>92.85714286</v>
      </c>
    </row>
    <row r="133">
      <c r="A133" s="24">
        <v>49.0</v>
      </c>
      <c r="B133" s="24" t="s">
        <v>305</v>
      </c>
      <c r="C133" s="25" t="s">
        <v>306</v>
      </c>
      <c r="D133" s="26" t="s">
        <v>28</v>
      </c>
      <c r="E133" s="26" t="s">
        <v>28</v>
      </c>
      <c r="F133" s="26" t="s">
        <v>28</v>
      </c>
      <c r="G133" s="26" t="s">
        <v>28</v>
      </c>
      <c r="H133" s="27" t="s">
        <v>22</v>
      </c>
      <c r="I133" s="27" t="s">
        <v>22</v>
      </c>
      <c r="J133" s="27" t="s">
        <v>22</v>
      </c>
      <c r="K133" s="26" t="s">
        <v>28</v>
      </c>
      <c r="L133" s="26" t="s">
        <v>28</v>
      </c>
      <c r="M133" s="26" t="s">
        <v>28</v>
      </c>
      <c r="N133" s="27" t="s">
        <v>22</v>
      </c>
      <c r="O133" s="26" t="s">
        <v>28</v>
      </c>
      <c r="P133" s="26" t="s">
        <v>28</v>
      </c>
      <c r="Q133" s="27" t="s">
        <v>22</v>
      </c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32">
        <f t="shared" si="13"/>
        <v>0</v>
      </c>
      <c r="BB133" s="32">
        <f t="shared" si="14"/>
        <v>5</v>
      </c>
      <c r="BC133" s="32">
        <f t="shared" si="15"/>
        <v>9</v>
      </c>
      <c r="BD133" s="32">
        <f t="shared" si="16"/>
        <v>14</v>
      </c>
      <c r="BE133" s="33">
        <f t="shared" si="17"/>
        <v>64.28571429</v>
      </c>
    </row>
    <row r="134">
      <c r="A134" s="24">
        <v>50.0</v>
      </c>
      <c r="B134" s="24" t="s">
        <v>307</v>
      </c>
      <c r="C134" s="25" t="s">
        <v>308</v>
      </c>
      <c r="D134" s="26" t="s">
        <v>28</v>
      </c>
      <c r="E134" s="26" t="s">
        <v>28</v>
      </c>
      <c r="F134" s="26" t="s">
        <v>28</v>
      </c>
      <c r="G134" s="26" t="s">
        <v>28</v>
      </c>
      <c r="H134" s="26" t="s">
        <v>28</v>
      </c>
      <c r="I134" s="26" t="s">
        <v>28</v>
      </c>
      <c r="J134" s="26" t="s">
        <v>28</v>
      </c>
      <c r="K134" s="26" t="s">
        <v>28</v>
      </c>
      <c r="L134" s="26" t="s">
        <v>28</v>
      </c>
      <c r="M134" s="26" t="s">
        <v>28</v>
      </c>
      <c r="N134" s="26" t="s">
        <v>28</v>
      </c>
      <c r="O134" s="26" t="s">
        <v>28</v>
      </c>
      <c r="P134" s="26" t="s">
        <v>28</v>
      </c>
      <c r="Q134" s="26" t="s">
        <v>28</v>
      </c>
      <c r="R134" s="43"/>
      <c r="S134" s="44"/>
      <c r="T134" s="45"/>
      <c r="U134" s="45"/>
      <c r="V134" s="45"/>
      <c r="W134" s="45"/>
      <c r="X134" s="45"/>
      <c r="Y134" s="45"/>
      <c r="Z134" s="45"/>
      <c r="AA134" s="45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32">
        <f t="shared" si="13"/>
        <v>0</v>
      </c>
      <c r="BB134" s="32">
        <f t="shared" si="14"/>
        <v>0</v>
      </c>
      <c r="BC134" s="32">
        <f t="shared" si="15"/>
        <v>14</v>
      </c>
      <c r="BD134" s="32">
        <f t="shared" si="16"/>
        <v>14</v>
      </c>
      <c r="BE134" s="33">
        <f t="shared" si="17"/>
        <v>100</v>
      </c>
    </row>
    <row r="135">
      <c r="A135" s="24">
        <v>51.0</v>
      </c>
      <c r="B135" s="24" t="s">
        <v>309</v>
      </c>
      <c r="C135" s="25" t="s">
        <v>310</v>
      </c>
      <c r="D135" s="26" t="s">
        <v>28</v>
      </c>
      <c r="E135" s="27" t="s">
        <v>22</v>
      </c>
      <c r="F135" s="26" t="s">
        <v>28</v>
      </c>
      <c r="G135" s="26" t="s">
        <v>28</v>
      </c>
      <c r="H135" s="26" t="s">
        <v>28</v>
      </c>
      <c r="I135" s="26" t="s">
        <v>28</v>
      </c>
      <c r="J135" s="26" t="s">
        <v>28</v>
      </c>
      <c r="K135" s="26" t="s">
        <v>28</v>
      </c>
      <c r="L135" s="26" t="s">
        <v>28</v>
      </c>
      <c r="M135" s="26" t="s">
        <v>28</v>
      </c>
      <c r="N135" s="26" t="s">
        <v>28</v>
      </c>
      <c r="O135" s="26" t="s">
        <v>28</v>
      </c>
      <c r="P135" s="26" t="s">
        <v>28</v>
      </c>
      <c r="Q135" s="27" t="s">
        <v>22</v>
      </c>
      <c r="R135" s="43"/>
      <c r="S135" s="44"/>
      <c r="T135" s="45"/>
      <c r="U135" s="45"/>
      <c r="V135" s="45"/>
      <c r="W135" s="45"/>
      <c r="X135" s="45"/>
      <c r="Y135" s="45"/>
      <c r="Z135" s="45"/>
      <c r="AA135" s="45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32">
        <f t="shared" si="13"/>
        <v>0</v>
      </c>
      <c r="BB135" s="32">
        <f t="shared" si="14"/>
        <v>2</v>
      </c>
      <c r="BC135" s="32">
        <f t="shared" si="15"/>
        <v>12</v>
      </c>
      <c r="BD135" s="32">
        <f t="shared" si="16"/>
        <v>14</v>
      </c>
      <c r="BE135" s="33">
        <f t="shared" si="17"/>
        <v>85.71428571</v>
      </c>
    </row>
    <row r="136">
      <c r="A136" s="24">
        <v>52.0</v>
      </c>
      <c r="B136" s="24" t="s">
        <v>311</v>
      </c>
      <c r="C136" s="25" t="s">
        <v>312</v>
      </c>
      <c r="D136" s="26" t="s">
        <v>28</v>
      </c>
      <c r="E136" s="26" t="s">
        <v>28</v>
      </c>
      <c r="F136" s="27" t="s">
        <v>22</v>
      </c>
      <c r="G136" s="26" t="s">
        <v>28</v>
      </c>
      <c r="H136" s="27" t="s">
        <v>22</v>
      </c>
      <c r="I136" s="26" t="s">
        <v>28</v>
      </c>
      <c r="J136" s="26" t="s">
        <v>28</v>
      </c>
      <c r="K136" s="26" t="s">
        <v>28</v>
      </c>
      <c r="L136" s="26" t="s">
        <v>28</v>
      </c>
      <c r="M136" s="26" t="s">
        <v>28</v>
      </c>
      <c r="N136" s="26" t="s">
        <v>28</v>
      </c>
      <c r="O136" s="26" t="s">
        <v>28</v>
      </c>
      <c r="P136" s="26" t="s">
        <v>28</v>
      </c>
      <c r="Q136" s="27" t="s">
        <v>22</v>
      </c>
      <c r="R136" s="43"/>
      <c r="S136" s="44"/>
      <c r="T136" s="45"/>
      <c r="U136" s="45"/>
      <c r="V136" s="45"/>
      <c r="W136" s="45"/>
      <c r="X136" s="45"/>
      <c r="Y136" s="45"/>
      <c r="Z136" s="45"/>
      <c r="AA136" s="45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32">
        <f t="shared" si="13"/>
        <v>0</v>
      </c>
      <c r="BB136" s="32">
        <f t="shared" si="14"/>
        <v>3</v>
      </c>
      <c r="BC136" s="32">
        <f t="shared" si="15"/>
        <v>11</v>
      </c>
      <c r="BD136" s="32">
        <f t="shared" si="16"/>
        <v>14</v>
      </c>
      <c r="BE136" s="33">
        <f t="shared" si="17"/>
        <v>78.57142857</v>
      </c>
    </row>
    <row r="137">
      <c r="A137" s="24">
        <v>53.0</v>
      </c>
      <c r="B137" s="24" t="s">
        <v>313</v>
      </c>
      <c r="C137" s="25" t="s">
        <v>314</v>
      </c>
      <c r="D137" s="26" t="s">
        <v>28</v>
      </c>
      <c r="E137" s="26" t="s">
        <v>28</v>
      </c>
      <c r="F137" s="26" t="s">
        <v>28</v>
      </c>
      <c r="G137" s="26" t="s">
        <v>28</v>
      </c>
      <c r="H137" s="26" t="s">
        <v>28</v>
      </c>
      <c r="I137" s="26" t="s">
        <v>28</v>
      </c>
      <c r="J137" s="26" t="s">
        <v>28</v>
      </c>
      <c r="K137" s="26" t="s">
        <v>28</v>
      </c>
      <c r="L137" s="26" t="s">
        <v>28</v>
      </c>
      <c r="M137" s="26" t="s">
        <v>28</v>
      </c>
      <c r="N137" s="26" t="s">
        <v>28</v>
      </c>
      <c r="O137" s="26" t="s">
        <v>28</v>
      </c>
      <c r="P137" s="26" t="s">
        <v>28</v>
      </c>
      <c r="Q137" s="26" t="s">
        <v>28</v>
      </c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32">
        <f t="shared" si="13"/>
        <v>0</v>
      </c>
      <c r="BB137" s="32">
        <f t="shared" si="14"/>
        <v>0</v>
      </c>
      <c r="BC137" s="32">
        <f t="shared" si="15"/>
        <v>14</v>
      </c>
      <c r="BD137" s="32">
        <f t="shared" si="16"/>
        <v>14</v>
      </c>
      <c r="BE137" s="33">
        <f t="shared" si="17"/>
        <v>100</v>
      </c>
    </row>
    <row r="138">
      <c r="A138" s="24">
        <v>54.0</v>
      </c>
      <c r="B138" s="24" t="s">
        <v>315</v>
      </c>
      <c r="C138" s="25" t="s">
        <v>316</v>
      </c>
      <c r="D138" s="26" t="s">
        <v>28</v>
      </c>
      <c r="E138" s="26" t="s">
        <v>28</v>
      </c>
      <c r="F138" s="26" t="s">
        <v>28</v>
      </c>
      <c r="G138" s="26" t="s">
        <v>28</v>
      </c>
      <c r="H138" s="26" t="s">
        <v>28</v>
      </c>
      <c r="I138" s="26" t="s">
        <v>28</v>
      </c>
      <c r="J138" s="27" t="s">
        <v>22</v>
      </c>
      <c r="K138" s="26" t="s">
        <v>28</v>
      </c>
      <c r="L138" s="26" t="s">
        <v>28</v>
      </c>
      <c r="M138" s="26" t="s">
        <v>28</v>
      </c>
      <c r="N138" s="26" t="s">
        <v>28</v>
      </c>
      <c r="O138" s="26" t="s">
        <v>28</v>
      </c>
      <c r="P138" s="26" t="s">
        <v>28</v>
      </c>
      <c r="Q138" s="26" t="s">
        <v>28</v>
      </c>
      <c r="R138" s="43"/>
      <c r="S138" s="44"/>
      <c r="T138" s="45"/>
      <c r="U138" s="45"/>
      <c r="V138" s="45"/>
      <c r="W138" s="45"/>
      <c r="X138" s="45"/>
      <c r="Y138" s="45"/>
      <c r="Z138" s="45"/>
      <c r="AA138" s="45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32">
        <f t="shared" si="13"/>
        <v>0</v>
      </c>
      <c r="BB138" s="32">
        <f t="shared" si="14"/>
        <v>1</v>
      </c>
      <c r="BC138" s="32">
        <f t="shared" si="15"/>
        <v>13</v>
      </c>
      <c r="BD138" s="32">
        <f t="shared" si="16"/>
        <v>14</v>
      </c>
      <c r="BE138" s="33">
        <f t="shared" si="17"/>
        <v>92.85714286</v>
      </c>
    </row>
    <row r="139">
      <c r="A139" s="24">
        <v>55.0</v>
      </c>
      <c r="B139" s="24" t="s">
        <v>317</v>
      </c>
      <c r="C139" s="25" t="s">
        <v>318</v>
      </c>
      <c r="D139" s="26" t="s">
        <v>28</v>
      </c>
      <c r="E139" s="26" t="s">
        <v>28</v>
      </c>
      <c r="F139" s="26" t="s">
        <v>28</v>
      </c>
      <c r="G139" s="26" t="s">
        <v>28</v>
      </c>
      <c r="H139" s="26" t="s">
        <v>28</v>
      </c>
      <c r="I139" s="27" t="s">
        <v>22</v>
      </c>
      <c r="J139" s="26" t="s">
        <v>28</v>
      </c>
      <c r="K139" s="26" t="s">
        <v>28</v>
      </c>
      <c r="L139" s="26" t="s">
        <v>28</v>
      </c>
      <c r="M139" s="26" t="s">
        <v>28</v>
      </c>
      <c r="N139" s="26" t="s">
        <v>28</v>
      </c>
      <c r="O139" s="26" t="s">
        <v>28</v>
      </c>
      <c r="P139" s="26" t="s">
        <v>28</v>
      </c>
      <c r="Q139" s="26" t="s">
        <v>28</v>
      </c>
      <c r="R139" s="43"/>
      <c r="S139" s="44"/>
      <c r="T139" s="45"/>
      <c r="U139" s="45"/>
      <c r="V139" s="45"/>
      <c r="W139" s="45"/>
      <c r="X139" s="45"/>
      <c r="Y139" s="45"/>
      <c r="Z139" s="45"/>
      <c r="AA139" s="45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32">
        <f t="shared" si="13"/>
        <v>0</v>
      </c>
      <c r="BB139" s="32">
        <f t="shared" si="14"/>
        <v>1</v>
      </c>
      <c r="BC139" s="32">
        <f t="shared" si="15"/>
        <v>13</v>
      </c>
      <c r="BD139" s="32">
        <f t="shared" si="16"/>
        <v>14</v>
      </c>
      <c r="BE139" s="33">
        <f t="shared" si="17"/>
        <v>92.85714286</v>
      </c>
    </row>
    <row r="140">
      <c r="A140" s="24">
        <v>56.0</v>
      </c>
      <c r="B140" s="24" t="s">
        <v>319</v>
      </c>
      <c r="C140" s="25" t="s">
        <v>320</v>
      </c>
      <c r="D140" s="26" t="s">
        <v>28</v>
      </c>
      <c r="E140" s="27" t="s">
        <v>22</v>
      </c>
      <c r="F140" s="26" t="s">
        <v>28</v>
      </c>
      <c r="G140" s="26" t="s">
        <v>28</v>
      </c>
      <c r="H140" s="26" t="s">
        <v>28</v>
      </c>
      <c r="I140" s="26" t="s">
        <v>28</v>
      </c>
      <c r="J140" s="26" t="s">
        <v>28</v>
      </c>
      <c r="K140" s="27" t="s">
        <v>22</v>
      </c>
      <c r="L140" s="27" t="s">
        <v>22</v>
      </c>
      <c r="M140" s="27" t="s">
        <v>22</v>
      </c>
      <c r="N140" s="26" t="s">
        <v>28</v>
      </c>
      <c r="O140" s="26" t="s">
        <v>28</v>
      </c>
      <c r="P140" s="26" t="s">
        <v>28</v>
      </c>
      <c r="Q140" s="26" t="s">
        <v>28</v>
      </c>
      <c r="R140" s="43"/>
      <c r="S140" s="44"/>
      <c r="T140" s="45"/>
      <c r="U140" s="45"/>
      <c r="V140" s="45"/>
      <c r="W140" s="45"/>
      <c r="X140" s="45"/>
      <c r="Y140" s="45"/>
      <c r="Z140" s="45"/>
      <c r="AA140" s="45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32">
        <f t="shared" si="13"/>
        <v>0</v>
      </c>
      <c r="BB140" s="32">
        <f t="shared" si="14"/>
        <v>4</v>
      </c>
      <c r="BC140" s="32">
        <f t="shared" si="15"/>
        <v>10</v>
      </c>
      <c r="BD140" s="32">
        <f t="shared" si="16"/>
        <v>14</v>
      </c>
      <c r="BE140" s="33">
        <f t="shared" si="17"/>
        <v>71.42857143</v>
      </c>
    </row>
    <row r="141">
      <c r="A141" s="24">
        <v>57.0</v>
      </c>
      <c r="B141" s="24" t="s">
        <v>321</v>
      </c>
      <c r="C141" s="25" t="s">
        <v>322</v>
      </c>
      <c r="D141" s="27" t="s">
        <v>22</v>
      </c>
      <c r="E141" s="26" t="s">
        <v>28</v>
      </c>
      <c r="F141" s="26" t="s">
        <v>28</v>
      </c>
      <c r="G141" s="26" t="s">
        <v>28</v>
      </c>
      <c r="H141" s="26" t="s">
        <v>28</v>
      </c>
      <c r="I141" s="26" t="s">
        <v>28</v>
      </c>
      <c r="J141" s="26" t="s">
        <v>28</v>
      </c>
      <c r="K141" s="26" t="s">
        <v>28</v>
      </c>
      <c r="L141" s="26" t="s">
        <v>28</v>
      </c>
      <c r="M141" s="26" t="s">
        <v>28</v>
      </c>
      <c r="N141" s="26" t="s">
        <v>28</v>
      </c>
      <c r="O141" s="26" t="s">
        <v>28</v>
      </c>
      <c r="P141" s="27" t="s">
        <v>22</v>
      </c>
      <c r="Q141" s="27" t="s">
        <v>22</v>
      </c>
      <c r="R141" s="43"/>
      <c r="S141" s="44"/>
      <c r="T141" s="45"/>
      <c r="U141" s="45"/>
      <c r="V141" s="45"/>
      <c r="W141" s="45"/>
      <c r="X141" s="45"/>
      <c r="Y141" s="45"/>
      <c r="Z141" s="45"/>
      <c r="AA141" s="45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32">
        <f t="shared" si="13"/>
        <v>0</v>
      </c>
      <c r="BB141" s="32">
        <f t="shared" si="14"/>
        <v>3</v>
      </c>
      <c r="BC141" s="32">
        <f t="shared" si="15"/>
        <v>11</v>
      </c>
      <c r="BD141" s="32">
        <f t="shared" si="16"/>
        <v>14</v>
      </c>
      <c r="BE141" s="33">
        <f t="shared" si="17"/>
        <v>78.57142857</v>
      </c>
    </row>
    <row r="142">
      <c r="A142" s="35">
        <v>58.0</v>
      </c>
      <c r="B142" s="35" t="s">
        <v>323</v>
      </c>
      <c r="C142" s="36" t="s">
        <v>324</v>
      </c>
      <c r="D142" s="27" t="s">
        <v>22</v>
      </c>
      <c r="E142" s="27" t="s">
        <v>22</v>
      </c>
      <c r="F142" s="27" t="s">
        <v>22</v>
      </c>
      <c r="G142" s="27" t="s">
        <v>22</v>
      </c>
      <c r="H142" s="27" t="s">
        <v>22</v>
      </c>
      <c r="I142" s="27" t="s">
        <v>22</v>
      </c>
      <c r="J142" s="37"/>
      <c r="K142" s="27"/>
      <c r="L142" s="27"/>
      <c r="M142" s="27"/>
      <c r="N142" s="37"/>
      <c r="O142" s="27"/>
      <c r="P142" s="38"/>
      <c r="Q142" s="38"/>
      <c r="R142" s="38"/>
      <c r="S142" s="86"/>
      <c r="T142" s="39"/>
      <c r="U142" s="39"/>
      <c r="V142" s="39"/>
      <c r="W142" s="39"/>
      <c r="X142" s="39"/>
      <c r="Y142" s="39"/>
      <c r="Z142" s="39"/>
      <c r="AA142" s="39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1">
        <f t="shared" si="13"/>
        <v>0</v>
      </c>
      <c r="BB142" s="41">
        <f t="shared" si="14"/>
        <v>6</v>
      </c>
      <c r="BC142" s="41">
        <f t="shared" si="15"/>
        <v>0</v>
      </c>
      <c r="BD142" s="41">
        <f t="shared" si="16"/>
        <v>6</v>
      </c>
      <c r="BE142" s="42">
        <f t="shared" si="17"/>
        <v>0</v>
      </c>
    </row>
    <row r="143">
      <c r="A143" s="24">
        <v>59.0</v>
      </c>
      <c r="B143" s="24" t="s">
        <v>327</v>
      </c>
      <c r="C143" s="25" t="s">
        <v>328</v>
      </c>
      <c r="D143" s="26" t="s">
        <v>28</v>
      </c>
      <c r="E143" s="26" t="s">
        <v>28</v>
      </c>
      <c r="F143" s="26" t="s">
        <v>28</v>
      </c>
      <c r="G143" s="26" t="s">
        <v>28</v>
      </c>
      <c r="H143" s="26" t="s">
        <v>28</v>
      </c>
      <c r="I143" s="26" t="s">
        <v>28</v>
      </c>
      <c r="J143" s="26" t="s">
        <v>28</v>
      </c>
      <c r="K143" s="26" t="s">
        <v>28</v>
      </c>
      <c r="L143" s="26" t="s">
        <v>28</v>
      </c>
      <c r="M143" s="26" t="s">
        <v>28</v>
      </c>
      <c r="N143" s="26" t="s">
        <v>28</v>
      </c>
      <c r="O143" s="26" t="s">
        <v>28</v>
      </c>
      <c r="P143" s="26" t="s">
        <v>28</v>
      </c>
      <c r="Q143" s="26" t="s">
        <v>28</v>
      </c>
      <c r="R143" s="43"/>
      <c r="S143" s="44"/>
      <c r="T143" s="45"/>
      <c r="U143" s="45"/>
      <c r="V143" s="45"/>
      <c r="W143" s="45"/>
      <c r="X143" s="45"/>
      <c r="Y143" s="45"/>
      <c r="Z143" s="45"/>
      <c r="AA143" s="45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32">
        <f t="shared" si="13"/>
        <v>0</v>
      </c>
      <c r="BB143" s="32">
        <f t="shared" si="14"/>
        <v>0</v>
      </c>
      <c r="BC143" s="32">
        <f t="shared" si="15"/>
        <v>14</v>
      </c>
      <c r="BD143" s="32">
        <f t="shared" si="16"/>
        <v>14</v>
      </c>
      <c r="BE143" s="33">
        <f t="shared" si="17"/>
        <v>100</v>
      </c>
    </row>
    <row r="144">
      <c r="A144" s="24">
        <v>60.0</v>
      </c>
      <c r="B144" s="24" t="s">
        <v>329</v>
      </c>
      <c r="C144" s="25" t="s">
        <v>330</v>
      </c>
      <c r="D144" s="26" t="s">
        <v>28</v>
      </c>
      <c r="E144" s="27" t="s">
        <v>22</v>
      </c>
      <c r="F144" s="26" t="s">
        <v>28</v>
      </c>
      <c r="G144" s="26" t="s">
        <v>28</v>
      </c>
      <c r="H144" s="26" t="s">
        <v>28</v>
      </c>
      <c r="I144" s="26" t="s">
        <v>28</v>
      </c>
      <c r="J144" s="26" t="s">
        <v>28</v>
      </c>
      <c r="K144" s="26" t="s">
        <v>28</v>
      </c>
      <c r="L144" s="26" t="s">
        <v>28</v>
      </c>
      <c r="M144" s="26" t="s">
        <v>28</v>
      </c>
      <c r="N144" s="26" t="s">
        <v>28</v>
      </c>
      <c r="O144" s="26" t="s">
        <v>28</v>
      </c>
      <c r="P144" s="26" t="s">
        <v>28</v>
      </c>
      <c r="Q144" s="26" t="s">
        <v>28</v>
      </c>
      <c r="R144" s="43"/>
      <c r="S144" s="44"/>
      <c r="T144" s="45"/>
      <c r="U144" s="45"/>
      <c r="V144" s="45"/>
      <c r="W144" s="45"/>
      <c r="X144" s="45"/>
      <c r="Y144" s="45"/>
      <c r="Z144" s="45"/>
      <c r="AA144" s="45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32">
        <f t="shared" si="13"/>
        <v>0</v>
      </c>
      <c r="BB144" s="32">
        <f t="shared" si="14"/>
        <v>1</v>
      </c>
      <c r="BC144" s="32">
        <f t="shared" si="15"/>
        <v>13</v>
      </c>
      <c r="BD144" s="32">
        <f t="shared" si="16"/>
        <v>14</v>
      </c>
      <c r="BE144" s="33">
        <f t="shared" si="17"/>
        <v>92.85714286</v>
      </c>
    </row>
    <row r="145">
      <c r="A145" s="24">
        <v>61.0</v>
      </c>
      <c r="B145" s="24" t="s">
        <v>337</v>
      </c>
      <c r="C145" s="25" t="s">
        <v>338</v>
      </c>
      <c r="D145" s="26" t="s">
        <v>28</v>
      </c>
      <c r="E145" s="26" t="s">
        <v>28</v>
      </c>
      <c r="F145" s="26" t="s">
        <v>28</v>
      </c>
      <c r="G145" s="26" t="s">
        <v>28</v>
      </c>
      <c r="H145" s="26" t="s">
        <v>28</v>
      </c>
      <c r="I145" s="26" t="s">
        <v>28</v>
      </c>
      <c r="J145" s="26" t="s">
        <v>28</v>
      </c>
      <c r="K145" s="27" t="s">
        <v>22</v>
      </c>
      <c r="L145" s="26" t="s">
        <v>28</v>
      </c>
      <c r="M145" s="26" t="s">
        <v>28</v>
      </c>
      <c r="N145" s="26" t="s">
        <v>28</v>
      </c>
      <c r="O145" s="26" t="s">
        <v>28</v>
      </c>
      <c r="P145" s="26" t="s">
        <v>28</v>
      </c>
      <c r="Q145" s="26" t="s">
        <v>28</v>
      </c>
      <c r="R145" s="43"/>
      <c r="S145" s="44"/>
      <c r="T145" s="45"/>
      <c r="U145" s="45"/>
      <c r="V145" s="45"/>
      <c r="W145" s="45"/>
      <c r="X145" s="45"/>
      <c r="Y145" s="45"/>
      <c r="Z145" s="45"/>
      <c r="AA145" s="45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32">
        <f t="shared" si="13"/>
        <v>0</v>
      </c>
      <c r="BB145" s="32">
        <f t="shared" si="14"/>
        <v>1</v>
      </c>
      <c r="BC145" s="32">
        <f t="shared" si="15"/>
        <v>13</v>
      </c>
      <c r="BD145" s="32">
        <f t="shared" si="16"/>
        <v>14</v>
      </c>
      <c r="BE145" s="33">
        <f t="shared" si="17"/>
        <v>92.85714286</v>
      </c>
    </row>
    <row r="146">
      <c r="A146" s="24">
        <v>62.0</v>
      </c>
      <c r="B146" s="24" t="s">
        <v>339</v>
      </c>
      <c r="C146" s="25" t="s">
        <v>340</v>
      </c>
      <c r="D146" s="26" t="s">
        <v>28</v>
      </c>
      <c r="E146" s="26" t="s">
        <v>28</v>
      </c>
      <c r="F146" s="26" t="s">
        <v>28</v>
      </c>
      <c r="G146" s="26" t="s">
        <v>28</v>
      </c>
      <c r="H146" s="26" t="s">
        <v>28</v>
      </c>
      <c r="I146" s="27" t="s">
        <v>22</v>
      </c>
      <c r="J146" s="27" t="s">
        <v>22</v>
      </c>
      <c r="K146" s="27" t="s">
        <v>22</v>
      </c>
      <c r="L146" s="26" t="s">
        <v>28</v>
      </c>
      <c r="M146" s="26" t="s">
        <v>28</v>
      </c>
      <c r="N146" s="27" t="s">
        <v>22</v>
      </c>
      <c r="O146" s="27" t="s">
        <v>22</v>
      </c>
      <c r="P146" s="26" t="s">
        <v>28</v>
      </c>
      <c r="Q146" s="26" t="s">
        <v>28</v>
      </c>
      <c r="R146" s="43"/>
      <c r="S146" s="44"/>
      <c r="T146" s="45"/>
      <c r="U146" s="45"/>
      <c r="V146" s="45"/>
      <c r="W146" s="45"/>
      <c r="X146" s="45"/>
      <c r="Y146" s="45"/>
      <c r="Z146" s="45"/>
      <c r="AA146" s="45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32">
        <f t="shared" si="13"/>
        <v>0</v>
      </c>
      <c r="BB146" s="32">
        <f t="shared" si="14"/>
        <v>5</v>
      </c>
      <c r="BC146" s="32">
        <f t="shared" si="15"/>
        <v>9</v>
      </c>
      <c r="BD146" s="32">
        <f t="shared" si="16"/>
        <v>14</v>
      </c>
      <c r="BE146" s="33">
        <f t="shared" si="17"/>
        <v>64.28571429</v>
      </c>
    </row>
    <row r="147">
      <c r="A147" s="24">
        <v>63.0</v>
      </c>
      <c r="B147" s="24" t="s">
        <v>341</v>
      </c>
      <c r="C147" s="25" t="s">
        <v>342</v>
      </c>
      <c r="D147" s="26" t="s">
        <v>28</v>
      </c>
      <c r="E147" s="26" t="s">
        <v>28</v>
      </c>
      <c r="F147" s="27" t="s">
        <v>22</v>
      </c>
      <c r="G147" s="26" t="s">
        <v>28</v>
      </c>
      <c r="H147" s="26" t="s">
        <v>28</v>
      </c>
      <c r="I147" s="26" t="s">
        <v>28</v>
      </c>
      <c r="J147" s="26" t="s">
        <v>28</v>
      </c>
      <c r="K147" s="26" t="s">
        <v>28</v>
      </c>
      <c r="L147" s="26" t="s">
        <v>28</v>
      </c>
      <c r="M147" s="26" t="s">
        <v>28</v>
      </c>
      <c r="N147" s="27" t="s">
        <v>22</v>
      </c>
      <c r="O147" s="26" t="s">
        <v>28</v>
      </c>
      <c r="P147" s="27" t="s">
        <v>22</v>
      </c>
      <c r="Q147" s="27" t="s">
        <v>22</v>
      </c>
      <c r="R147" s="43"/>
      <c r="S147" s="44"/>
      <c r="T147" s="45"/>
      <c r="U147" s="45"/>
      <c r="V147" s="45"/>
      <c r="W147" s="45"/>
      <c r="X147" s="45"/>
      <c r="Y147" s="45"/>
      <c r="Z147" s="45"/>
      <c r="AA147" s="45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32">
        <f t="shared" si="13"/>
        <v>0</v>
      </c>
      <c r="BB147" s="32">
        <f t="shared" si="14"/>
        <v>4</v>
      </c>
      <c r="BC147" s="32">
        <f t="shared" si="15"/>
        <v>10</v>
      </c>
      <c r="BD147" s="32">
        <f t="shared" si="16"/>
        <v>14</v>
      </c>
      <c r="BE147" s="33">
        <f t="shared" si="17"/>
        <v>71.42857143</v>
      </c>
    </row>
    <row r="148">
      <c r="A148" s="35">
        <v>64.0</v>
      </c>
      <c r="B148" s="35" t="s">
        <v>343</v>
      </c>
      <c r="C148" s="36" t="s">
        <v>344</v>
      </c>
      <c r="D148" s="27" t="s">
        <v>22</v>
      </c>
      <c r="E148" s="27" t="s">
        <v>22</v>
      </c>
      <c r="F148" s="27" t="s">
        <v>22</v>
      </c>
      <c r="G148" s="37" t="s">
        <v>28</v>
      </c>
      <c r="H148" s="37" t="s">
        <v>28</v>
      </c>
      <c r="I148" s="37" t="s">
        <v>28</v>
      </c>
      <c r="J148" s="37" t="s">
        <v>28</v>
      </c>
      <c r="K148" s="37" t="s">
        <v>28</v>
      </c>
      <c r="L148" s="27" t="s">
        <v>22</v>
      </c>
      <c r="M148" s="27" t="s">
        <v>22</v>
      </c>
      <c r="N148" s="27" t="s">
        <v>22</v>
      </c>
      <c r="O148" s="27" t="s">
        <v>22</v>
      </c>
      <c r="P148" s="27" t="s">
        <v>22</v>
      </c>
      <c r="Q148" s="27" t="s">
        <v>22</v>
      </c>
      <c r="R148" s="38"/>
      <c r="S148" s="86"/>
      <c r="T148" s="39"/>
      <c r="U148" s="39"/>
      <c r="V148" s="39"/>
      <c r="W148" s="39"/>
      <c r="X148" s="39"/>
      <c r="Y148" s="39"/>
      <c r="Z148" s="39"/>
      <c r="AA148" s="39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1">
        <f t="shared" si="13"/>
        <v>0</v>
      </c>
      <c r="BB148" s="41">
        <f t="shared" si="14"/>
        <v>9</v>
      </c>
      <c r="BC148" s="41">
        <f t="shared" si="15"/>
        <v>5</v>
      </c>
      <c r="BD148" s="41">
        <f t="shared" si="16"/>
        <v>14</v>
      </c>
      <c r="BE148" s="42">
        <f t="shared" si="17"/>
        <v>35.71428571</v>
      </c>
    </row>
    <row r="149">
      <c r="A149" s="24">
        <v>65.0</v>
      </c>
      <c r="B149" s="24" t="s">
        <v>345</v>
      </c>
      <c r="C149" s="25" t="s">
        <v>346</v>
      </c>
      <c r="D149" s="26" t="s">
        <v>28</v>
      </c>
      <c r="E149" s="26" t="s">
        <v>28</v>
      </c>
      <c r="F149" s="26" t="s">
        <v>28</v>
      </c>
      <c r="G149" s="26" t="s">
        <v>28</v>
      </c>
      <c r="H149" s="26" t="s">
        <v>28</v>
      </c>
      <c r="I149" s="26" t="s">
        <v>28</v>
      </c>
      <c r="J149" s="27" t="s">
        <v>22</v>
      </c>
      <c r="K149" s="26" t="s">
        <v>28</v>
      </c>
      <c r="L149" s="26" t="s">
        <v>28</v>
      </c>
      <c r="M149" s="26" t="s">
        <v>28</v>
      </c>
      <c r="N149" s="27" t="s">
        <v>22</v>
      </c>
      <c r="O149" s="26" t="s">
        <v>28</v>
      </c>
      <c r="P149" s="26" t="s">
        <v>28</v>
      </c>
      <c r="Q149" s="26" t="s">
        <v>28</v>
      </c>
      <c r="R149" s="51"/>
      <c r="S149" s="51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32">
        <f t="shared" si="13"/>
        <v>0</v>
      </c>
      <c r="BB149" s="32">
        <f t="shared" si="14"/>
        <v>2</v>
      </c>
      <c r="BC149" s="32">
        <f t="shared" si="15"/>
        <v>12</v>
      </c>
      <c r="BD149" s="32">
        <f t="shared" si="16"/>
        <v>14</v>
      </c>
      <c r="BE149" s="33">
        <f t="shared" si="17"/>
        <v>85.71428571</v>
      </c>
    </row>
    <row r="150">
      <c r="A150" s="24">
        <v>66.0</v>
      </c>
      <c r="B150" s="24" t="s">
        <v>349</v>
      </c>
      <c r="C150" s="25" t="s">
        <v>350</v>
      </c>
      <c r="D150" s="26" t="s">
        <v>28</v>
      </c>
      <c r="E150" s="26" t="s">
        <v>28</v>
      </c>
      <c r="F150" s="26" t="s">
        <v>28</v>
      </c>
      <c r="G150" s="26" t="s">
        <v>28</v>
      </c>
      <c r="H150" s="26" t="s">
        <v>28</v>
      </c>
      <c r="I150" s="26" t="s">
        <v>28</v>
      </c>
      <c r="J150" s="26" t="s">
        <v>28</v>
      </c>
      <c r="K150" s="26" t="s">
        <v>28</v>
      </c>
      <c r="L150" s="26" t="s">
        <v>28</v>
      </c>
      <c r="M150" s="26" t="s">
        <v>28</v>
      </c>
      <c r="N150" s="26" t="s">
        <v>28</v>
      </c>
      <c r="O150" s="26" t="s">
        <v>28</v>
      </c>
      <c r="P150" s="26" t="s">
        <v>28</v>
      </c>
      <c r="Q150" s="26" t="s">
        <v>28</v>
      </c>
      <c r="R150" s="51"/>
      <c r="S150" s="51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32">
        <f t="shared" si="13"/>
        <v>0</v>
      </c>
      <c r="BB150" s="32">
        <f t="shared" si="14"/>
        <v>0</v>
      </c>
      <c r="BC150" s="32">
        <f t="shared" si="15"/>
        <v>14</v>
      </c>
      <c r="BD150" s="32">
        <f t="shared" si="16"/>
        <v>14</v>
      </c>
      <c r="BE150" s="33">
        <f t="shared" si="17"/>
        <v>100</v>
      </c>
    </row>
    <row r="151">
      <c r="A151" s="24">
        <v>67.0</v>
      </c>
      <c r="B151" s="24" t="s">
        <v>351</v>
      </c>
      <c r="C151" s="25" t="s">
        <v>352</v>
      </c>
      <c r="D151" s="26" t="s">
        <v>28</v>
      </c>
      <c r="E151" s="26" t="s">
        <v>28</v>
      </c>
      <c r="F151" s="26" t="s">
        <v>28</v>
      </c>
      <c r="G151" s="26" t="s">
        <v>28</v>
      </c>
      <c r="H151" s="26" t="s">
        <v>28</v>
      </c>
      <c r="I151" s="26" t="s">
        <v>28</v>
      </c>
      <c r="J151" s="26" t="s">
        <v>28</v>
      </c>
      <c r="K151" s="26" t="s">
        <v>28</v>
      </c>
      <c r="L151" s="26" t="s">
        <v>28</v>
      </c>
      <c r="M151" s="26" t="s">
        <v>28</v>
      </c>
      <c r="N151" s="27" t="s">
        <v>22</v>
      </c>
      <c r="O151" s="26" t="s">
        <v>28</v>
      </c>
      <c r="P151" s="26" t="s">
        <v>28</v>
      </c>
      <c r="Q151" s="26" t="s">
        <v>28</v>
      </c>
      <c r="R151" s="51"/>
      <c r="S151" s="51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32">
        <f t="shared" si="13"/>
        <v>0</v>
      </c>
      <c r="BB151" s="32">
        <f t="shared" si="14"/>
        <v>1</v>
      </c>
      <c r="BC151" s="32">
        <f t="shared" si="15"/>
        <v>13</v>
      </c>
      <c r="BD151" s="32">
        <f t="shared" si="16"/>
        <v>14</v>
      </c>
      <c r="BE151" s="33">
        <f t="shared" si="17"/>
        <v>92.85714286</v>
      </c>
    </row>
    <row r="152">
      <c r="A152" s="24">
        <v>68.0</v>
      </c>
      <c r="B152" s="24" t="s">
        <v>353</v>
      </c>
      <c r="C152" s="25" t="s">
        <v>354</v>
      </c>
      <c r="D152" s="26" t="s">
        <v>28</v>
      </c>
      <c r="E152" s="27" t="s">
        <v>22</v>
      </c>
      <c r="F152" s="26" t="s">
        <v>28</v>
      </c>
      <c r="G152" s="26" t="s">
        <v>28</v>
      </c>
      <c r="H152" s="26" t="s">
        <v>28</v>
      </c>
      <c r="I152" s="26" t="s">
        <v>28</v>
      </c>
      <c r="J152" s="26" t="s">
        <v>28</v>
      </c>
      <c r="K152" s="26" t="s">
        <v>28</v>
      </c>
      <c r="L152" s="26" t="s">
        <v>28</v>
      </c>
      <c r="M152" s="26" t="s">
        <v>28</v>
      </c>
      <c r="N152" s="26" t="s">
        <v>28</v>
      </c>
      <c r="O152" s="26" t="s">
        <v>28</v>
      </c>
      <c r="P152" s="26" t="s">
        <v>28</v>
      </c>
      <c r="Q152" s="27" t="s">
        <v>22</v>
      </c>
      <c r="R152" s="51"/>
      <c r="S152" s="51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32">
        <f t="shared" si="13"/>
        <v>0</v>
      </c>
      <c r="BB152" s="32">
        <f t="shared" si="14"/>
        <v>2</v>
      </c>
      <c r="BC152" s="32">
        <f t="shared" si="15"/>
        <v>12</v>
      </c>
      <c r="BD152" s="32">
        <f t="shared" si="16"/>
        <v>14</v>
      </c>
      <c r="BE152" s="33">
        <f t="shared" si="17"/>
        <v>85.71428571</v>
      </c>
    </row>
    <row r="153">
      <c r="A153" s="24">
        <v>69.0</v>
      </c>
      <c r="B153" s="24" t="s">
        <v>357</v>
      </c>
      <c r="C153" s="25" t="s">
        <v>358</v>
      </c>
      <c r="D153" s="26" t="s">
        <v>28</v>
      </c>
      <c r="E153" s="26" t="s">
        <v>28</v>
      </c>
      <c r="F153" s="26" t="s">
        <v>28</v>
      </c>
      <c r="G153" s="26" t="s">
        <v>28</v>
      </c>
      <c r="H153" s="26" t="s">
        <v>28</v>
      </c>
      <c r="I153" s="26" t="s">
        <v>28</v>
      </c>
      <c r="J153" s="26" t="s">
        <v>28</v>
      </c>
      <c r="K153" s="26" t="s">
        <v>28</v>
      </c>
      <c r="L153" s="26" t="s">
        <v>28</v>
      </c>
      <c r="M153" s="26" t="s">
        <v>28</v>
      </c>
      <c r="N153" s="26" t="s">
        <v>28</v>
      </c>
      <c r="O153" s="26" t="s">
        <v>28</v>
      </c>
      <c r="P153" s="26" t="s">
        <v>28</v>
      </c>
      <c r="Q153" s="26" t="s">
        <v>28</v>
      </c>
      <c r="R153" s="51"/>
      <c r="S153" s="51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32">
        <f t="shared" si="13"/>
        <v>0</v>
      </c>
      <c r="BB153" s="32">
        <f t="shared" si="14"/>
        <v>0</v>
      </c>
      <c r="BC153" s="32">
        <f t="shared" si="15"/>
        <v>14</v>
      </c>
      <c r="BD153" s="32">
        <f t="shared" si="16"/>
        <v>14</v>
      </c>
      <c r="BE153" s="33">
        <f t="shared" si="17"/>
        <v>100</v>
      </c>
    </row>
    <row r="154">
      <c r="A154" s="24">
        <v>70.0</v>
      </c>
      <c r="B154" s="24" t="s">
        <v>359</v>
      </c>
      <c r="C154" s="25" t="s">
        <v>360</v>
      </c>
      <c r="D154" s="27" t="s">
        <v>22</v>
      </c>
      <c r="E154" s="26" t="s">
        <v>28</v>
      </c>
      <c r="F154" s="26" t="s">
        <v>28</v>
      </c>
      <c r="G154" s="26" t="s">
        <v>28</v>
      </c>
      <c r="H154" s="26" t="s">
        <v>28</v>
      </c>
      <c r="I154" s="26" t="s">
        <v>28</v>
      </c>
      <c r="J154" s="26" t="s">
        <v>28</v>
      </c>
      <c r="K154" s="27" t="s">
        <v>22</v>
      </c>
      <c r="L154" s="26" t="s">
        <v>28</v>
      </c>
      <c r="M154" s="26" t="s">
        <v>28</v>
      </c>
      <c r="N154" s="27" t="s">
        <v>22</v>
      </c>
      <c r="O154" s="26" t="s">
        <v>28</v>
      </c>
      <c r="P154" s="26" t="s">
        <v>28</v>
      </c>
      <c r="Q154" s="27" t="s">
        <v>22</v>
      </c>
      <c r="R154" s="51"/>
      <c r="S154" s="51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32">
        <f t="shared" si="13"/>
        <v>0</v>
      </c>
      <c r="BB154" s="32">
        <f t="shared" si="14"/>
        <v>4</v>
      </c>
      <c r="BC154" s="32">
        <f t="shared" si="15"/>
        <v>10</v>
      </c>
      <c r="BD154" s="32">
        <f t="shared" si="16"/>
        <v>14</v>
      </c>
      <c r="BE154" s="33">
        <f t="shared" si="17"/>
        <v>71.42857143</v>
      </c>
    </row>
    <row r="155">
      <c r="A155" s="24">
        <v>71.0</v>
      </c>
      <c r="B155" s="74" t="s">
        <v>361</v>
      </c>
      <c r="C155" s="75" t="s">
        <v>362</v>
      </c>
      <c r="D155" s="26" t="s">
        <v>28</v>
      </c>
      <c r="E155" s="26" t="s">
        <v>28</v>
      </c>
      <c r="F155" s="26" t="s">
        <v>28</v>
      </c>
      <c r="G155" s="26" t="s">
        <v>28</v>
      </c>
      <c r="H155" s="26" t="s">
        <v>28</v>
      </c>
      <c r="I155" s="26" t="s">
        <v>28</v>
      </c>
      <c r="J155" s="26" t="s">
        <v>28</v>
      </c>
      <c r="K155" s="26" t="s">
        <v>28</v>
      </c>
      <c r="L155" s="26" t="s">
        <v>28</v>
      </c>
      <c r="M155" s="26" t="s">
        <v>28</v>
      </c>
      <c r="N155" s="26" t="s">
        <v>28</v>
      </c>
      <c r="O155" s="26" t="s">
        <v>28</v>
      </c>
      <c r="P155" s="26" t="s">
        <v>28</v>
      </c>
      <c r="Q155" s="26" t="s">
        <v>28</v>
      </c>
      <c r="R155" s="51"/>
      <c r="S155" s="51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32">
        <f t="shared" si="13"/>
        <v>0</v>
      </c>
      <c r="BB155" s="32">
        <f t="shared" si="14"/>
        <v>0</v>
      </c>
      <c r="BC155" s="32">
        <f t="shared" si="15"/>
        <v>14</v>
      </c>
      <c r="BD155" s="32">
        <f t="shared" si="16"/>
        <v>14</v>
      </c>
      <c r="BE155" s="33">
        <f t="shared" si="17"/>
        <v>100</v>
      </c>
    </row>
    <row r="156">
      <c r="A156" s="24">
        <v>72.0</v>
      </c>
      <c r="B156" s="24" t="s">
        <v>365</v>
      </c>
      <c r="C156" s="25" t="s">
        <v>366</v>
      </c>
      <c r="D156" s="26" t="s">
        <v>28</v>
      </c>
      <c r="E156" s="26" t="s">
        <v>28</v>
      </c>
      <c r="F156" s="27" t="s">
        <v>22</v>
      </c>
      <c r="G156" s="26" t="s">
        <v>28</v>
      </c>
      <c r="H156" s="26" t="s">
        <v>28</v>
      </c>
      <c r="I156" s="26" t="s">
        <v>28</v>
      </c>
      <c r="J156" s="26" t="s">
        <v>28</v>
      </c>
      <c r="K156" s="27" t="s">
        <v>22</v>
      </c>
      <c r="L156" s="26" t="s">
        <v>28</v>
      </c>
      <c r="M156" s="26" t="s">
        <v>28</v>
      </c>
      <c r="N156" s="26" t="s">
        <v>28</v>
      </c>
      <c r="O156" s="26" t="s">
        <v>28</v>
      </c>
      <c r="P156" s="27" t="s">
        <v>22</v>
      </c>
      <c r="Q156" s="26" t="s">
        <v>28</v>
      </c>
      <c r="R156" s="51"/>
      <c r="S156" s="51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32">
        <f t="shared" si="13"/>
        <v>0</v>
      </c>
      <c r="BB156" s="32">
        <f t="shared" si="14"/>
        <v>3</v>
      </c>
      <c r="BC156" s="32">
        <f t="shared" si="15"/>
        <v>11</v>
      </c>
      <c r="BD156" s="32">
        <f t="shared" si="16"/>
        <v>14</v>
      </c>
      <c r="BE156" s="33">
        <f t="shared" si="17"/>
        <v>78.57142857</v>
      </c>
    </row>
    <row r="157">
      <c r="A157" s="55"/>
      <c r="B157" s="55"/>
      <c r="C157" s="56" t="s">
        <v>191</v>
      </c>
      <c r="D157" s="57">
        <f t="shared" ref="D157:AZ157" si="18">COUNTIF(D85:D156,"P")+COUNTIF(D85:D156,"L")</f>
        <v>63</v>
      </c>
      <c r="E157" s="57">
        <f t="shared" si="18"/>
        <v>57</v>
      </c>
      <c r="F157" s="57">
        <f t="shared" si="18"/>
        <v>57</v>
      </c>
      <c r="G157" s="57">
        <f t="shared" si="18"/>
        <v>67</v>
      </c>
      <c r="H157" s="57">
        <f t="shared" si="18"/>
        <v>55</v>
      </c>
      <c r="I157" s="57">
        <f t="shared" si="18"/>
        <v>63</v>
      </c>
      <c r="J157" s="57">
        <f t="shared" si="18"/>
        <v>64</v>
      </c>
      <c r="K157" s="57">
        <f t="shared" si="18"/>
        <v>60</v>
      </c>
      <c r="L157" s="57">
        <f t="shared" si="18"/>
        <v>63</v>
      </c>
      <c r="M157" s="57">
        <f t="shared" si="18"/>
        <v>66</v>
      </c>
      <c r="N157" s="57">
        <f t="shared" si="18"/>
        <v>56</v>
      </c>
      <c r="O157" s="57">
        <f t="shared" si="18"/>
        <v>61</v>
      </c>
      <c r="P157" s="57">
        <f t="shared" si="18"/>
        <v>61</v>
      </c>
      <c r="Q157" s="57">
        <f t="shared" si="18"/>
        <v>50</v>
      </c>
      <c r="R157" s="57">
        <f t="shared" si="18"/>
        <v>0</v>
      </c>
      <c r="S157" s="57">
        <f t="shared" si="18"/>
        <v>0</v>
      </c>
      <c r="T157" s="57">
        <f t="shared" si="18"/>
        <v>0</v>
      </c>
      <c r="U157" s="57">
        <f t="shared" si="18"/>
        <v>0</v>
      </c>
      <c r="V157" s="57">
        <f t="shared" si="18"/>
        <v>0</v>
      </c>
      <c r="W157" s="57">
        <f t="shared" si="18"/>
        <v>0</v>
      </c>
      <c r="X157" s="57">
        <f t="shared" si="18"/>
        <v>0</v>
      </c>
      <c r="Y157" s="57">
        <f t="shared" si="18"/>
        <v>0</v>
      </c>
      <c r="Z157" s="57">
        <f t="shared" si="18"/>
        <v>0</v>
      </c>
      <c r="AA157" s="57">
        <f t="shared" si="18"/>
        <v>0</v>
      </c>
      <c r="AB157" s="57">
        <f t="shared" si="18"/>
        <v>0</v>
      </c>
      <c r="AC157" s="57">
        <f t="shared" si="18"/>
        <v>0</v>
      </c>
      <c r="AD157" s="57">
        <f t="shared" si="18"/>
        <v>0</v>
      </c>
      <c r="AE157" s="57">
        <f t="shared" si="18"/>
        <v>0</v>
      </c>
      <c r="AF157" s="57">
        <f t="shared" si="18"/>
        <v>0</v>
      </c>
      <c r="AG157" s="57">
        <f t="shared" si="18"/>
        <v>0</v>
      </c>
      <c r="AH157" s="57">
        <f t="shared" si="18"/>
        <v>0</v>
      </c>
      <c r="AI157" s="57">
        <f t="shared" si="18"/>
        <v>0</v>
      </c>
      <c r="AJ157" s="57">
        <f t="shared" si="18"/>
        <v>0</v>
      </c>
      <c r="AK157" s="57">
        <f t="shared" si="18"/>
        <v>0</v>
      </c>
      <c r="AL157" s="57">
        <f t="shared" si="18"/>
        <v>0</v>
      </c>
      <c r="AM157" s="57">
        <f t="shared" si="18"/>
        <v>0</v>
      </c>
      <c r="AN157" s="57">
        <f t="shared" si="18"/>
        <v>0</v>
      </c>
      <c r="AO157" s="57">
        <f t="shared" si="18"/>
        <v>0</v>
      </c>
      <c r="AP157" s="57">
        <f t="shared" si="18"/>
        <v>0</v>
      </c>
      <c r="AQ157" s="57">
        <f t="shared" si="18"/>
        <v>0</v>
      </c>
      <c r="AR157" s="57">
        <f t="shared" si="18"/>
        <v>0</v>
      </c>
      <c r="AS157" s="57">
        <f t="shared" si="18"/>
        <v>0</v>
      </c>
      <c r="AT157" s="57">
        <f t="shared" si="18"/>
        <v>0</v>
      </c>
      <c r="AU157" s="57">
        <f t="shared" si="18"/>
        <v>0</v>
      </c>
      <c r="AV157" s="57">
        <f t="shared" si="18"/>
        <v>0</v>
      </c>
      <c r="AW157" s="57">
        <f t="shared" si="18"/>
        <v>0</v>
      </c>
      <c r="AX157" s="57">
        <f t="shared" si="18"/>
        <v>0</v>
      </c>
      <c r="AY157" s="57">
        <f t="shared" si="18"/>
        <v>0</v>
      </c>
      <c r="AZ157" s="57">
        <f t="shared" si="18"/>
        <v>0</v>
      </c>
      <c r="BA157" s="32">
        <f t="shared" si="13"/>
        <v>0</v>
      </c>
      <c r="BB157" s="32">
        <f t="shared" si="14"/>
        <v>0</v>
      </c>
      <c r="BC157" s="32">
        <f t="shared" si="15"/>
        <v>0</v>
      </c>
      <c r="BD157" s="32">
        <f t="shared" si="16"/>
        <v>0</v>
      </c>
      <c r="BE157" s="33" t="str">
        <f t="shared" si="17"/>
        <v>#DIV/0!</v>
      </c>
    </row>
    <row r="158">
      <c r="A158" s="83" t="s">
        <v>407</v>
      </c>
      <c r="B158" s="55"/>
      <c r="C158" s="59" t="s">
        <v>192</v>
      </c>
      <c r="D158" s="60">
        <v>71.0</v>
      </c>
      <c r="E158" s="60">
        <v>71.0</v>
      </c>
      <c r="F158" s="60">
        <v>71.0</v>
      </c>
      <c r="G158" s="60">
        <v>71.0</v>
      </c>
      <c r="H158" s="60">
        <v>71.0</v>
      </c>
      <c r="I158" s="60">
        <v>71.0</v>
      </c>
      <c r="J158" s="60">
        <v>71.0</v>
      </c>
      <c r="K158" s="60">
        <v>71.0</v>
      </c>
      <c r="L158" s="60">
        <v>71.0</v>
      </c>
      <c r="M158" s="60">
        <v>71.0</v>
      </c>
      <c r="N158" s="60">
        <v>71.0</v>
      </c>
      <c r="O158" s="60">
        <v>71.0</v>
      </c>
      <c r="P158" s="60">
        <v>71.0</v>
      </c>
      <c r="Q158" s="60">
        <v>71.0</v>
      </c>
      <c r="R158" s="60">
        <v>71.0</v>
      </c>
      <c r="S158" s="60">
        <v>71.0</v>
      </c>
      <c r="T158" s="60">
        <v>71.0</v>
      </c>
      <c r="U158" s="60">
        <v>71.0</v>
      </c>
      <c r="V158" s="60">
        <v>71.0</v>
      </c>
      <c r="W158" s="60">
        <v>71.0</v>
      </c>
      <c r="X158" s="60">
        <v>71.0</v>
      </c>
      <c r="Y158" s="60">
        <v>71.0</v>
      </c>
      <c r="Z158" s="60">
        <v>71.0</v>
      </c>
      <c r="AA158" s="60">
        <v>71.0</v>
      </c>
      <c r="AB158" s="60">
        <v>71.0</v>
      </c>
      <c r="AC158" s="60">
        <v>71.0</v>
      </c>
      <c r="AD158" s="60">
        <v>71.0</v>
      </c>
      <c r="AE158" s="60">
        <v>71.0</v>
      </c>
      <c r="AF158" s="60">
        <v>71.0</v>
      </c>
      <c r="AG158" s="60">
        <v>71.0</v>
      </c>
      <c r="AH158" s="60">
        <v>71.0</v>
      </c>
      <c r="AI158" s="60">
        <v>71.0</v>
      </c>
      <c r="AJ158" s="60">
        <v>71.0</v>
      </c>
      <c r="AK158" s="60">
        <v>71.0</v>
      </c>
      <c r="AL158" s="60">
        <v>71.0</v>
      </c>
      <c r="AM158" s="60">
        <v>71.0</v>
      </c>
      <c r="AN158" s="60">
        <v>71.0</v>
      </c>
      <c r="AO158" s="60">
        <v>71.0</v>
      </c>
      <c r="AP158" s="60">
        <v>71.0</v>
      </c>
      <c r="AQ158" s="60">
        <v>71.0</v>
      </c>
      <c r="AR158" s="60">
        <v>71.0</v>
      </c>
      <c r="AS158" s="60">
        <v>71.0</v>
      </c>
      <c r="AT158" s="60">
        <v>71.0</v>
      </c>
      <c r="AU158" s="60">
        <v>71.0</v>
      </c>
      <c r="AV158" s="60">
        <v>71.0</v>
      </c>
      <c r="AW158" s="60">
        <v>71.0</v>
      </c>
      <c r="AX158" s="60">
        <v>71.0</v>
      </c>
      <c r="AY158" s="60">
        <v>71.0</v>
      </c>
      <c r="AZ158" s="60">
        <v>71.0</v>
      </c>
      <c r="BA158" s="55"/>
      <c r="BB158" s="55"/>
      <c r="BC158" s="55"/>
      <c r="BD158" s="55"/>
      <c r="BE158" s="76"/>
    </row>
    <row r="159">
      <c r="A159" s="55"/>
      <c r="B159" s="55"/>
      <c r="C159" s="62" t="s">
        <v>193</v>
      </c>
      <c r="D159" s="63">
        <f t="shared" ref="D159:AZ159" si="19">SUM(D157/D158)*100</f>
        <v>88.73239437</v>
      </c>
      <c r="E159" s="63">
        <f t="shared" si="19"/>
        <v>80.28169014</v>
      </c>
      <c r="F159" s="63">
        <f t="shared" si="19"/>
        <v>80.28169014</v>
      </c>
      <c r="G159" s="63">
        <f t="shared" si="19"/>
        <v>94.36619718</v>
      </c>
      <c r="H159" s="63">
        <f t="shared" si="19"/>
        <v>77.46478873</v>
      </c>
      <c r="I159" s="63">
        <f t="shared" si="19"/>
        <v>88.73239437</v>
      </c>
      <c r="J159" s="63">
        <f t="shared" si="19"/>
        <v>90.14084507</v>
      </c>
      <c r="K159" s="63">
        <f t="shared" si="19"/>
        <v>84.50704225</v>
      </c>
      <c r="L159" s="63">
        <f t="shared" si="19"/>
        <v>88.73239437</v>
      </c>
      <c r="M159" s="63">
        <f t="shared" si="19"/>
        <v>92.95774648</v>
      </c>
      <c r="N159" s="63">
        <f t="shared" si="19"/>
        <v>78.87323944</v>
      </c>
      <c r="O159" s="63">
        <f t="shared" si="19"/>
        <v>85.91549296</v>
      </c>
      <c r="P159" s="63">
        <f t="shared" si="19"/>
        <v>85.91549296</v>
      </c>
      <c r="Q159" s="63">
        <f t="shared" si="19"/>
        <v>70.42253521</v>
      </c>
      <c r="R159" s="63">
        <f t="shared" si="19"/>
        <v>0</v>
      </c>
      <c r="S159" s="63">
        <f t="shared" si="19"/>
        <v>0</v>
      </c>
      <c r="T159" s="63">
        <f t="shared" si="19"/>
        <v>0</v>
      </c>
      <c r="U159" s="63">
        <f t="shared" si="19"/>
        <v>0</v>
      </c>
      <c r="V159" s="63">
        <f t="shared" si="19"/>
        <v>0</v>
      </c>
      <c r="W159" s="63">
        <f t="shared" si="19"/>
        <v>0</v>
      </c>
      <c r="X159" s="63">
        <f t="shared" si="19"/>
        <v>0</v>
      </c>
      <c r="Y159" s="63">
        <f t="shared" si="19"/>
        <v>0</v>
      </c>
      <c r="Z159" s="63">
        <f t="shared" si="19"/>
        <v>0</v>
      </c>
      <c r="AA159" s="63">
        <f t="shared" si="19"/>
        <v>0</v>
      </c>
      <c r="AB159" s="63">
        <f t="shared" si="19"/>
        <v>0</v>
      </c>
      <c r="AC159" s="63">
        <f t="shared" si="19"/>
        <v>0</v>
      </c>
      <c r="AD159" s="63">
        <f t="shared" si="19"/>
        <v>0</v>
      </c>
      <c r="AE159" s="63">
        <f t="shared" si="19"/>
        <v>0</v>
      </c>
      <c r="AF159" s="63">
        <f t="shared" si="19"/>
        <v>0</v>
      </c>
      <c r="AG159" s="63">
        <f t="shared" si="19"/>
        <v>0</v>
      </c>
      <c r="AH159" s="63">
        <f t="shared" si="19"/>
        <v>0</v>
      </c>
      <c r="AI159" s="63">
        <f t="shared" si="19"/>
        <v>0</v>
      </c>
      <c r="AJ159" s="63">
        <f t="shared" si="19"/>
        <v>0</v>
      </c>
      <c r="AK159" s="63">
        <f t="shared" si="19"/>
        <v>0</v>
      </c>
      <c r="AL159" s="63">
        <f t="shared" si="19"/>
        <v>0</v>
      </c>
      <c r="AM159" s="63">
        <f t="shared" si="19"/>
        <v>0</v>
      </c>
      <c r="AN159" s="63">
        <f t="shared" si="19"/>
        <v>0</v>
      </c>
      <c r="AO159" s="63">
        <f t="shared" si="19"/>
        <v>0</v>
      </c>
      <c r="AP159" s="63">
        <f t="shared" si="19"/>
        <v>0</v>
      </c>
      <c r="AQ159" s="63">
        <f t="shared" si="19"/>
        <v>0</v>
      </c>
      <c r="AR159" s="63">
        <f t="shared" si="19"/>
        <v>0</v>
      </c>
      <c r="AS159" s="63">
        <f t="shared" si="19"/>
        <v>0</v>
      </c>
      <c r="AT159" s="63">
        <f t="shared" si="19"/>
        <v>0</v>
      </c>
      <c r="AU159" s="63">
        <f t="shared" si="19"/>
        <v>0</v>
      </c>
      <c r="AV159" s="63">
        <f t="shared" si="19"/>
        <v>0</v>
      </c>
      <c r="AW159" s="63">
        <f t="shared" si="19"/>
        <v>0</v>
      </c>
      <c r="AX159" s="63">
        <f t="shared" si="19"/>
        <v>0</v>
      </c>
      <c r="AY159" s="63">
        <f t="shared" si="19"/>
        <v>0</v>
      </c>
      <c r="AZ159" s="63">
        <f t="shared" si="19"/>
        <v>0</v>
      </c>
      <c r="BA159" s="55"/>
      <c r="BB159" s="55"/>
      <c r="BC159" s="55"/>
      <c r="BD159" s="55"/>
      <c r="BE159" s="76"/>
    </row>
  </sheetData>
  <mergeCells count="10">
    <mergeCell ref="B82:B84"/>
    <mergeCell ref="C82:C84"/>
    <mergeCell ref="A1:BE1"/>
    <mergeCell ref="A2:A4"/>
    <mergeCell ref="B2:B4"/>
    <mergeCell ref="C2:C4"/>
    <mergeCell ref="D2:BE2"/>
    <mergeCell ref="A81:BE81"/>
    <mergeCell ref="A82:A84"/>
    <mergeCell ref="D82:BE82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57" width="3.38"/>
  </cols>
  <sheetData>
    <row r="1">
      <c r="A1" s="1" t="s">
        <v>408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1</v>
      </c>
      <c r="B2" s="5" t="s">
        <v>2</v>
      </c>
      <c r="C2" s="6" t="s">
        <v>3</v>
      </c>
      <c r="D2" s="7" t="s">
        <v>409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79" t="s">
        <v>376</v>
      </c>
      <c r="E3" s="79" t="s">
        <v>376</v>
      </c>
      <c r="F3" s="79" t="s">
        <v>376</v>
      </c>
      <c r="G3" s="79" t="s">
        <v>376</v>
      </c>
      <c r="H3" s="79" t="s">
        <v>376</v>
      </c>
      <c r="I3" s="79" t="s">
        <v>376</v>
      </c>
      <c r="J3" s="65" t="s">
        <v>410</v>
      </c>
      <c r="K3" s="65" t="s">
        <v>411</v>
      </c>
      <c r="L3" s="65" t="s">
        <v>410</v>
      </c>
      <c r="M3" s="79" t="s">
        <v>376</v>
      </c>
      <c r="N3" s="65" t="s">
        <v>410</v>
      </c>
      <c r="O3" s="79" t="s">
        <v>376</v>
      </c>
      <c r="P3" s="65" t="s">
        <v>410</v>
      </c>
      <c r="Q3" s="79" t="s">
        <v>376</v>
      </c>
      <c r="R3" s="65" t="s">
        <v>410</v>
      </c>
      <c r="S3" s="11"/>
      <c r="T3" s="11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2"/>
      <c r="BA3" s="12"/>
      <c r="BB3" s="12"/>
      <c r="BC3" s="12"/>
      <c r="BD3" s="12"/>
      <c r="BE3" s="14"/>
    </row>
    <row r="4" ht="75.75" customHeight="1">
      <c r="A4" s="15"/>
      <c r="B4" s="15"/>
      <c r="C4" s="15"/>
      <c r="D4" s="65" t="s">
        <v>412</v>
      </c>
      <c r="E4" s="65" t="s">
        <v>413</v>
      </c>
      <c r="F4" s="65" t="s">
        <v>414</v>
      </c>
      <c r="G4" s="79" t="s">
        <v>415</v>
      </c>
      <c r="H4" s="79" t="s">
        <v>416</v>
      </c>
      <c r="I4" s="65" t="s">
        <v>417</v>
      </c>
      <c r="J4" s="65" t="s">
        <v>418</v>
      </c>
      <c r="K4" s="65" t="s">
        <v>419</v>
      </c>
      <c r="L4" s="65" t="s">
        <v>420</v>
      </c>
      <c r="M4" s="65" t="s">
        <v>421</v>
      </c>
      <c r="N4" s="65" t="s">
        <v>422</v>
      </c>
      <c r="O4" s="65" t="s">
        <v>423</v>
      </c>
      <c r="P4" s="65" t="s">
        <v>424</v>
      </c>
      <c r="Q4" s="87" t="s">
        <v>425</v>
      </c>
      <c r="R4" s="80" t="s">
        <v>426</v>
      </c>
      <c r="S4" s="17"/>
      <c r="T4" s="17"/>
      <c r="U4" s="13"/>
      <c r="V4" s="13"/>
      <c r="W4" s="13"/>
      <c r="X4" s="13"/>
      <c r="Y4" s="13"/>
      <c r="Z4" s="13"/>
      <c r="AA4" s="12"/>
      <c r="AB4" s="12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2"/>
      <c r="BA4" s="18" t="s">
        <v>21</v>
      </c>
      <c r="BB4" s="19" t="s">
        <v>22</v>
      </c>
      <c r="BC4" s="20" t="s">
        <v>23</v>
      </c>
      <c r="BD4" s="21" t="s">
        <v>24</v>
      </c>
      <c r="BE4" s="22" t="s">
        <v>25</v>
      </c>
    </row>
    <row r="5">
      <c r="A5" s="23">
        <v>1.0</v>
      </c>
      <c r="B5" s="24" t="s">
        <v>29</v>
      </c>
      <c r="C5" s="25" t="s">
        <v>30</v>
      </c>
      <c r="D5" s="27" t="s">
        <v>22</v>
      </c>
      <c r="E5" s="26" t="s">
        <v>28</v>
      </c>
      <c r="F5" s="26" t="s">
        <v>28</v>
      </c>
      <c r="G5" s="26" t="s">
        <v>28</v>
      </c>
      <c r="H5" s="26" t="s">
        <v>28</v>
      </c>
      <c r="I5" s="26" t="s">
        <v>28</v>
      </c>
      <c r="J5" s="26" t="s">
        <v>28</v>
      </c>
      <c r="K5" s="26" t="s">
        <v>28</v>
      </c>
      <c r="L5" s="26" t="s">
        <v>28</v>
      </c>
      <c r="M5" s="26" t="s">
        <v>28</v>
      </c>
      <c r="N5" s="26" t="s">
        <v>28</v>
      </c>
      <c r="O5" s="26" t="s">
        <v>28</v>
      </c>
      <c r="P5" s="26" t="s">
        <v>28</v>
      </c>
      <c r="Q5" s="26" t="s">
        <v>28</v>
      </c>
      <c r="R5" s="26" t="s">
        <v>28</v>
      </c>
      <c r="S5" s="30"/>
      <c r="T5" s="28"/>
      <c r="U5" s="29"/>
      <c r="V5" s="29"/>
      <c r="W5" s="29"/>
      <c r="X5" s="29"/>
      <c r="Y5" s="29"/>
      <c r="Z5" s="29"/>
      <c r="AA5" s="29"/>
      <c r="AB5" s="31"/>
      <c r="AC5" s="31"/>
      <c r="AD5" s="31"/>
      <c r="AE5" s="34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2">
        <f t="shared" ref="BA5:BA68" si="1">COUNTIF(D5:AZ5,"L")</f>
        <v>0</v>
      </c>
      <c r="BB5" s="32">
        <f t="shared" ref="BB5:BB68" si="2">COUNTIF(D5:AZ5,"A")</f>
        <v>1</v>
      </c>
      <c r="BC5" s="32">
        <f t="shared" ref="BC5:BC68" si="3">COUNTIF(D5:AZ5,"p")</f>
        <v>14</v>
      </c>
      <c r="BD5" s="32">
        <f t="shared" ref="BD5:BD68" si="4">SUM(BA5:BC5)</f>
        <v>15</v>
      </c>
      <c r="BE5" s="33">
        <f t="shared" ref="BE5:BE68" si="5">SUM(BA5,BC5)/BD5*100</f>
        <v>93.33333333</v>
      </c>
    </row>
    <row r="6">
      <c r="A6" s="23">
        <v>2.0</v>
      </c>
      <c r="B6" s="24" t="s">
        <v>31</v>
      </c>
      <c r="C6" s="25" t="s">
        <v>32</v>
      </c>
      <c r="D6" s="27" t="s">
        <v>22</v>
      </c>
      <c r="E6" s="26" t="s">
        <v>28</v>
      </c>
      <c r="F6" s="26" t="s">
        <v>28</v>
      </c>
      <c r="G6" s="26" t="s">
        <v>28</v>
      </c>
      <c r="H6" s="27" t="s">
        <v>22</v>
      </c>
      <c r="I6" s="26" t="s">
        <v>28</v>
      </c>
      <c r="J6" s="26" t="s">
        <v>28</v>
      </c>
      <c r="K6" s="26" t="s">
        <v>28</v>
      </c>
      <c r="L6" s="26" t="s">
        <v>28</v>
      </c>
      <c r="M6" s="26" t="s">
        <v>28</v>
      </c>
      <c r="N6" s="26" t="s">
        <v>28</v>
      </c>
      <c r="O6" s="27" t="s">
        <v>22</v>
      </c>
      <c r="P6" s="26" t="s">
        <v>28</v>
      </c>
      <c r="Q6" s="26" t="s">
        <v>28</v>
      </c>
      <c r="R6" s="26" t="s">
        <v>28</v>
      </c>
      <c r="S6" s="28"/>
      <c r="T6" s="28"/>
      <c r="U6" s="29"/>
      <c r="V6" s="29"/>
      <c r="W6" s="29"/>
      <c r="X6" s="29"/>
      <c r="Y6" s="29"/>
      <c r="Z6" s="29"/>
      <c r="AA6" s="29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2">
        <f t="shared" si="1"/>
        <v>0</v>
      </c>
      <c r="BB6" s="32">
        <f t="shared" si="2"/>
        <v>3</v>
      </c>
      <c r="BC6" s="32">
        <f t="shared" si="3"/>
        <v>12</v>
      </c>
      <c r="BD6" s="32">
        <f t="shared" si="4"/>
        <v>15</v>
      </c>
      <c r="BE6" s="33">
        <f t="shared" si="5"/>
        <v>80</v>
      </c>
    </row>
    <row r="7">
      <c r="A7" s="23">
        <v>3.0</v>
      </c>
      <c r="B7" s="24" t="s">
        <v>33</v>
      </c>
      <c r="C7" s="25" t="s">
        <v>34</v>
      </c>
      <c r="D7" s="26" t="s">
        <v>28</v>
      </c>
      <c r="E7" s="26" t="s">
        <v>28</v>
      </c>
      <c r="F7" s="26" t="s">
        <v>28</v>
      </c>
      <c r="G7" s="26" t="s">
        <v>28</v>
      </c>
      <c r="H7" s="26" t="s">
        <v>28</v>
      </c>
      <c r="I7" s="26" t="s">
        <v>28</v>
      </c>
      <c r="J7" s="26" t="s">
        <v>28</v>
      </c>
      <c r="K7" s="26" t="s">
        <v>28</v>
      </c>
      <c r="L7" s="26" t="s">
        <v>28</v>
      </c>
      <c r="M7" s="27" t="s">
        <v>22</v>
      </c>
      <c r="N7" s="27" t="s">
        <v>22</v>
      </c>
      <c r="O7" s="26" t="s">
        <v>28</v>
      </c>
      <c r="P7" s="26" t="s">
        <v>28</v>
      </c>
      <c r="Q7" s="27" t="s">
        <v>22</v>
      </c>
      <c r="R7" s="26" t="s">
        <v>28</v>
      </c>
      <c r="S7" s="28"/>
      <c r="T7" s="28"/>
      <c r="U7" s="29"/>
      <c r="V7" s="29"/>
      <c r="W7" s="29"/>
      <c r="X7" s="29"/>
      <c r="Y7" s="29"/>
      <c r="Z7" s="29"/>
      <c r="AA7" s="29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2">
        <f t="shared" si="1"/>
        <v>0</v>
      </c>
      <c r="BB7" s="32">
        <f t="shared" si="2"/>
        <v>3</v>
      </c>
      <c r="BC7" s="32">
        <f t="shared" si="3"/>
        <v>12</v>
      </c>
      <c r="BD7" s="32">
        <f t="shared" si="4"/>
        <v>15</v>
      </c>
      <c r="BE7" s="33">
        <f t="shared" si="5"/>
        <v>80</v>
      </c>
    </row>
    <row r="8">
      <c r="A8" s="23">
        <v>4.0</v>
      </c>
      <c r="B8" s="24" t="s">
        <v>35</v>
      </c>
      <c r="C8" s="25" t="s">
        <v>36</v>
      </c>
      <c r="D8" s="26" t="s">
        <v>28</v>
      </c>
      <c r="E8" s="26" t="s">
        <v>28</v>
      </c>
      <c r="F8" s="26" t="s">
        <v>28</v>
      </c>
      <c r="G8" s="26" t="s">
        <v>28</v>
      </c>
      <c r="H8" s="26" t="s">
        <v>28</v>
      </c>
      <c r="I8" s="26" t="s">
        <v>28</v>
      </c>
      <c r="J8" s="26" t="s">
        <v>28</v>
      </c>
      <c r="K8" s="26" t="s">
        <v>28</v>
      </c>
      <c r="L8" s="26" t="s">
        <v>28</v>
      </c>
      <c r="M8" s="26" t="s">
        <v>28</v>
      </c>
      <c r="N8" s="26" t="s">
        <v>28</v>
      </c>
      <c r="O8" s="27" t="s">
        <v>22</v>
      </c>
      <c r="P8" s="26" t="s">
        <v>28</v>
      </c>
      <c r="Q8" s="27" t="s">
        <v>22</v>
      </c>
      <c r="R8" s="26" t="s">
        <v>28</v>
      </c>
      <c r="S8" s="29"/>
      <c r="T8" s="29"/>
      <c r="U8" s="29"/>
      <c r="V8" s="29"/>
      <c r="W8" s="29"/>
      <c r="X8" s="29"/>
      <c r="Y8" s="29"/>
      <c r="Z8" s="29"/>
      <c r="AA8" s="29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2">
        <f t="shared" si="1"/>
        <v>0</v>
      </c>
      <c r="BB8" s="32">
        <f t="shared" si="2"/>
        <v>2</v>
      </c>
      <c r="BC8" s="32">
        <f t="shared" si="3"/>
        <v>13</v>
      </c>
      <c r="BD8" s="32">
        <f t="shared" si="4"/>
        <v>15</v>
      </c>
      <c r="BE8" s="33">
        <f t="shared" si="5"/>
        <v>86.66666667</v>
      </c>
    </row>
    <row r="9">
      <c r="A9" s="23">
        <v>5.0</v>
      </c>
      <c r="B9" s="24" t="s">
        <v>37</v>
      </c>
      <c r="C9" s="25" t="s">
        <v>391</v>
      </c>
      <c r="D9" s="26" t="s">
        <v>28</v>
      </c>
      <c r="E9" s="26" t="s">
        <v>28</v>
      </c>
      <c r="F9" s="26" t="s">
        <v>28</v>
      </c>
      <c r="G9" s="26" t="s">
        <v>28</v>
      </c>
      <c r="H9" s="26" t="s">
        <v>28</v>
      </c>
      <c r="I9" s="26" t="s">
        <v>28</v>
      </c>
      <c r="J9" s="26" t="s">
        <v>28</v>
      </c>
      <c r="K9" s="26" t="s">
        <v>28</v>
      </c>
      <c r="L9" s="26" t="s">
        <v>28</v>
      </c>
      <c r="M9" s="26" t="s">
        <v>28</v>
      </c>
      <c r="N9" s="26" t="s">
        <v>28</v>
      </c>
      <c r="O9" s="26" t="s">
        <v>28</v>
      </c>
      <c r="P9" s="26" t="s">
        <v>28</v>
      </c>
      <c r="Q9" s="27" t="s">
        <v>22</v>
      </c>
      <c r="R9" s="26" t="s">
        <v>28</v>
      </c>
      <c r="S9" s="29"/>
      <c r="T9" s="29"/>
      <c r="U9" s="29"/>
      <c r="V9" s="29"/>
      <c r="W9" s="29"/>
      <c r="X9" s="29"/>
      <c r="Y9" s="29"/>
      <c r="Z9" s="29"/>
      <c r="AA9" s="29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2">
        <f t="shared" si="1"/>
        <v>0</v>
      </c>
      <c r="BB9" s="32">
        <f t="shared" si="2"/>
        <v>1</v>
      </c>
      <c r="BC9" s="32">
        <f t="shared" si="3"/>
        <v>14</v>
      </c>
      <c r="BD9" s="32">
        <f t="shared" si="4"/>
        <v>15</v>
      </c>
      <c r="BE9" s="33">
        <f t="shared" si="5"/>
        <v>93.33333333</v>
      </c>
    </row>
    <row r="10">
      <c r="A10" s="23">
        <v>6.0</v>
      </c>
      <c r="B10" s="24" t="s">
        <v>39</v>
      </c>
      <c r="C10" s="25" t="s">
        <v>40</v>
      </c>
      <c r="D10" s="26" t="s">
        <v>28</v>
      </c>
      <c r="E10" s="26" t="s">
        <v>28</v>
      </c>
      <c r="F10" s="26" t="s">
        <v>28</v>
      </c>
      <c r="G10" s="26" t="s">
        <v>28</v>
      </c>
      <c r="H10" s="26" t="s">
        <v>28</v>
      </c>
      <c r="I10" s="26" t="s">
        <v>28</v>
      </c>
      <c r="J10" s="26" t="s">
        <v>28</v>
      </c>
      <c r="K10" s="26" t="s">
        <v>28</v>
      </c>
      <c r="L10" s="26" t="s">
        <v>28</v>
      </c>
      <c r="M10" s="26" t="s">
        <v>28</v>
      </c>
      <c r="N10" s="26" t="s">
        <v>28</v>
      </c>
      <c r="O10" s="26" t="s">
        <v>28</v>
      </c>
      <c r="P10" s="26" t="s">
        <v>28</v>
      </c>
      <c r="Q10" s="26" t="s">
        <v>28</v>
      </c>
      <c r="R10" s="26" t="s">
        <v>28</v>
      </c>
      <c r="S10" s="28"/>
      <c r="T10" s="28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2">
        <f t="shared" si="1"/>
        <v>0</v>
      </c>
      <c r="BB10" s="32">
        <f t="shared" si="2"/>
        <v>0</v>
      </c>
      <c r="BC10" s="32">
        <f t="shared" si="3"/>
        <v>15</v>
      </c>
      <c r="BD10" s="32">
        <f t="shared" si="4"/>
        <v>15</v>
      </c>
      <c r="BE10" s="33">
        <f t="shared" si="5"/>
        <v>100</v>
      </c>
    </row>
    <row r="11">
      <c r="A11" s="23">
        <v>7.0</v>
      </c>
      <c r="B11" s="24" t="s">
        <v>41</v>
      </c>
      <c r="C11" s="25" t="s">
        <v>42</v>
      </c>
      <c r="D11" s="26" t="s">
        <v>28</v>
      </c>
      <c r="E11" s="26" t="s">
        <v>28</v>
      </c>
      <c r="F11" s="26" t="s">
        <v>28</v>
      </c>
      <c r="G11" s="26" t="s">
        <v>28</v>
      </c>
      <c r="H11" s="26" t="s">
        <v>28</v>
      </c>
      <c r="I11" s="26" t="s">
        <v>28</v>
      </c>
      <c r="J11" s="26" t="s">
        <v>28</v>
      </c>
      <c r="K11" s="26" t="s">
        <v>28</v>
      </c>
      <c r="L11" s="26" t="s">
        <v>28</v>
      </c>
      <c r="M11" s="26" t="s">
        <v>28</v>
      </c>
      <c r="N11" s="26" t="s">
        <v>28</v>
      </c>
      <c r="O11" s="26" t="s">
        <v>28</v>
      </c>
      <c r="P11" s="26" t="s">
        <v>28</v>
      </c>
      <c r="Q11" s="26" t="s">
        <v>28</v>
      </c>
      <c r="R11" s="26" t="s">
        <v>28</v>
      </c>
      <c r="S11" s="28"/>
      <c r="T11" s="28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2">
        <f t="shared" si="1"/>
        <v>0</v>
      </c>
      <c r="BB11" s="32">
        <f t="shared" si="2"/>
        <v>0</v>
      </c>
      <c r="BC11" s="32">
        <f t="shared" si="3"/>
        <v>15</v>
      </c>
      <c r="BD11" s="32">
        <f t="shared" si="4"/>
        <v>15</v>
      </c>
      <c r="BE11" s="33">
        <f t="shared" si="5"/>
        <v>100</v>
      </c>
    </row>
    <row r="12">
      <c r="A12" s="23">
        <v>8.0</v>
      </c>
      <c r="B12" s="24" t="s">
        <v>43</v>
      </c>
      <c r="C12" s="25" t="s">
        <v>44</v>
      </c>
      <c r="D12" s="26" t="s">
        <v>28</v>
      </c>
      <c r="E12" s="26" t="s">
        <v>28</v>
      </c>
      <c r="F12" s="26" t="s">
        <v>28</v>
      </c>
      <c r="G12" s="26" t="s">
        <v>28</v>
      </c>
      <c r="H12" s="26" t="s">
        <v>28</v>
      </c>
      <c r="I12" s="27" t="s">
        <v>22</v>
      </c>
      <c r="J12" s="26" t="s">
        <v>28</v>
      </c>
      <c r="K12" s="26" t="s">
        <v>28</v>
      </c>
      <c r="L12" s="26" t="s">
        <v>28</v>
      </c>
      <c r="M12" s="26" t="s">
        <v>28</v>
      </c>
      <c r="N12" s="27" t="s">
        <v>22</v>
      </c>
      <c r="O12" s="27" t="s">
        <v>22</v>
      </c>
      <c r="P12" s="26" t="s">
        <v>28</v>
      </c>
      <c r="Q12" s="26" t="s">
        <v>28</v>
      </c>
      <c r="R12" s="26" t="s">
        <v>28</v>
      </c>
      <c r="S12" s="28"/>
      <c r="T12" s="28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2">
        <f t="shared" si="1"/>
        <v>0</v>
      </c>
      <c r="BB12" s="32">
        <f t="shared" si="2"/>
        <v>3</v>
      </c>
      <c r="BC12" s="32">
        <f t="shared" si="3"/>
        <v>12</v>
      </c>
      <c r="BD12" s="32">
        <f t="shared" si="4"/>
        <v>15</v>
      </c>
      <c r="BE12" s="33">
        <f t="shared" si="5"/>
        <v>80</v>
      </c>
    </row>
    <row r="13">
      <c r="A13" s="23">
        <v>9.0</v>
      </c>
      <c r="B13" s="24" t="s">
        <v>45</v>
      </c>
      <c r="C13" s="25" t="s">
        <v>46</v>
      </c>
      <c r="D13" s="26" t="s">
        <v>28</v>
      </c>
      <c r="E13" s="26" t="s">
        <v>28</v>
      </c>
      <c r="F13" s="26" t="s">
        <v>28</v>
      </c>
      <c r="G13" s="26" t="s">
        <v>28</v>
      </c>
      <c r="H13" s="27" t="s">
        <v>22</v>
      </c>
      <c r="I13" s="27" t="s">
        <v>22</v>
      </c>
      <c r="J13" s="26" t="s">
        <v>28</v>
      </c>
      <c r="K13" s="26" t="s">
        <v>28</v>
      </c>
      <c r="L13" s="26" t="s">
        <v>28</v>
      </c>
      <c r="M13" s="26" t="s">
        <v>28</v>
      </c>
      <c r="N13" s="26" t="s">
        <v>28</v>
      </c>
      <c r="O13" s="27" t="s">
        <v>22</v>
      </c>
      <c r="P13" s="26" t="s">
        <v>28</v>
      </c>
      <c r="Q13" s="27" t="s">
        <v>22</v>
      </c>
      <c r="R13" s="27" t="s">
        <v>22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2">
        <f t="shared" si="1"/>
        <v>0</v>
      </c>
      <c r="BB13" s="32">
        <f t="shared" si="2"/>
        <v>5</v>
      </c>
      <c r="BC13" s="32">
        <f t="shared" si="3"/>
        <v>10</v>
      </c>
      <c r="BD13" s="32">
        <f t="shared" si="4"/>
        <v>15</v>
      </c>
      <c r="BE13" s="33">
        <f t="shared" si="5"/>
        <v>66.66666667</v>
      </c>
    </row>
    <row r="14">
      <c r="A14" s="23">
        <v>10.0</v>
      </c>
      <c r="B14" s="24" t="s">
        <v>47</v>
      </c>
      <c r="C14" s="25" t="s">
        <v>48</v>
      </c>
      <c r="D14" s="26" t="s">
        <v>28</v>
      </c>
      <c r="E14" s="26" t="s">
        <v>28</v>
      </c>
      <c r="F14" s="26" t="s">
        <v>28</v>
      </c>
      <c r="G14" s="26" t="s">
        <v>28</v>
      </c>
      <c r="H14" s="26" t="s">
        <v>28</v>
      </c>
      <c r="I14" s="26" t="s">
        <v>28</v>
      </c>
      <c r="J14" s="27" t="s">
        <v>22</v>
      </c>
      <c r="K14" s="26" t="s">
        <v>28</v>
      </c>
      <c r="L14" s="26" t="s">
        <v>28</v>
      </c>
      <c r="M14" s="27" t="s">
        <v>22</v>
      </c>
      <c r="N14" s="26" t="s">
        <v>28</v>
      </c>
      <c r="O14" s="26" t="s">
        <v>28</v>
      </c>
      <c r="P14" s="26" t="s">
        <v>28</v>
      </c>
      <c r="Q14" s="26" t="s">
        <v>28</v>
      </c>
      <c r="R14" s="27" t="s">
        <v>22</v>
      </c>
      <c r="S14" s="30"/>
      <c r="T14" s="28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2">
        <f t="shared" si="1"/>
        <v>0</v>
      </c>
      <c r="BB14" s="32">
        <f t="shared" si="2"/>
        <v>3</v>
      </c>
      <c r="BC14" s="32">
        <f t="shared" si="3"/>
        <v>12</v>
      </c>
      <c r="BD14" s="32">
        <f t="shared" si="4"/>
        <v>15</v>
      </c>
      <c r="BE14" s="33">
        <f t="shared" si="5"/>
        <v>80</v>
      </c>
    </row>
    <row r="15">
      <c r="A15" s="49">
        <v>11.0</v>
      </c>
      <c r="B15" s="35" t="s">
        <v>49</v>
      </c>
      <c r="C15" s="36" t="s">
        <v>50</v>
      </c>
      <c r="D15" s="37" t="s">
        <v>28</v>
      </c>
      <c r="E15" s="37" t="s">
        <v>28</v>
      </c>
      <c r="F15" s="37" t="s">
        <v>28</v>
      </c>
      <c r="G15" s="37" t="s">
        <v>28</v>
      </c>
      <c r="H15" s="37" t="s">
        <v>28</v>
      </c>
      <c r="I15" s="27" t="s">
        <v>22</v>
      </c>
      <c r="J15" s="37" t="s">
        <v>28</v>
      </c>
      <c r="K15" s="27" t="s">
        <v>22</v>
      </c>
      <c r="L15" s="37" t="s">
        <v>28</v>
      </c>
      <c r="M15" s="27" t="s">
        <v>22</v>
      </c>
      <c r="N15" s="27" t="s">
        <v>22</v>
      </c>
      <c r="O15" s="27" t="s">
        <v>22</v>
      </c>
      <c r="P15" s="27" t="s">
        <v>22</v>
      </c>
      <c r="Q15" s="27" t="s">
        <v>22</v>
      </c>
      <c r="R15" s="38"/>
      <c r="S15" s="38"/>
      <c r="T15" s="38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1">
        <f t="shared" si="1"/>
        <v>0</v>
      </c>
      <c r="BB15" s="41">
        <f t="shared" si="2"/>
        <v>7</v>
      </c>
      <c r="BC15" s="41">
        <f t="shared" si="3"/>
        <v>7</v>
      </c>
      <c r="BD15" s="41">
        <f t="shared" si="4"/>
        <v>14</v>
      </c>
      <c r="BE15" s="42">
        <f t="shared" si="5"/>
        <v>50</v>
      </c>
    </row>
    <row r="16">
      <c r="A16" s="23">
        <v>12.0</v>
      </c>
      <c r="B16" s="24" t="s">
        <v>51</v>
      </c>
      <c r="C16" s="25" t="s">
        <v>52</v>
      </c>
      <c r="D16" s="27" t="s">
        <v>22</v>
      </c>
      <c r="E16" s="26" t="s">
        <v>28</v>
      </c>
      <c r="F16" s="26" t="s">
        <v>28</v>
      </c>
      <c r="G16" s="26" t="s">
        <v>28</v>
      </c>
      <c r="H16" s="26" t="s">
        <v>28</v>
      </c>
      <c r="I16" s="26" t="s">
        <v>28</v>
      </c>
      <c r="J16" s="26" t="s">
        <v>28</v>
      </c>
      <c r="K16" s="26" t="s">
        <v>28</v>
      </c>
      <c r="L16" s="26" t="s">
        <v>28</v>
      </c>
      <c r="M16" s="26" t="s">
        <v>28</v>
      </c>
      <c r="N16" s="26" t="s">
        <v>28</v>
      </c>
      <c r="O16" s="26" t="s">
        <v>28</v>
      </c>
      <c r="P16" s="27" t="s">
        <v>22</v>
      </c>
      <c r="Q16" s="26" t="s">
        <v>28</v>
      </c>
      <c r="R16" s="26" t="s">
        <v>28</v>
      </c>
      <c r="S16" s="30"/>
      <c r="T16" s="30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2">
        <f t="shared" si="1"/>
        <v>0</v>
      </c>
      <c r="BB16" s="32">
        <f t="shared" si="2"/>
        <v>2</v>
      </c>
      <c r="BC16" s="32">
        <f t="shared" si="3"/>
        <v>13</v>
      </c>
      <c r="BD16" s="32">
        <f t="shared" si="4"/>
        <v>15</v>
      </c>
      <c r="BE16" s="33">
        <f t="shared" si="5"/>
        <v>86.66666667</v>
      </c>
    </row>
    <row r="17">
      <c r="A17" s="23">
        <v>13.0</v>
      </c>
      <c r="B17" s="24" t="s">
        <v>57</v>
      </c>
      <c r="C17" s="25" t="s">
        <v>58</v>
      </c>
      <c r="D17" s="26" t="s">
        <v>28</v>
      </c>
      <c r="E17" s="26" t="s">
        <v>28</v>
      </c>
      <c r="F17" s="26" t="s">
        <v>28</v>
      </c>
      <c r="G17" s="26" t="s">
        <v>28</v>
      </c>
      <c r="H17" s="26" t="s">
        <v>28</v>
      </c>
      <c r="I17" s="26" t="s">
        <v>28</v>
      </c>
      <c r="J17" s="26" t="s">
        <v>28</v>
      </c>
      <c r="K17" s="26" t="s">
        <v>28</v>
      </c>
      <c r="L17" s="26" t="s">
        <v>28</v>
      </c>
      <c r="M17" s="26" t="s">
        <v>28</v>
      </c>
      <c r="N17" s="26" t="s">
        <v>28</v>
      </c>
      <c r="O17" s="26" t="s">
        <v>28</v>
      </c>
      <c r="P17" s="26" t="s">
        <v>28</v>
      </c>
      <c r="Q17" s="26" t="s">
        <v>28</v>
      </c>
      <c r="R17" s="27" t="s">
        <v>22</v>
      </c>
      <c r="S17" s="28"/>
      <c r="T17" s="28"/>
      <c r="U17" s="29"/>
      <c r="V17" s="29"/>
      <c r="W17" s="29"/>
      <c r="X17" s="29"/>
      <c r="Y17" s="29"/>
      <c r="Z17" s="29"/>
      <c r="AA17" s="29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2">
        <f t="shared" si="1"/>
        <v>0</v>
      </c>
      <c r="BB17" s="32">
        <f t="shared" si="2"/>
        <v>1</v>
      </c>
      <c r="BC17" s="32">
        <f t="shared" si="3"/>
        <v>14</v>
      </c>
      <c r="BD17" s="32">
        <f t="shared" si="4"/>
        <v>15</v>
      </c>
      <c r="BE17" s="33">
        <f t="shared" si="5"/>
        <v>93.33333333</v>
      </c>
    </row>
    <row r="18">
      <c r="A18" s="23">
        <v>14.0</v>
      </c>
      <c r="B18" s="24" t="s">
        <v>59</v>
      </c>
      <c r="C18" s="25" t="s">
        <v>60</v>
      </c>
      <c r="D18" s="26" t="s">
        <v>28</v>
      </c>
      <c r="E18" s="26" t="s">
        <v>28</v>
      </c>
      <c r="F18" s="26" t="s">
        <v>28</v>
      </c>
      <c r="G18" s="26" t="s">
        <v>28</v>
      </c>
      <c r="H18" s="26" t="s">
        <v>28</v>
      </c>
      <c r="I18" s="26" t="s">
        <v>28</v>
      </c>
      <c r="J18" s="26" t="s">
        <v>28</v>
      </c>
      <c r="K18" s="26" t="s">
        <v>28</v>
      </c>
      <c r="L18" s="26" t="s">
        <v>28</v>
      </c>
      <c r="M18" s="26" t="s">
        <v>28</v>
      </c>
      <c r="N18" s="26" t="s">
        <v>28</v>
      </c>
      <c r="O18" s="26" t="s">
        <v>28</v>
      </c>
      <c r="P18" s="26" t="s">
        <v>28</v>
      </c>
      <c r="Q18" s="26" t="s">
        <v>28</v>
      </c>
      <c r="R18" s="26" t="s">
        <v>28</v>
      </c>
      <c r="S18" s="28"/>
      <c r="T18" s="28"/>
      <c r="U18" s="29"/>
      <c r="V18" s="29"/>
      <c r="W18" s="29"/>
      <c r="X18" s="29"/>
      <c r="Y18" s="29"/>
      <c r="Z18" s="29"/>
      <c r="AA18" s="29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2">
        <f t="shared" si="1"/>
        <v>0</v>
      </c>
      <c r="BB18" s="32">
        <f t="shared" si="2"/>
        <v>0</v>
      </c>
      <c r="BC18" s="32">
        <f t="shared" si="3"/>
        <v>15</v>
      </c>
      <c r="BD18" s="32">
        <f t="shared" si="4"/>
        <v>15</v>
      </c>
      <c r="BE18" s="33">
        <f t="shared" si="5"/>
        <v>100</v>
      </c>
    </row>
    <row r="19">
      <c r="A19" s="23">
        <v>15.0</v>
      </c>
      <c r="B19" s="24" t="s">
        <v>61</v>
      </c>
      <c r="C19" s="25" t="s">
        <v>62</v>
      </c>
      <c r="D19" s="26" t="s">
        <v>28</v>
      </c>
      <c r="E19" s="26" t="s">
        <v>28</v>
      </c>
      <c r="F19" s="26" t="s">
        <v>28</v>
      </c>
      <c r="G19" s="26" t="s">
        <v>28</v>
      </c>
      <c r="H19" s="26" t="s">
        <v>28</v>
      </c>
      <c r="I19" s="26" t="s">
        <v>28</v>
      </c>
      <c r="J19" s="26" t="s">
        <v>28</v>
      </c>
      <c r="K19" s="26" t="s">
        <v>28</v>
      </c>
      <c r="L19" s="26" t="s">
        <v>28</v>
      </c>
      <c r="M19" s="26" t="s">
        <v>28</v>
      </c>
      <c r="N19" s="26" t="s">
        <v>28</v>
      </c>
      <c r="O19" s="26" t="s">
        <v>28</v>
      </c>
      <c r="P19" s="26" t="s">
        <v>28</v>
      </c>
      <c r="Q19" s="26" t="s">
        <v>28</v>
      </c>
      <c r="R19" s="26" t="s">
        <v>28</v>
      </c>
      <c r="S19" s="28"/>
      <c r="T19" s="28"/>
      <c r="U19" s="29"/>
      <c r="V19" s="29"/>
      <c r="W19" s="29"/>
      <c r="X19" s="29"/>
      <c r="Y19" s="29"/>
      <c r="Z19" s="29"/>
      <c r="AA19" s="29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2">
        <f t="shared" si="1"/>
        <v>0</v>
      </c>
      <c r="BB19" s="32">
        <f t="shared" si="2"/>
        <v>0</v>
      </c>
      <c r="BC19" s="32">
        <f t="shared" si="3"/>
        <v>15</v>
      </c>
      <c r="BD19" s="32">
        <f t="shared" si="4"/>
        <v>15</v>
      </c>
      <c r="BE19" s="33">
        <f t="shared" si="5"/>
        <v>100</v>
      </c>
    </row>
    <row r="20">
      <c r="A20" s="49">
        <v>16.0</v>
      </c>
      <c r="B20" s="35" t="s">
        <v>63</v>
      </c>
      <c r="C20" s="36" t="s">
        <v>64</v>
      </c>
      <c r="D20" s="37" t="s">
        <v>28</v>
      </c>
      <c r="E20" s="37" t="s">
        <v>28</v>
      </c>
      <c r="F20" s="37" t="s">
        <v>28</v>
      </c>
      <c r="G20" s="37" t="s">
        <v>28</v>
      </c>
      <c r="H20" s="37" t="s">
        <v>28</v>
      </c>
      <c r="I20" s="37" t="s">
        <v>28</v>
      </c>
      <c r="J20" s="27" t="s">
        <v>22</v>
      </c>
      <c r="K20" s="27" t="s">
        <v>22</v>
      </c>
      <c r="L20" s="27" t="s">
        <v>22</v>
      </c>
      <c r="M20" s="27" t="s">
        <v>22</v>
      </c>
      <c r="N20" s="37"/>
      <c r="O20" s="37"/>
      <c r="P20" s="37"/>
      <c r="Q20" s="37"/>
      <c r="R20" s="38"/>
      <c r="S20" s="86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1">
        <f t="shared" si="1"/>
        <v>0</v>
      </c>
      <c r="BB20" s="41">
        <f t="shared" si="2"/>
        <v>4</v>
      </c>
      <c r="BC20" s="41">
        <f t="shared" si="3"/>
        <v>6</v>
      </c>
      <c r="BD20" s="41">
        <f t="shared" si="4"/>
        <v>10</v>
      </c>
      <c r="BE20" s="42">
        <f t="shared" si="5"/>
        <v>60</v>
      </c>
    </row>
    <row r="21">
      <c r="A21" s="23">
        <v>17.0</v>
      </c>
      <c r="B21" s="24" t="s">
        <v>65</v>
      </c>
      <c r="C21" s="25" t="s">
        <v>66</v>
      </c>
      <c r="D21" s="26" t="s">
        <v>28</v>
      </c>
      <c r="E21" s="26" t="s">
        <v>28</v>
      </c>
      <c r="F21" s="26" t="s">
        <v>28</v>
      </c>
      <c r="G21" s="26" t="s">
        <v>28</v>
      </c>
      <c r="H21" s="26" t="s">
        <v>28</v>
      </c>
      <c r="I21" s="26" t="s">
        <v>28</v>
      </c>
      <c r="J21" s="26" t="s">
        <v>28</v>
      </c>
      <c r="K21" s="27" t="s">
        <v>22</v>
      </c>
      <c r="L21" s="27" t="s">
        <v>22</v>
      </c>
      <c r="M21" s="26" t="s">
        <v>28</v>
      </c>
      <c r="N21" s="26" t="s">
        <v>28</v>
      </c>
      <c r="O21" s="26" t="s">
        <v>28</v>
      </c>
      <c r="P21" s="26" t="s">
        <v>28</v>
      </c>
      <c r="Q21" s="26" t="s">
        <v>28</v>
      </c>
      <c r="R21" s="26" t="s">
        <v>28</v>
      </c>
      <c r="S21" s="44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32">
        <f t="shared" si="1"/>
        <v>0</v>
      </c>
      <c r="BB21" s="32">
        <f t="shared" si="2"/>
        <v>2</v>
      </c>
      <c r="BC21" s="32">
        <f t="shared" si="3"/>
        <v>13</v>
      </c>
      <c r="BD21" s="32">
        <f t="shared" si="4"/>
        <v>15</v>
      </c>
      <c r="BE21" s="33">
        <f t="shared" si="5"/>
        <v>86.66666667</v>
      </c>
    </row>
    <row r="22">
      <c r="A22" s="23">
        <v>18.0</v>
      </c>
      <c r="B22" s="24" t="s">
        <v>67</v>
      </c>
      <c r="C22" s="25" t="s">
        <v>68</v>
      </c>
      <c r="D22" s="27" t="s">
        <v>22</v>
      </c>
      <c r="E22" s="26" t="s">
        <v>28</v>
      </c>
      <c r="F22" s="26" t="s">
        <v>28</v>
      </c>
      <c r="G22" s="26" t="s">
        <v>28</v>
      </c>
      <c r="H22" s="26" t="s">
        <v>28</v>
      </c>
      <c r="I22" s="26" t="s">
        <v>28</v>
      </c>
      <c r="J22" s="26" t="s">
        <v>28</v>
      </c>
      <c r="K22" s="26" t="s">
        <v>28</v>
      </c>
      <c r="L22" s="26" t="s">
        <v>28</v>
      </c>
      <c r="M22" s="26" t="s">
        <v>28</v>
      </c>
      <c r="N22" s="26" t="s">
        <v>28</v>
      </c>
      <c r="O22" s="26" t="s">
        <v>28</v>
      </c>
      <c r="P22" s="26" t="s">
        <v>28</v>
      </c>
      <c r="Q22" s="27" t="s">
        <v>22</v>
      </c>
      <c r="R22" s="26" t="s">
        <v>28</v>
      </c>
      <c r="S22" s="28"/>
      <c r="T22" s="28"/>
      <c r="U22" s="29"/>
      <c r="V22" s="29"/>
      <c r="W22" s="29"/>
      <c r="X22" s="29"/>
      <c r="Y22" s="29"/>
      <c r="Z22" s="29"/>
      <c r="AA22" s="29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2">
        <f t="shared" si="1"/>
        <v>0</v>
      </c>
      <c r="BB22" s="32">
        <f t="shared" si="2"/>
        <v>2</v>
      </c>
      <c r="BC22" s="32">
        <f t="shared" si="3"/>
        <v>13</v>
      </c>
      <c r="BD22" s="32">
        <f t="shared" si="4"/>
        <v>15</v>
      </c>
      <c r="BE22" s="33">
        <f t="shared" si="5"/>
        <v>86.66666667</v>
      </c>
    </row>
    <row r="23">
      <c r="A23" s="23">
        <v>19.0</v>
      </c>
      <c r="B23" s="24" t="s">
        <v>69</v>
      </c>
      <c r="C23" s="25" t="s">
        <v>70</v>
      </c>
      <c r="D23" s="26" t="s">
        <v>28</v>
      </c>
      <c r="E23" s="26" t="s">
        <v>28</v>
      </c>
      <c r="F23" s="26" t="s">
        <v>28</v>
      </c>
      <c r="G23" s="26" t="s">
        <v>28</v>
      </c>
      <c r="H23" s="27" t="s">
        <v>22</v>
      </c>
      <c r="I23" s="26" t="s">
        <v>28</v>
      </c>
      <c r="J23" s="27" t="s">
        <v>22</v>
      </c>
      <c r="K23" s="27" t="s">
        <v>22</v>
      </c>
      <c r="L23" s="27" t="s">
        <v>22</v>
      </c>
      <c r="M23" s="26" t="s">
        <v>28</v>
      </c>
      <c r="N23" s="26" t="s">
        <v>28</v>
      </c>
      <c r="O23" s="26" t="s">
        <v>28</v>
      </c>
      <c r="P23" s="26" t="s">
        <v>28</v>
      </c>
      <c r="Q23" s="26" t="s">
        <v>28</v>
      </c>
      <c r="R23" s="26" t="s">
        <v>28</v>
      </c>
      <c r="S23" s="28"/>
      <c r="T23" s="28"/>
      <c r="U23" s="29"/>
      <c r="V23" s="29"/>
      <c r="W23" s="29"/>
      <c r="X23" s="29"/>
      <c r="Y23" s="29"/>
      <c r="Z23" s="29"/>
      <c r="AA23" s="29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2">
        <f t="shared" si="1"/>
        <v>0</v>
      </c>
      <c r="BB23" s="32">
        <f t="shared" si="2"/>
        <v>4</v>
      </c>
      <c r="BC23" s="32">
        <f t="shared" si="3"/>
        <v>11</v>
      </c>
      <c r="BD23" s="32">
        <f t="shared" si="4"/>
        <v>15</v>
      </c>
      <c r="BE23" s="33">
        <f t="shared" si="5"/>
        <v>73.33333333</v>
      </c>
    </row>
    <row r="24">
      <c r="A24" s="23">
        <v>20.0</v>
      </c>
      <c r="B24" s="24" t="s">
        <v>71</v>
      </c>
      <c r="C24" s="25" t="s">
        <v>72</v>
      </c>
      <c r="D24" s="27" t="s">
        <v>22</v>
      </c>
      <c r="E24" s="26" t="s">
        <v>28</v>
      </c>
      <c r="F24" s="26" t="s">
        <v>28</v>
      </c>
      <c r="G24" s="26" t="s">
        <v>28</v>
      </c>
      <c r="H24" s="26" t="s">
        <v>28</v>
      </c>
      <c r="I24" s="26" t="s">
        <v>28</v>
      </c>
      <c r="J24" s="26" t="s">
        <v>28</v>
      </c>
      <c r="K24" s="26" t="s">
        <v>28</v>
      </c>
      <c r="L24" s="26" t="s">
        <v>28</v>
      </c>
      <c r="M24" s="26" t="s">
        <v>28</v>
      </c>
      <c r="N24" s="26" t="s">
        <v>28</v>
      </c>
      <c r="O24" s="26" t="s">
        <v>28</v>
      </c>
      <c r="P24" s="26" t="s">
        <v>28</v>
      </c>
      <c r="Q24" s="26" t="s">
        <v>28</v>
      </c>
      <c r="R24" s="26" t="s">
        <v>28</v>
      </c>
      <c r="S24" s="28"/>
      <c r="T24" s="28"/>
      <c r="U24" s="29"/>
      <c r="V24" s="29"/>
      <c r="W24" s="29"/>
      <c r="X24" s="29"/>
      <c r="Y24" s="29"/>
      <c r="Z24" s="29"/>
      <c r="AA24" s="29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2">
        <f t="shared" si="1"/>
        <v>0</v>
      </c>
      <c r="BB24" s="32">
        <f t="shared" si="2"/>
        <v>1</v>
      </c>
      <c r="BC24" s="32">
        <f t="shared" si="3"/>
        <v>14</v>
      </c>
      <c r="BD24" s="32">
        <f t="shared" si="4"/>
        <v>15</v>
      </c>
      <c r="BE24" s="33">
        <f t="shared" si="5"/>
        <v>93.33333333</v>
      </c>
    </row>
    <row r="25">
      <c r="A25" s="23">
        <v>21.0</v>
      </c>
      <c r="B25" s="47" t="s">
        <v>73</v>
      </c>
      <c r="C25" s="48" t="s">
        <v>74</v>
      </c>
      <c r="D25" s="26" t="s">
        <v>28</v>
      </c>
      <c r="E25" s="26" t="s">
        <v>28</v>
      </c>
      <c r="F25" s="26" t="s">
        <v>28</v>
      </c>
      <c r="G25" s="26" t="s">
        <v>28</v>
      </c>
      <c r="H25" s="26" t="s">
        <v>28</v>
      </c>
      <c r="I25" s="26" t="s">
        <v>28</v>
      </c>
      <c r="J25" s="26" t="s">
        <v>28</v>
      </c>
      <c r="K25" s="27" t="s">
        <v>22</v>
      </c>
      <c r="L25" s="26" t="s">
        <v>28</v>
      </c>
      <c r="M25" s="26" t="s">
        <v>28</v>
      </c>
      <c r="N25" s="26" t="s">
        <v>28</v>
      </c>
      <c r="O25" s="27" t="s">
        <v>22</v>
      </c>
      <c r="P25" s="26" t="s">
        <v>28</v>
      </c>
      <c r="Q25" s="26" t="s">
        <v>28</v>
      </c>
      <c r="R25" s="26" t="s">
        <v>28</v>
      </c>
      <c r="S25" s="28"/>
      <c r="T25" s="28"/>
      <c r="U25" s="29"/>
      <c r="V25" s="29"/>
      <c r="W25" s="29"/>
      <c r="X25" s="29"/>
      <c r="Y25" s="29"/>
      <c r="Z25" s="29"/>
      <c r="AA25" s="29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2">
        <f t="shared" si="1"/>
        <v>0</v>
      </c>
      <c r="BB25" s="32">
        <f t="shared" si="2"/>
        <v>2</v>
      </c>
      <c r="BC25" s="32">
        <f t="shared" si="3"/>
        <v>13</v>
      </c>
      <c r="BD25" s="32">
        <f t="shared" si="4"/>
        <v>15</v>
      </c>
      <c r="BE25" s="33">
        <f t="shared" si="5"/>
        <v>86.66666667</v>
      </c>
    </row>
    <row r="26">
      <c r="A26" s="23">
        <v>22.0</v>
      </c>
      <c r="B26" s="24" t="s">
        <v>75</v>
      </c>
      <c r="C26" s="25" t="s">
        <v>76</v>
      </c>
      <c r="D26" s="27" t="s">
        <v>22</v>
      </c>
      <c r="E26" s="26" t="s">
        <v>28</v>
      </c>
      <c r="F26" s="26" t="s">
        <v>28</v>
      </c>
      <c r="G26" s="26" t="s">
        <v>28</v>
      </c>
      <c r="H26" s="27" t="s">
        <v>22</v>
      </c>
      <c r="I26" s="26" t="s">
        <v>28</v>
      </c>
      <c r="J26" s="26" t="s">
        <v>28</v>
      </c>
      <c r="K26" s="26" t="s">
        <v>28</v>
      </c>
      <c r="L26" s="26" t="s">
        <v>28</v>
      </c>
      <c r="M26" s="27" t="s">
        <v>22</v>
      </c>
      <c r="N26" s="27" t="s">
        <v>22</v>
      </c>
      <c r="O26" s="26" t="s">
        <v>28</v>
      </c>
      <c r="P26" s="26" t="s">
        <v>28</v>
      </c>
      <c r="Q26" s="26" t="s">
        <v>28</v>
      </c>
      <c r="R26" s="27" t="s">
        <v>22</v>
      </c>
      <c r="S26" s="28"/>
      <c r="T26" s="28"/>
      <c r="U26" s="29"/>
      <c r="V26" s="29"/>
      <c r="W26" s="29"/>
      <c r="X26" s="29"/>
      <c r="Y26" s="29"/>
      <c r="Z26" s="29"/>
      <c r="AA26" s="29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2">
        <f t="shared" si="1"/>
        <v>0</v>
      </c>
      <c r="BB26" s="32">
        <f t="shared" si="2"/>
        <v>5</v>
      </c>
      <c r="BC26" s="32">
        <f t="shared" si="3"/>
        <v>10</v>
      </c>
      <c r="BD26" s="32">
        <f t="shared" si="4"/>
        <v>15</v>
      </c>
      <c r="BE26" s="33">
        <f t="shared" si="5"/>
        <v>66.66666667</v>
      </c>
    </row>
    <row r="27">
      <c r="A27" s="23">
        <v>23.0</v>
      </c>
      <c r="B27" s="24" t="s">
        <v>79</v>
      </c>
      <c r="C27" s="25" t="s">
        <v>80</v>
      </c>
      <c r="D27" s="26" t="s">
        <v>28</v>
      </c>
      <c r="E27" s="26" t="s">
        <v>28</v>
      </c>
      <c r="F27" s="26" t="s">
        <v>28</v>
      </c>
      <c r="G27" s="26" t="s">
        <v>28</v>
      </c>
      <c r="H27" s="26" t="s">
        <v>28</v>
      </c>
      <c r="I27" s="26" t="s">
        <v>28</v>
      </c>
      <c r="J27" s="26" t="s">
        <v>28</v>
      </c>
      <c r="K27" s="26" t="s">
        <v>28</v>
      </c>
      <c r="L27" s="26" t="s">
        <v>28</v>
      </c>
      <c r="M27" s="26" t="s">
        <v>28</v>
      </c>
      <c r="N27" s="26" t="s">
        <v>28</v>
      </c>
      <c r="O27" s="26" t="s">
        <v>28</v>
      </c>
      <c r="P27" s="26" t="s">
        <v>28</v>
      </c>
      <c r="Q27" s="26" t="s">
        <v>28</v>
      </c>
      <c r="R27" s="26" t="s">
        <v>28</v>
      </c>
      <c r="S27" s="28"/>
      <c r="T27" s="28"/>
      <c r="U27" s="29"/>
      <c r="V27" s="29"/>
      <c r="W27" s="29"/>
      <c r="X27" s="29"/>
      <c r="Y27" s="29"/>
      <c r="Z27" s="29"/>
      <c r="AA27" s="29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2">
        <f t="shared" si="1"/>
        <v>0</v>
      </c>
      <c r="BB27" s="32">
        <f t="shared" si="2"/>
        <v>0</v>
      </c>
      <c r="BC27" s="32">
        <f t="shared" si="3"/>
        <v>15</v>
      </c>
      <c r="BD27" s="32">
        <f t="shared" si="4"/>
        <v>15</v>
      </c>
      <c r="BE27" s="33">
        <f t="shared" si="5"/>
        <v>100</v>
      </c>
    </row>
    <row r="28">
      <c r="A28" s="23">
        <v>24.0</v>
      </c>
      <c r="B28" s="24" t="s">
        <v>81</v>
      </c>
      <c r="C28" s="25" t="s">
        <v>82</v>
      </c>
      <c r="D28" s="26" t="s">
        <v>28</v>
      </c>
      <c r="E28" s="26" t="s">
        <v>28</v>
      </c>
      <c r="F28" s="26" t="s">
        <v>28</v>
      </c>
      <c r="G28" s="26" t="s">
        <v>28</v>
      </c>
      <c r="H28" s="26" t="s">
        <v>28</v>
      </c>
      <c r="I28" s="26" t="s">
        <v>28</v>
      </c>
      <c r="J28" s="26" t="s">
        <v>28</v>
      </c>
      <c r="K28" s="26" t="s">
        <v>28</v>
      </c>
      <c r="L28" s="26" t="s">
        <v>28</v>
      </c>
      <c r="M28" s="27" t="s">
        <v>22</v>
      </c>
      <c r="N28" s="26" t="s">
        <v>28</v>
      </c>
      <c r="O28" s="26" t="s">
        <v>28</v>
      </c>
      <c r="P28" s="26" t="s">
        <v>28</v>
      </c>
      <c r="Q28" s="26" t="s">
        <v>28</v>
      </c>
      <c r="R28" s="26" t="s">
        <v>28</v>
      </c>
      <c r="S28" s="28"/>
      <c r="T28" s="28"/>
      <c r="U28" s="29"/>
      <c r="V28" s="29"/>
      <c r="W28" s="29"/>
      <c r="X28" s="29"/>
      <c r="Y28" s="29"/>
      <c r="Z28" s="29"/>
      <c r="AA28" s="29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2">
        <f t="shared" si="1"/>
        <v>0</v>
      </c>
      <c r="BB28" s="32">
        <f t="shared" si="2"/>
        <v>1</v>
      </c>
      <c r="BC28" s="32">
        <f t="shared" si="3"/>
        <v>14</v>
      </c>
      <c r="BD28" s="32">
        <f t="shared" si="4"/>
        <v>15</v>
      </c>
      <c r="BE28" s="33">
        <f t="shared" si="5"/>
        <v>93.33333333</v>
      </c>
    </row>
    <row r="29">
      <c r="A29" s="23">
        <v>25.0</v>
      </c>
      <c r="B29" s="24" t="s">
        <v>83</v>
      </c>
      <c r="C29" s="25" t="s">
        <v>84</v>
      </c>
      <c r="D29" s="26" t="s">
        <v>28</v>
      </c>
      <c r="E29" s="26" t="s">
        <v>28</v>
      </c>
      <c r="F29" s="26" t="s">
        <v>28</v>
      </c>
      <c r="G29" s="26" t="s">
        <v>28</v>
      </c>
      <c r="H29" s="26" t="s">
        <v>28</v>
      </c>
      <c r="I29" s="26" t="s">
        <v>28</v>
      </c>
      <c r="J29" s="26" t="s">
        <v>28</v>
      </c>
      <c r="K29" s="26" t="s">
        <v>28</v>
      </c>
      <c r="L29" s="26" t="s">
        <v>28</v>
      </c>
      <c r="M29" s="26" t="s">
        <v>28</v>
      </c>
      <c r="N29" s="26" t="s">
        <v>28</v>
      </c>
      <c r="O29" s="26" t="s">
        <v>28</v>
      </c>
      <c r="P29" s="26" t="s">
        <v>28</v>
      </c>
      <c r="Q29" s="26" t="s">
        <v>28</v>
      </c>
      <c r="R29" s="27" t="s">
        <v>22</v>
      </c>
      <c r="S29" s="28"/>
      <c r="T29" s="28"/>
      <c r="U29" s="29"/>
      <c r="V29" s="29"/>
      <c r="W29" s="29"/>
      <c r="X29" s="29"/>
      <c r="Y29" s="29"/>
      <c r="Z29" s="29"/>
      <c r="AA29" s="29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2">
        <f t="shared" si="1"/>
        <v>0</v>
      </c>
      <c r="BB29" s="32">
        <f t="shared" si="2"/>
        <v>1</v>
      </c>
      <c r="BC29" s="32">
        <f t="shared" si="3"/>
        <v>14</v>
      </c>
      <c r="BD29" s="32">
        <f t="shared" si="4"/>
        <v>15</v>
      </c>
      <c r="BE29" s="33">
        <f t="shared" si="5"/>
        <v>93.33333333</v>
      </c>
    </row>
    <row r="30">
      <c r="A30" s="23">
        <v>26.0</v>
      </c>
      <c r="B30" s="24" t="s">
        <v>85</v>
      </c>
      <c r="C30" s="25" t="s">
        <v>86</v>
      </c>
      <c r="D30" s="26" t="s">
        <v>28</v>
      </c>
      <c r="E30" s="26" t="s">
        <v>28</v>
      </c>
      <c r="F30" s="26" t="s">
        <v>28</v>
      </c>
      <c r="G30" s="26" t="s">
        <v>28</v>
      </c>
      <c r="H30" s="26" t="s">
        <v>28</v>
      </c>
      <c r="I30" s="26" t="s">
        <v>28</v>
      </c>
      <c r="J30" s="26" t="s">
        <v>28</v>
      </c>
      <c r="K30" s="26" t="s">
        <v>28</v>
      </c>
      <c r="L30" s="26" t="s">
        <v>28</v>
      </c>
      <c r="M30" s="26" t="s">
        <v>28</v>
      </c>
      <c r="N30" s="26" t="s">
        <v>28</v>
      </c>
      <c r="O30" s="26" t="s">
        <v>28</v>
      </c>
      <c r="P30" s="26" t="s">
        <v>28</v>
      </c>
      <c r="Q30" s="26" t="s">
        <v>28</v>
      </c>
      <c r="R30" s="26" t="s">
        <v>28</v>
      </c>
      <c r="S30" s="28"/>
      <c r="T30" s="28"/>
      <c r="U30" s="29"/>
      <c r="V30" s="29"/>
      <c r="W30" s="29"/>
      <c r="X30" s="29"/>
      <c r="Y30" s="29"/>
      <c r="Z30" s="29"/>
      <c r="AA30" s="29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2">
        <f t="shared" si="1"/>
        <v>0</v>
      </c>
      <c r="BB30" s="32">
        <f t="shared" si="2"/>
        <v>0</v>
      </c>
      <c r="BC30" s="32">
        <f t="shared" si="3"/>
        <v>15</v>
      </c>
      <c r="BD30" s="32">
        <f t="shared" si="4"/>
        <v>15</v>
      </c>
      <c r="BE30" s="33">
        <f t="shared" si="5"/>
        <v>100</v>
      </c>
    </row>
    <row r="31">
      <c r="A31" s="23">
        <v>27.0</v>
      </c>
      <c r="B31" s="24" t="s">
        <v>87</v>
      </c>
      <c r="C31" s="25" t="s">
        <v>88</v>
      </c>
      <c r="D31" s="26" t="s">
        <v>28</v>
      </c>
      <c r="E31" s="26" t="s">
        <v>28</v>
      </c>
      <c r="F31" s="26" t="s">
        <v>28</v>
      </c>
      <c r="G31" s="26" t="s">
        <v>28</v>
      </c>
      <c r="H31" s="26" t="s">
        <v>28</v>
      </c>
      <c r="I31" s="26" t="s">
        <v>28</v>
      </c>
      <c r="J31" s="26" t="s">
        <v>28</v>
      </c>
      <c r="K31" s="26" t="s">
        <v>28</v>
      </c>
      <c r="L31" s="26" t="s">
        <v>28</v>
      </c>
      <c r="M31" s="26" t="s">
        <v>28</v>
      </c>
      <c r="N31" s="26" t="s">
        <v>28</v>
      </c>
      <c r="O31" s="26" t="s">
        <v>28</v>
      </c>
      <c r="P31" s="26" t="s">
        <v>28</v>
      </c>
      <c r="Q31" s="26" t="s">
        <v>28</v>
      </c>
      <c r="R31" s="26" t="s">
        <v>28</v>
      </c>
      <c r="S31" s="29"/>
      <c r="T31" s="29"/>
      <c r="U31" s="29"/>
      <c r="V31" s="29"/>
      <c r="W31" s="29"/>
      <c r="X31" s="29"/>
      <c r="Y31" s="29"/>
      <c r="Z31" s="29"/>
      <c r="AA31" s="29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2">
        <f t="shared" si="1"/>
        <v>0</v>
      </c>
      <c r="BB31" s="32">
        <f t="shared" si="2"/>
        <v>0</v>
      </c>
      <c r="BC31" s="32">
        <f t="shared" si="3"/>
        <v>15</v>
      </c>
      <c r="BD31" s="32">
        <f t="shared" si="4"/>
        <v>15</v>
      </c>
      <c r="BE31" s="33">
        <f t="shared" si="5"/>
        <v>100</v>
      </c>
    </row>
    <row r="32">
      <c r="A32" s="23">
        <v>28.0</v>
      </c>
      <c r="B32" s="24" t="s">
        <v>91</v>
      </c>
      <c r="C32" s="25" t="s">
        <v>92</v>
      </c>
      <c r="D32" s="26" t="s">
        <v>28</v>
      </c>
      <c r="E32" s="26" t="s">
        <v>28</v>
      </c>
      <c r="F32" s="26" t="s">
        <v>28</v>
      </c>
      <c r="G32" s="26" t="s">
        <v>28</v>
      </c>
      <c r="H32" s="26" t="s">
        <v>28</v>
      </c>
      <c r="I32" s="26" t="s">
        <v>28</v>
      </c>
      <c r="J32" s="26" t="s">
        <v>28</v>
      </c>
      <c r="K32" s="26" t="s">
        <v>28</v>
      </c>
      <c r="L32" s="26" t="s">
        <v>28</v>
      </c>
      <c r="M32" s="26" t="s">
        <v>28</v>
      </c>
      <c r="N32" s="27" t="s">
        <v>22</v>
      </c>
      <c r="O32" s="26" t="s">
        <v>28</v>
      </c>
      <c r="P32" s="26" t="s">
        <v>28</v>
      </c>
      <c r="Q32" s="26" t="s">
        <v>28</v>
      </c>
      <c r="R32" s="26" t="s">
        <v>28</v>
      </c>
      <c r="S32" s="28"/>
      <c r="T32" s="28"/>
      <c r="U32" s="29"/>
      <c r="V32" s="29"/>
      <c r="W32" s="29"/>
      <c r="X32" s="29"/>
      <c r="Y32" s="29"/>
      <c r="Z32" s="29"/>
      <c r="AA32" s="29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2">
        <f t="shared" si="1"/>
        <v>0</v>
      </c>
      <c r="BB32" s="32">
        <f t="shared" si="2"/>
        <v>1</v>
      </c>
      <c r="BC32" s="32">
        <f t="shared" si="3"/>
        <v>14</v>
      </c>
      <c r="BD32" s="32">
        <f t="shared" si="4"/>
        <v>15</v>
      </c>
      <c r="BE32" s="33">
        <f t="shared" si="5"/>
        <v>93.33333333</v>
      </c>
    </row>
    <row r="33">
      <c r="A33" s="23">
        <v>29.0</v>
      </c>
      <c r="B33" s="24" t="s">
        <v>93</v>
      </c>
      <c r="C33" s="25" t="s">
        <v>94</v>
      </c>
      <c r="D33" s="26" t="s">
        <v>28</v>
      </c>
      <c r="E33" s="26" t="s">
        <v>28</v>
      </c>
      <c r="F33" s="26" t="s">
        <v>28</v>
      </c>
      <c r="G33" s="26" t="s">
        <v>28</v>
      </c>
      <c r="H33" s="26" t="s">
        <v>28</v>
      </c>
      <c r="I33" s="26" t="s">
        <v>28</v>
      </c>
      <c r="J33" s="26" t="s">
        <v>28</v>
      </c>
      <c r="K33" s="26" t="s">
        <v>28</v>
      </c>
      <c r="L33" s="26" t="s">
        <v>28</v>
      </c>
      <c r="M33" s="26" t="s">
        <v>28</v>
      </c>
      <c r="N33" s="26" t="s">
        <v>28</v>
      </c>
      <c r="O33" s="26" t="s">
        <v>28</v>
      </c>
      <c r="P33" s="26" t="s">
        <v>28</v>
      </c>
      <c r="Q33" s="26" t="s">
        <v>28</v>
      </c>
      <c r="R33" s="26" t="s">
        <v>28</v>
      </c>
      <c r="S33" s="28"/>
      <c r="T33" s="30"/>
      <c r="U33" s="29"/>
      <c r="V33" s="29"/>
      <c r="W33" s="29"/>
      <c r="X33" s="29"/>
      <c r="Y33" s="29"/>
      <c r="Z33" s="29"/>
      <c r="AA33" s="29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2">
        <f t="shared" si="1"/>
        <v>0</v>
      </c>
      <c r="BB33" s="32">
        <f t="shared" si="2"/>
        <v>0</v>
      </c>
      <c r="BC33" s="32">
        <f t="shared" si="3"/>
        <v>15</v>
      </c>
      <c r="BD33" s="32">
        <f t="shared" si="4"/>
        <v>15</v>
      </c>
      <c r="BE33" s="33">
        <f t="shared" si="5"/>
        <v>100</v>
      </c>
    </row>
    <row r="34">
      <c r="A34" s="23">
        <v>30.0</v>
      </c>
      <c r="B34" s="24" t="s">
        <v>95</v>
      </c>
      <c r="C34" s="25" t="s">
        <v>96</v>
      </c>
      <c r="D34" s="26" t="s">
        <v>28</v>
      </c>
      <c r="E34" s="26" t="s">
        <v>28</v>
      </c>
      <c r="F34" s="26" t="s">
        <v>28</v>
      </c>
      <c r="G34" s="26" t="s">
        <v>28</v>
      </c>
      <c r="H34" s="26" t="s">
        <v>28</v>
      </c>
      <c r="I34" s="26" t="s">
        <v>28</v>
      </c>
      <c r="J34" s="26" t="s">
        <v>28</v>
      </c>
      <c r="K34" s="26" t="s">
        <v>28</v>
      </c>
      <c r="L34" s="26" t="s">
        <v>28</v>
      </c>
      <c r="M34" s="26" t="s">
        <v>28</v>
      </c>
      <c r="N34" s="26" t="s">
        <v>28</v>
      </c>
      <c r="O34" s="26" t="s">
        <v>28</v>
      </c>
      <c r="P34" s="26" t="s">
        <v>28</v>
      </c>
      <c r="Q34" s="26" t="s">
        <v>28</v>
      </c>
      <c r="R34" s="26" t="s">
        <v>28</v>
      </c>
      <c r="S34" s="28"/>
      <c r="T34" s="28"/>
      <c r="U34" s="29"/>
      <c r="V34" s="29"/>
      <c r="W34" s="29"/>
      <c r="X34" s="29"/>
      <c r="Y34" s="29"/>
      <c r="Z34" s="29"/>
      <c r="AA34" s="29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2">
        <f t="shared" si="1"/>
        <v>0</v>
      </c>
      <c r="BB34" s="32">
        <f t="shared" si="2"/>
        <v>0</v>
      </c>
      <c r="BC34" s="32">
        <f t="shared" si="3"/>
        <v>15</v>
      </c>
      <c r="BD34" s="32">
        <f t="shared" si="4"/>
        <v>15</v>
      </c>
      <c r="BE34" s="33">
        <f t="shared" si="5"/>
        <v>100</v>
      </c>
    </row>
    <row r="35">
      <c r="A35" s="23">
        <v>31.0</v>
      </c>
      <c r="B35" s="24" t="s">
        <v>97</v>
      </c>
      <c r="C35" s="25" t="s">
        <v>98</v>
      </c>
      <c r="D35" s="26" t="s">
        <v>28</v>
      </c>
      <c r="E35" s="26" t="s">
        <v>28</v>
      </c>
      <c r="F35" s="26" t="s">
        <v>28</v>
      </c>
      <c r="G35" s="26" t="s">
        <v>28</v>
      </c>
      <c r="H35" s="26" t="s">
        <v>28</v>
      </c>
      <c r="I35" s="26" t="s">
        <v>28</v>
      </c>
      <c r="J35" s="26" t="s">
        <v>28</v>
      </c>
      <c r="K35" s="26" t="s">
        <v>28</v>
      </c>
      <c r="L35" s="26" t="s">
        <v>28</v>
      </c>
      <c r="M35" s="27" t="s">
        <v>22</v>
      </c>
      <c r="N35" s="26" t="s">
        <v>28</v>
      </c>
      <c r="O35" s="26" t="s">
        <v>28</v>
      </c>
      <c r="P35" s="26" t="s">
        <v>28</v>
      </c>
      <c r="Q35" s="26" t="s">
        <v>28</v>
      </c>
      <c r="R35" s="26" t="s">
        <v>28</v>
      </c>
      <c r="S35" s="28"/>
      <c r="T35" s="28"/>
      <c r="U35" s="29"/>
      <c r="V35" s="29"/>
      <c r="W35" s="29"/>
      <c r="X35" s="29"/>
      <c r="Y35" s="29"/>
      <c r="Z35" s="29"/>
      <c r="AA35" s="29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2">
        <f t="shared" si="1"/>
        <v>0</v>
      </c>
      <c r="BB35" s="32">
        <f t="shared" si="2"/>
        <v>1</v>
      </c>
      <c r="BC35" s="32">
        <f t="shared" si="3"/>
        <v>14</v>
      </c>
      <c r="BD35" s="32">
        <f t="shared" si="4"/>
        <v>15</v>
      </c>
      <c r="BE35" s="33">
        <f t="shared" si="5"/>
        <v>93.33333333</v>
      </c>
    </row>
    <row r="36">
      <c r="A36" s="23">
        <v>32.0</v>
      </c>
      <c r="B36" s="24" t="s">
        <v>101</v>
      </c>
      <c r="C36" s="25" t="s">
        <v>102</v>
      </c>
      <c r="D36" s="26" t="s">
        <v>28</v>
      </c>
      <c r="E36" s="26" t="s">
        <v>28</v>
      </c>
      <c r="F36" s="26" t="s">
        <v>28</v>
      </c>
      <c r="G36" s="26" t="s">
        <v>28</v>
      </c>
      <c r="H36" s="26" t="s">
        <v>28</v>
      </c>
      <c r="I36" s="26" t="s">
        <v>28</v>
      </c>
      <c r="J36" s="26" t="s">
        <v>28</v>
      </c>
      <c r="K36" s="26" t="s">
        <v>28</v>
      </c>
      <c r="L36" s="26" t="s">
        <v>28</v>
      </c>
      <c r="M36" s="26" t="s">
        <v>28</v>
      </c>
      <c r="N36" s="26" t="s">
        <v>28</v>
      </c>
      <c r="O36" s="26" t="s">
        <v>28</v>
      </c>
      <c r="P36" s="26" t="s">
        <v>28</v>
      </c>
      <c r="Q36" s="26" t="s">
        <v>28</v>
      </c>
      <c r="R36" s="26" t="s">
        <v>28</v>
      </c>
      <c r="S36" s="28"/>
      <c r="T36" s="28"/>
      <c r="U36" s="29"/>
      <c r="V36" s="29"/>
      <c r="W36" s="29"/>
      <c r="X36" s="29"/>
      <c r="Y36" s="29"/>
      <c r="Z36" s="29"/>
      <c r="AA36" s="29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2">
        <f t="shared" si="1"/>
        <v>0</v>
      </c>
      <c r="BB36" s="32">
        <f t="shared" si="2"/>
        <v>0</v>
      </c>
      <c r="BC36" s="32">
        <f t="shared" si="3"/>
        <v>15</v>
      </c>
      <c r="BD36" s="32">
        <f t="shared" si="4"/>
        <v>15</v>
      </c>
      <c r="BE36" s="33">
        <f t="shared" si="5"/>
        <v>100</v>
      </c>
    </row>
    <row r="37">
      <c r="A37" s="23">
        <v>33.0</v>
      </c>
      <c r="B37" s="24" t="s">
        <v>103</v>
      </c>
      <c r="C37" s="25" t="s">
        <v>104</v>
      </c>
      <c r="D37" s="26" t="s">
        <v>28</v>
      </c>
      <c r="E37" s="26" t="s">
        <v>28</v>
      </c>
      <c r="F37" s="26" t="s">
        <v>28</v>
      </c>
      <c r="G37" s="26" t="s">
        <v>28</v>
      </c>
      <c r="H37" s="26" t="s">
        <v>28</v>
      </c>
      <c r="I37" s="26" t="s">
        <v>28</v>
      </c>
      <c r="J37" s="26" t="s">
        <v>28</v>
      </c>
      <c r="K37" s="26" t="s">
        <v>28</v>
      </c>
      <c r="L37" s="26" t="s">
        <v>28</v>
      </c>
      <c r="M37" s="26" t="s">
        <v>28</v>
      </c>
      <c r="N37" s="26" t="s">
        <v>28</v>
      </c>
      <c r="O37" s="26" t="s">
        <v>28</v>
      </c>
      <c r="P37" s="26" t="s">
        <v>28</v>
      </c>
      <c r="Q37" s="26" t="s">
        <v>28</v>
      </c>
      <c r="R37" s="26" t="s">
        <v>28</v>
      </c>
      <c r="S37" s="28"/>
      <c r="T37" s="28"/>
      <c r="U37" s="29"/>
      <c r="V37" s="29"/>
      <c r="W37" s="29"/>
      <c r="X37" s="29"/>
      <c r="Y37" s="29"/>
      <c r="Z37" s="29"/>
      <c r="AA37" s="29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2">
        <f t="shared" si="1"/>
        <v>0</v>
      </c>
      <c r="BB37" s="32">
        <f t="shared" si="2"/>
        <v>0</v>
      </c>
      <c r="BC37" s="32">
        <f t="shared" si="3"/>
        <v>15</v>
      </c>
      <c r="BD37" s="32">
        <f t="shared" si="4"/>
        <v>15</v>
      </c>
      <c r="BE37" s="33">
        <f t="shared" si="5"/>
        <v>100</v>
      </c>
    </row>
    <row r="38">
      <c r="A38" s="23">
        <v>34.0</v>
      </c>
      <c r="B38" s="24" t="s">
        <v>109</v>
      </c>
      <c r="C38" s="25" t="s">
        <v>110</v>
      </c>
      <c r="D38" s="27" t="s">
        <v>22</v>
      </c>
      <c r="E38" s="26" t="s">
        <v>28</v>
      </c>
      <c r="F38" s="26" t="s">
        <v>28</v>
      </c>
      <c r="G38" s="26" t="s">
        <v>28</v>
      </c>
      <c r="H38" s="26" t="s">
        <v>28</v>
      </c>
      <c r="I38" s="26" t="s">
        <v>28</v>
      </c>
      <c r="J38" s="26" t="s">
        <v>28</v>
      </c>
      <c r="K38" s="26" t="s">
        <v>28</v>
      </c>
      <c r="L38" s="26" t="s">
        <v>28</v>
      </c>
      <c r="M38" s="26" t="s">
        <v>28</v>
      </c>
      <c r="N38" s="26" t="s">
        <v>28</v>
      </c>
      <c r="O38" s="26" t="s">
        <v>28</v>
      </c>
      <c r="P38" s="27" t="s">
        <v>22</v>
      </c>
      <c r="Q38" s="27" t="s">
        <v>22</v>
      </c>
      <c r="R38" s="26" t="s">
        <v>28</v>
      </c>
      <c r="S38" s="29"/>
      <c r="T38" s="29"/>
      <c r="U38" s="29"/>
      <c r="V38" s="29"/>
      <c r="W38" s="29"/>
      <c r="X38" s="29"/>
      <c r="Y38" s="29"/>
      <c r="Z38" s="29"/>
      <c r="AA38" s="29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2">
        <f t="shared" si="1"/>
        <v>0</v>
      </c>
      <c r="BB38" s="32">
        <f t="shared" si="2"/>
        <v>3</v>
      </c>
      <c r="BC38" s="32">
        <f t="shared" si="3"/>
        <v>12</v>
      </c>
      <c r="BD38" s="32">
        <f t="shared" si="4"/>
        <v>15</v>
      </c>
      <c r="BE38" s="33">
        <f t="shared" si="5"/>
        <v>80</v>
      </c>
    </row>
    <row r="39">
      <c r="A39" s="23">
        <v>35.0</v>
      </c>
      <c r="B39" s="24" t="s">
        <v>125</v>
      </c>
      <c r="C39" s="25" t="s">
        <v>126</v>
      </c>
      <c r="D39" s="26" t="s">
        <v>28</v>
      </c>
      <c r="E39" s="26" t="s">
        <v>28</v>
      </c>
      <c r="F39" s="26" t="s">
        <v>28</v>
      </c>
      <c r="G39" s="26" t="s">
        <v>28</v>
      </c>
      <c r="H39" s="26" t="s">
        <v>28</v>
      </c>
      <c r="I39" s="26" t="s">
        <v>28</v>
      </c>
      <c r="J39" s="26" t="s">
        <v>28</v>
      </c>
      <c r="K39" s="26" t="s">
        <v>28</v>
      </c>
      <c r="L39" s="26" t="s">
        <v>28</v>
      </c>
      <c r="M39" s="27" t="s">
        <v>22</v>
      </c>
      <c r="N39" s="26" t="s">
        <v>28</v>
      </c>
      <c r="O39" s="26" t="s">
        <v>28</v>
      </c>
      <c r="P39" s="26" t="s">
        <v>28</v>
      </c>
      <c r="Q39" s="26" t="s">
        <v>28</v>
      </c>
      <c r="R39" s="26" t="s">
        <v>28</v>
      </c>
      <c r="S39" s="28"/>
      <c r="T39" s="28"/>
      <c r="U39" s="29"/>
      <c r="V39" s="29"/>
      <c r="W39" s="29"/>
      <c r="X39" s="29"/>
      <c r="Y39" s="29"/>
      <c r="Z39" s="29"/>
      <c r="AA39" s="29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2">
        <f t="shared" si="1"/>
        <v>0</v>
      </c>
      <c r="BB39" s="32">
        <f t="shared" si="2"/>
        <v>1</v>
      </c>
      <c r="BC39" s="32">
        <f t="shared" si="3"/>
        <v>14</v>
      </c>
      <c r="BD39" s="32">
        <f t="shared" si="4"/>
        <v>15</v>
      </c>
      <c r="BE39" s="33">
        <f t="shared" si="5"/>
        <v>93.33333333</v>
      </c>
    </row>
    <row r="40">
      <c r="A40" s="23">
        <v>36.0</v>
      </c>
      <c r="B40" s="24" t="s">
        <v>127</v>
      </c>
      <c r="C40" s="25" t="s">
        <v>128</v>
      </c>
      <c r="D40" s="26" t="s">
        <v>28</v>
      </c>
      <c r="E40" s="26" t="s">
        <v>28</v>
      </c>
      <c r="F40" s="26" t="s">
        <v>28</v>
      </c>
      <c r="G40" s="26" t="s">
        <v>28</v>
      </c>
      <c r="H40" s="26" t="s">
        <v>28</v>
      </c>
      <c r="I40" s="26" t="s">
        <v>28</v>
      </c>
      <c r="J40" s="26" t="s">
        <v>28</v>
      </c>
      <c r="K40" s="26" t="s">
        <v>28</v>
      </c>
      <c r="L40" s="26" t="s">
        <v>28</v>
      </c>
      <c r="M40" s="26" t="s">
        <v>28</v>
      </c>
      <c r="N40" s="26" t="s">
        <v>28</v>
      </c>
      <c r="O40" s="26" t="s">
        <v>28</v>
      </c>
      <c r="P40" s="26" t="s">
        <v>28</v>
      </c>
      <c r="Q40" s="26" t="s">
        <v>28</v>
      </c>
      <c r="R40" s="26" t="s">
        <v>28</v>
      </c>
      <c r="S40" s="28"/>
      <c r="T40" s="28"/>
      <c r="U40" s="29"/>
      <c r="V40" s="29"/>
      <c r="W40" s="29"/>
      <c r="X40" s="29"/>
      <c r="Y40" s="29"/>
      <c r="Z40" s="29"/>
      <c r="AA40" s="29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2">
        <f t="shared" si="1"/>
        <v>0</v>
      </c>
      <c r="BB40" s="32">
        <f t="shared" si="2"/>
        <v>0</v>
      </c>
      <c r="BC40" s="32">
        <f t="shared" si="3"/>
        <v>15</v>
      </c>
      <c r="BD40" s="32">
        <f t="shared" si="4"/>
        <v>15</v>
      </c>
      <c r="BE40" s="33">
        <f t="shared" si="5"/>
        <v>100</v>
      </c>
    </row>
    <row r="41">
      <c r="A41" s="23">
        <v>37.0</v>
      </c>
      <c r="B41" s="24" t="s">
        <v>129</v>
      </c>
      <c r="C41" s="25" t="s">
        <v>130</v>
      </c>
      <c r="D41" s="26" t="s">
        <v>28</v>
      </c>
      <c r="E41" s="26" t="s">
        <v>28</v>
      </c>
      <c r="F41" s="26" t="s">
        <v>28</v>
      </c>
      <c r="G41" s="26" t="s">
        <v>28</v>
      </c>
      <c r="H41" s="26" t="s">
        <v>28</v>
      </c>
      <c r="I41" s="26" t="s">
        <v>28</v>
      </c>
      <c r="J41" s="27" t="s">
        <v>22</v>
      </c>
      <c r="K41" s="26" t="s">
        <v>28</v>
      </c>
      <c r="L41" s="26" t="s">
        <v>28</v>
      </c>
      <c r="M41" s="26" t="s">
        <v>28</v>
      </c>
      <c r="N41" s="26" t="s">
        <v>28</v>
      </c>
      <c r="O41" s="26" t="s">
        <v>28</v>
      </c>
      <c r="P41" s="26" t="s">
        <v>28</v>
      </c>
      <c r="Q41" s="27" t="s">
        <v>22</v>
      </c>
      <c r="R41" s="26" t="s">
        <v>28</v>
      </c>
      <c r="S41" s="28"/>
      <c r="T41" s="28"/>
      <c r="U41" s="29"/>
      <c r="V41" s="29"/>
      <c r="W41" s="29"/>
      <c r="X41" s="29"/>
      <c r="Y41" s="29"/>
      <c r="Z41" s="29"/>
      <c r="AA41" s="29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2">
        <f t="shared" si="1"/>
        <v>0</v>
      </c>
      <c r="BB41" s="32">
        <f t="shared" si="2"/>
        <v>2</v>
      </c>
      <c r="BC41" s="32">
        <f t="shared" si="3"/>
        <v>13</v>
      </c>
      <c r="BD41" s="32">
        <f t="shared" si="4"/>
        <v>15</v>
      </c>
      <c r="BE41" s="33">
        <f t="shared" si="5"/>
        <v>86.66666667</v>
      </c>
    </row>
    <row r="42">
      <c r="A42" s="23">
        <v>38.0</v>
      </c>
      <c r="B42" s="24" t="s">
        <v>131</v>
      </c>
      <c r="C42" s="25" t="s">
        <v>132</v>
      </c>
      <c r="D42" s="27" t="s">
        <v>22</v>
      </c>
      <c r="E42" s="26" t="s">
        <v>28</v>
      </c>
      <c r="F42" s="26" t="s">
        <v>28</v>
      </c>
      <c r="G42" s="26" t="s">
        <v>28</v>
      </c>
      <c r="H42" s="26" t="s">
        <v>28</v>
      </c>
      <c r="I42" s="26" t="s">
        <v>28</v>
      </c>
      <c r="J42" s="26" t="s">
        <v>28</v>
      </c>
      <c r="K42" s="26" t="s">
        <v>28</v>
      </c>
      <c r="L42" s="26" t="s">
        <v>28</v>
      </c>
      <c r="M42" s="26" t="s">
        <v>28</v>
      </c>
      <c r="N42" s="26" t="s">
        <v>28</v>
      </c>
      <c r="O42" s="26" t="s">
        <v>28</v>
      </c>
      <c r="P42" s="26" t="s">
        <v>28</v>
      </c>
      <c r="Q42" s="26" t="s">
        <v>28</v>
      </c>
      <c r="R42" s="27" t="s">
        <v>22</v>
      </c>
      <c r="S42" s="28"/>
      <c r="T42" s="28"/>
      <c r="U42" s="29"/>
      <c r="V42" s="29"/>
      <c r="W42" s="29"/>
      <c r="X42" s="29"/>
      <c r="Y42" s="29"/>
      <c r="Z42" s="29"/>
      <c r="AA42" s="29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2">
        <f t="shared" si="1"/>
        <v>0</v>
      </c>
      <c r="BB42" s="32">
        <f t="shared" si="2"/>
        <v>2</v>
      </c>
      <c r="BC42" s="32">
        <f t="shared" si="3"/>
        <v>13</v>
      </c>
      <c r="BD42" s="32">
        <f t="shared" si="4"/>
        <v>15</v>
      </c>
      <c r="BE42" s="33">
        <f t="shared" si="5"/>
        <v>86.66666667</v>
      </c>
    </row>
    <row r="43">
      <c r="A43" s="23">
        <v>39.0</v>
      </c>
      <c r="B43" s="24" t="s">
        <v>133</v>
      </c>
      <c r="C43" s="25" t="s">
        <v>134</v>
      </c>
      <c r="D43" s="26" t="s">
        <v>28</v>
      </c>
      <c r="E43" s="26" t="s">
        <v>28</v>
      </c>
      <c r="F43" s="26" t="s">
        <v>28</v>
      </c>
      <c r="G43" s="26" t="s">
        <v>28</v>
      </c>
      <c r="H43" s="26" t="s">
        <v>28</v>
      </c>
      <c r="I43" s="26" t="s">
        <v>28</v>
      </c>
      <c r="J43" s="26" t="s">
        <v>28</v>
      </c>
      <c r="K43" s="26" t="s">
        <v>28</v>
      </c>
      <c r="L43" s="26" t="s">
        <v>28</v>
      </c>
      <c r="M43" s="26" t="s">
        <v>28</v>
      </c>
      <c r="N43" s="26" t="s">
        <v>28</v>
      </c>
      <c r="O43" s="26" t="s">
        <v>28</v>
      </c>
      <c r="P43" s="26" t="s">
        <v>28</v>
      </c>
      <c r="Q43" s="26" t="s">
        <v>28</v>
      </c>
      <c r="R43" s="26" t="s">
        <v>28</v>
      </c>
      <c r="S43" s="28"/>
      <c r="T43" s="28"/>
      <c r="U43" s="29"/>
      <c r="V43" s="29"/>
      <c r="W43" s="29"/>
      <c r="X43" s="29"/>
      <c r="Y43" s="29"/>
      <c r="Z43" s="29"/>
      <c r="AA43" s="29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2">
        <f t="shared" si="1"/>
        <v>0</v>
      </c>
      <c r="BB43" s="32">
        <f t="shared" si="2"/>
        <v>0</v>
      </c>
      <c r="BC43" s="32">
        <f t="shared" si="3"/>
        <v>15</v>
      </c>
      <c r="BD43" s="32">
        <f t="shared" si="4"/>
        <v>15</v>
      </c>
      <c r="BE43" s="33">
        <f t="shared" si="5"/>
        <v>100</v>
      </c>
    </row>
    <row r="44">
      <c r="A44" s="23">
        <v>40.0</v>
      </c>
      <c r="B44" s="24" t="s">
        <v>135</v>
      </c>
      <c r="C44" s="25" t="s">
        <v>136</v>
      </c>
      <c r="D44" s="26" t="s">
        <v>28</v>
      </c>
      <c r="E44" s="26" t="s">
        <v>28</v>
      </c>
      <c r="F44" s="26" t="s">
        <v>28</v>
      </c>
      <c r="G44" s="26" t="s">
        <v>28</v>
      </c>
      <c r="H44" s="26" t="s">
        <v>28</v>
      </c>
      <c r="I44" s="26" t="s">
        <v>28</v>
      </c>
      <c r="J44" s="26" t="s">
        <v>28</v>
      </c>
      <c r="K44" s="26" t="s">
        <v>28</v>
      </c>
      <c r="L44" s="26" t="s">
        <v>28</v>
      </c>
      <c r="M44" s="26" t="s">
        <v>28</v>
      </c>
      <c r="N44" s="26" t="s">
        <v>28</v>
      </c>
      <c r="O44" s="26" t="s">
        <v>28</v>
      </c>
      <c r="P44" s="26" t="s">
        <v>28</v>
      </c>
      <c r="Q44" s="27" t="s">
        <v>22</v>
      </c>
      <c r="R44" s="26" t="s">
        <v>28</v>
      </c>
      <c r="S44" s="28"/>
      <c r="T44" s="28"/>
      <c r="U44" s="29"/>
      <c r="V44" s="29"/>
      <c r="W44" s="29"/>
      <c r="X44" s="29"/>
      <c r="Y44" s="29"/>
      <c r="Z44" s="29"/>
      <c r="AA44" s="29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2">
        <f t="shared" si="1"/>
        <v>0</v>
      </c>
      <c r="BB44" s="32">
        <f t="shared" si="2"/>
        <v>1</v>
      </c>
      <c r="BC44" s="32">
        <f t="shared" si="3"/>
        <v>14</v>
      </c>
      <c r="BD44" s="32">
        <f t="shared" si="4"/>
        <v>15</v>
      </c>
      <c r="BE44" s="33">
        <f t="shared" si="5"/>
        <v>93.33333333</v>
      </c>
    </row>
    <row r="45">
      <c r="A45" s="23">
        <v>41.0</v>
      </c>
      <c r="B45" s="24" t="s">
        <v>137</v>
      </c>
      <c r="C45" s="25" t="s">
        <v>138</v>
      </c>
      <c r="D45" s="26" t="s">
        <v>28</v>
      </c>
      <c r="E45" s="26" t="s">
        <v>28</v>
      </c>
      <c r="F45" s="26" t="s">
        <v>28</v>
      </c>
      <c r="G45" s="26" t="s">
        <v>28</v>
      </c>
      <c r="H45" s="26" t="s">
        <v>28</v>
      </c>
      <c r="I45" s="26" t="s">
        <v>28</v>
      </c>
      <c r="J45" s="26" t="s">
        <v>28</v>
      </c>
      <c r="K45" s="26" t="s">
        <v>28</v>
      </c>
      <c r="L45" s="26" t="s">
        <v>28</v>
      </c>
      <c r="M45" s="26" t="s">
        <v>28</v>
      </c>
      <c r="N45" s="26" t="s">
        <v>28</v>
      </c>
      <c r="O45" s="26" t="s">
        <v>28</v>
      </c>
      <c r="P45" s="26" t="s">
        <v>28</v>
      </c>
      <c r="Q45" s="27" t="s">
        <v>22</v>
      </c>
      <c r="R45" s="26" t="s">
        <v>28</v>
      </c>
      <c r="S45" s="29"/>
      <c r="T45" s="29"/>
      <c r="U45" s="29"/>
      <c r="V45" s="29"/>
      <c r="W45" s="29"/>
      <c r="X45" s="29"/>
      <c r="Y45" s="29"/>
      <c r="Z45" s="29"/>
      <c r="AA45" s="29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2">
        <f t="shared" si="1"/>
        <v>0</v>
      </c>
      <c r="BB45" s="32">
        <f t="shared" si="2"/>
        <v>1</v>
      </c>
      <c r="BC45" s="32">
        <f t="shared" si="3"/>
        <v>14</v>
      </c>
      <c r="BD45" s="32">
        <f t="shared" si="4"/>
        <v>15</v>
      </c>
      <c r="BE45" s="33">
        <f t="shared" si="5"/>
        <v>93.33333333</v>
      </c>
    </row>
    <row r="46">
      <c r="A46" s="23">
        <v>42.0</v>
      </c>
      <c r="B46" s="24" t="s">
        <v>139</v>
      </c>
      <c r="C46" s="25" t="s">
        <v>140</v>
      </c>
      <c r="D46" s="27" t="s">
        <v>22</v>
      </c>
      <c r="E46" s="26" t="s">
        <v>28</v>
      </c>
      <c r="F46" s="26" t="s">
        <v>28</v>
      </c>
      <c r="G46" s="26" t="s">
        <v>28</v>
      </c>
      <c r="H46" s="27" t="s">
        <v>22</v>
      </c>
      <c r="I46" s="27" t="s">
        <v>22</v>
      </c>
      <c r="J46" s="26" t="s">
        <v>28</v>
      </c>
      <c r="K46" s="26" t="s">
        <v>28</v>
      </c>
      <c r="L46" s="26" t="s">
        <v>28</v>
      </c>
      <c r="M46" s="26" t="s">
        <v>28</v>
      </c>
      <c r="N46" s="27" t="s">
        <v>22</v>
      </c>
      <c r="O46" s="27" t="s">
        <v>22</v>
      </c>
      <c r="P46" s="26" t="s">
        <v>28</v>
      </c>
      <c r="Q46" s="27" t="s">
        <v>22</v>
      </c>
      <c r="R46" s="27" t="s">
        <v>22</v>
      </c>
      <c r="S46" s="29"/>
      <c r="T46" s="29"/>
      <c r="U46" s="29"/>
      <c r="V46" s="29"/>
      <c r="W46" s="29"/>
      <c r="X46" s="29"/>
      <c r="Y46" s="29"/>
      <c r="Z46" s="29"/>
      <c r="AA46" s="29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2">
        <f t="shared" si="1"/>
        <v>0</v>
      </c>
      <c r="BB46" s="32">
        <f t="shared" si="2"/>
        <v>7</v>
      </c>
      <c r="BC46" s="32">
        <f t="shared" si="3"/>
        <v>8</v>
      </c>
      <c r="BD46" s="32">
        <f t="shared" si="4"/>
        <v>15</v>
      </c>
      <c r="BE46" s="33">
        <f t="shared" si="5"/>
        <v>53.33333333</v>
      </c>
    </row>
    <row r="47">
      <c r="A47" s="23">
        <v>43.0</v>
      </c>
      <c r="B47" s="24" t="s">
        <v>141</v>
      </c>
      <c r="C47" s="25" t="s">
        <v>142</v>
      </c>
      <c r="D47" s="27" t="s">
        <v>22</v>
      </c>
      <c r="E47" s="26" t="s">
        <v>28</v>
      </c>
      <c r="F47" s="26" t="s">
        <v>28</v>
      </c>
      <c r="G47" s="26" t="s">
        <v>28</v>
      </c>
      <c r="H47" s="26" t="s">
        <v>28</v>
      </c>
      <c r="I47" s="26" t="s">
        <v>28</v>
      </c>
      <c r="J47" s="26" t="s">
        <v>28</v>
      </c>
      <c r="K47" s="26" t="s">
        <v>28</v>
      </c>
      <c r="L47" s="26" t="s">
        <v>28</v>
      </c>
      <c r="M47" s="26" t="s">
        <v>28</v>
      </c>
      <c r="N47" s="26" t="s">
        <v>28</v>
      </c>
      <c r="O47" s="26" t="s">
        <v>28</v>
      </c>
      <c r="P47" s="26" t="s">
        <v>28</v>
      </c>
      <c r="Q47" s="27" t="s">
        <v>22</v>
      </c>
      <c r="R47" s="27" t="s">
        <v>22</v>
      </c>
      <c r="S47" s="28"/>
      <c r="T47" s="28"/>
      <c r="U47" s="29"/>
      <c r="V47" s="29"/>
      <c r="W47" s="29"/>
      <c r="X47" s="29"/>
      <c r="Y47" s="29"/>
      <c r="Z47" s="29"/>
      <c r="AA47" s="29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2">
        <f t="shared" si="1"/>
        <v>0</v>
      </c>
      <c r="BB47" s="32">
        <f t="shared" si="2"/>
        <v>3</v>
      </c>
      <c r="BC47" s="32">
        <f t="shared" si="3"/>
        <v>12</v>
      </c>
      <c r="BD47" s="32">
        <f t="shared" si="4"/>
        <v>15</v>
      </c>
      <c r="BE47" s="33">
        <f t="shared" si="5"/>
        <v>80</v>
      </c>
    </row>
    <row r="48">
      <c r="A48" s="23">
        <v>44.0</v>
      </c>
      <c r="B48" s="24" t="s">
        <v>143</v>
      </c>
      <c r="C48" s="25" t="s">
        <v>144</v>
      </c>
      <c r="D48" s="26" t="s">
        <v>28</v>
      </c>
      <c r="E48" s="26" t="s">
        <v>28</v>
      </c>
      <c r="F48" s="26" t="s">
        <v>28</v>
      </c>
      <c r="G48" s="26" t="s">
        <v>28</v>
      </c>
      <c r="H48" s="26" t="s">
        <v>28</v>
      </c>
      <c r="I48" s="26" t="s">
        <v>28</v>
      </c>
      <c r="J48" s="27" t="s">
        <v>22</v>
      </c>
      <c r="K48" s="26" t="s">
        <v>28</v>
      </c>
      <c r="L48" s="26" t="s">
        <v>28</v>
      </c>
      <c r="M48" s="26" t="s">
        <v>28</v>
      </c>
      <c r="N48" s="26" t="s">
        <v>28</v>
      </c>
      <c r="O48" s="26" t="s">
        <v>28</v>
      </c>
      <c r="P48" s="26" t="s">
        <v>28</v>
      </c>
      <c r="Q48" s="27" t="s">
        <v>22</v>
      </c>
      <c r="R48" s="26" t="s">
        <v>28</v>
      </c>
      <c r="S48" s="28"/>
      <c r="T48" s="28"/>
      <c r="U48" s="29"/>
      <c r="V48" s="29"/>
      <c r="W48" s="29"/>
      <c r="X48" s="29"/>
      <c r="Y48" s="29"/>
      <c r="Z48" s="29"/>
      <c r="AA48" s="29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2">
        <f t="shared" si="1"/>
        <v>0</v>
      </c>
      <c r="BB48" s="32">
        <f t="shared" si="2"/>
        <v>2</v>
      </c>
      <c r="BC48" s="32">
        <f t="shared" si="3"/>
        <v>13</v>
      </c>
      <c r="BD48" s="32">
        <f t="shared" si="4"/>
        <v>15</v>
      </c>
      <c r="BE48" s="33">
        <f t="shared" si="5"/>
        <v>86.66666667</v>
      </c>
    </row>
    <row r="49">
      <c r="A49" s="23">
        <v>45.0</v>
      </c>
      <c r="B49" s="24" t="s">
        <v>145</v>
      </c>
      <c r="C49" s="25" t="s">
        <v>146</v>
      </c>
      <c r="D49" s="26" t="s">
        <v>28</v>
      </c>
      <c r="E49" s="26" t="s">
        <v>28</v>
      </c>
      <c r="F49" s="26" t="s">
        <v>28</v>
      </c>
      <c r="G49" s="26" t="s">
        <v>28</v>
      </c>
      <c r="H49" s="26" t="s">
        <v>28</v>
      </c>
      <c r="I49" s="26" t="s">
        <v>28</v>
      </c>
      <c r="J49" s="26" t="s">
        <v>28</v>
      </c>
      <c r="K49" s="27" t="s">
        <v>22</v>
      </c>
      <c r="L49" s="26" t="s">
        <v>28</v>
      </c>
      <c r="M49" s="26" t="s">
        <v>28</v>
      </c>
      <c r="N49" s="26" t="s">
        <v>28</v>
      </c>
      <c r="O49" s="26" t="s">
        <v>28</v>
      </c>
      <c r="P49" s="26" t="s">
        <v>28</v>
      </c>
      <c r="Q49" s="27" t="s">
        <v>22</v>
      </c>
      <c r="R49" s="26" t="s">
        <v>28</v>
      </c>
      <c r="S49" s="28"/>
      <c r="T49" s="28"/>
      <c r="U49" s="29"/>
      <c r="V49" s="29"/>
      <c r="W49" s="29"/>
      <c r="X49" s="29"/>
      <c r="Y49" s="29"/>
      <c r="Z49" s="29"/>
      <c r="AA49" s="29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2">
        <f t="shared" si="1"/>
        <v>0</v>
      </c>
      <c r="BB49" s="32">
        <f t="shared" si="2"/>
        <v>2</v>
      </c>
      <c r="BC49" s="32">
        <f t="shared" si="3"/>
        <v>13</v>
      </c>
      <c r="BD49" s="32">
        <f t="shared" si="4"/>
        <v>15</v>
      </c>
      <c r="BE49" s="33">
        <f t="shared" si="5"/>
        <v>86.66666667</v>
      </c>
    </row>
    <row r="50">
      <c r="A50" s="23">
        <v>46.0</v>
      </c>
      <c r="B50" s="24" t="s">
        <v>149</v>
      </c>
      <c r="C50" s="25" t="s">
        <v>150</v>
      </c>
      <c r="D50" s="26" t="s">
        <v>28</v>
      </c>
      <c r="E50" s="26" t="s">
        <v>28</v>
      </c>
      <c r="F50" s="26" t="s">
        <v>28</v>
      </c>
      <c r="G50" s="26" t="s">
        <v>28</v>
      </c>
      <c r="H50" s="26" t="s">
        <v>28</v>
      </c>
      <c r="I50" s="26" t="s">
        <v>28</v>
      </c>
      <c r="J50" s="26" t="s">
        <v>28</v>
      </c>
      <c r="K50" s="26" t="s">
        <v>28</v>
      </c>
      <c r="L50" s="26" t="s">
        <v>28</v>
      </c>
      <c r="M50" s="26" t="s">
        <v>28</v>
      </c>
      <c r="N50" s="26" t="s">
        <v>28</v>
      </c>
      <c r="O50" s="26" t="s">
        <v>28</v>
      </c>
      <c r="P50" s="26" t="s">
        <v>28</v>
      </c>
      <c r="Q50" s="26" t="s">
        <v>28</v>
      </c>
      <c r="R50" s="26" t="s">
        <v>28</v>
      </c>
      <c r="S50" s="28"/>
      <c r="T50" s="30"/>
      <c r="U50" s="29"/>
      <c r="V50" s="29"/>
      <c r="W50" s="29"/>
      <c r="X50" s="29"/>
      <c r="Y50" s="29"/>
      <c r="Z50" s="29"/>
      <c r="AA50" s="29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2">
        <f t="shared" si="1"/>
        <v>0</v>
      </c>
      <c r="BB50" s="32">
        <f t="shared" si="2"/>
        <v>0</v>
      </c>
      <c r="BC50" s="32">
        <f t="shared" si="3"/>
        <v>15</v>
      </c>
      <c r="BD50" s="32">
        <f t="shared" si="4"/>
        <v>15</v>
      </c>
      <c r="BE50" s="33">
        <f t="shared" si="5"/>
        <v>100</v>
      </c>
    </row>
    <row r="51">
      <c r="A51" s="23">
        <v>47.0</v>
      </c>
      <c r="B51" s="24" t="s">
        <v>151</v>
      </c>
      <c r="C51" s="25" t="s">
        <v>392</v>
      </c>
      <c r="D51" s="26" t="s">
        <v>28</v>
      </c>
      <c r="E51" s="26" t="s">
        <v>28</v>
      </c>
      <c r="F51" s="26" t="s">
        <v>28</v>
      </c>
      <c r="G51" s="26" t="s">
        <v>28</v>
      </c>
      <c r="H51" s="26" t="s">
        <v>28</v>
      </c>
      <c r="I51" s="26" t="s">
        <v>28</v>
      </c>
      <c r="J51" s="26" t="s">
        <v>28</v>
      </c>
      <c r="K51" s="26" t="s">
        <v>28</v>
      </c>
      <c r="L51" s="26" t="s">
        <v>28</v>
      </c>
      <c r="M51" s="26" t="s">
        <v>28</v>
      </c>
      <c r="N51" s="26" t="s">
        <v>28</v>
      </c>
      <c r="O51" s="26" t="s">
        <v>28</v>
      </c>
      <c r="P51" s="26" t="s">
        <v>28</v>
      </c>
      <c r="Q51" s="26" t="s">
        <v>28</v>
      </c>
      <c r="R51" s="26" t="s">
        <v>28</v>
      </c>
      <c r="S51" s="28"/>
      <c r="T51" s="28"/>
      <c r="U51" s="29"/>
      <c r="V51" s="29"/>
      <c r="W51" s="29"/>
      <c r="X51" s="29"/>
      <c r="Y51" s="29"/>
      <c r="Z51" s="29"/>
      <c r="AA51" s="29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2">
        <f t="shared" si="1"/>
        <v>0</v>
      </c>
      <c r="BB51" s="32">
        <f t="shared" si="2"/>
        <v>0</v>
      </c>
      <c r="BC51" s="32">
        <f t="shared" si="3"/>
        <v>15</v>
      </c>
      <c r="BD51" s="32">
        <f t="shared" si="4"/>
        <v>15</v>
      </c>
      <c r="BE51" s="33">
        <f t="shared" si="5"/>
        <v>100</v>
      </c>
    </row>
    <row r="52">
      <c r="A52" s="23">
        <v>48.0</v>
      </c>
      <c r="B52" s="24" t="s">
        <v>153</v>
      </c>
      <c r="C52" s="25" t="s">
        <v>154</v>
      </c>
      <c r="D52" s="26" t="s">
        <v>28</v>
      </c>
      <c r="E52" s="26" t="s">
        <v>28</v>
      </c>
      <c r="F52" s="26" t="s">
        <v>28</v>
      </c>
      <c r="G52" s="26" t="s">
        <v>28</v>
      </c>
      <c r="H52" s="26" t="s">
        <v>28</v>
      </c>
      <c r="I52" s="26" t="s">
        <v>28</v>
      </c>
      <c r="J52" s="26" t="s">
        <v>28</v>
      </c>
      <c r="K52" s="26" t="s">
        <v>28</v>
      </c>
      <c r="L52" s="26" t="s">
        <v>28</v>
      </c>
      <c r="M52" s="26" t="s">
        <v>28</v>
      </c>
      <c r="N52" s="26" t="s">
        <v>28</v>
      </c>
      <c r="O52" s="26" t="s">
        <v>28</v>
      </c>
      <c r="P52" s="26" t="s">
        <v>28</v>
      </c>
      <c r="Q52" s="26" t="s">
        <v>28</v>
      </c>
      <c r="R52" s="26" t="s">
        <v>28</v>
      </c>
      <c r="S52" s="29"/>
      <c r="T52" s="29"/>
      <c r="U52" s="29"/>
      <c r="V52" s="29"/>
      <c r="W52" s="29"/>
      <c r="X52" s="29"/>
      <c r="Y52" s="29"/>
      <c r="Z52" s="29"/>
      <c r="AA52" s="29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2">
        <f t="shared" si="1"/>
        <v>0</v>
      </c>
      <c r="BB52" s="32">
        <f t="shared" si="2"/>
        <v>0</v>
      </c>
      <c r="BC52" s="32">
        <f t="shared" si="3"/>
        <v>15</v>
      </c>
      <c r="BD52" s="32">
        <f t="shared" si="4"/>
        <v>15</v>
      </c>
      <c r="BE52" s="33">
        <f t="shared" si="5"/>
        <v>100</v>
      </c>
    </row>
    <row r="53">
      <c r="A53" s="23">
        <v>49.0</v>
      </c>
      <c r="B53" s="24" t="s">
        <v>155</v>
      </c>
      <c r="C53" s="25" t="s">
        <v>156</v>
      </c>
      <c r="D53" s="26" t="s">
        <v>28</v>
      </c>
      <c r="E53" s="26" t="s">
        <v>28</v>
      </c>
      <c r="F53" s="26" t="s">
        <v>28</v>
      </c>
      <c r="G53" s="26" t="s">
        <v>28</v>
      </c>
      <c r="H53" s="26" t="s">
        <v>28</v>
      </c>
      <c r="I53" s="26" t="s">
        <v>28</v>
      </c>
      <c r="J53" s="26" t="s">
        <v>28</v>
      </c>
      <c r="K53" s="26" t="s">
        <v>28</v>
      </c>
      <c r="L53" s="26" t="s">
        <v>28</v>
      </c>
      <c r="M53" s="26" t="s">
        <v>28</v>
      </c>
      <c r="N53" s="26" t="s">
        <v>28</v>
      </c>
      <c r="O53" s="26" t="s">
        <v>28</v>
      </c>
      <c r="P53" s="27" t="s">
        <v>22</v>
      </c>
      <c r="Q53" s="26" t="s">
        <v>28</v>
      </c>
      <c r="R53" s="26" t="s">
        <v>28</v>
      </c>
      <c r="S53" s="30"/>
      <c r="T53" s="29"/>
      <c r="U53" s="29"/>
      <c r="V53" s="29"/>
      <c r="W53" s="29"/>
      <c r="X53" s="29"/>
      <c r="Y53" s="29"/>
      <c r="Z53" s="29"/>
      <c r="AA53" s="29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2">
        <f t="shared" si="1"/>
        <v>0</v>
      </c>
      <c r="BB53" s="32">
        <f t="shared" si="2"/>
        <v>1</v>
      </c>
      <c r="BC53" s="32">
        <f t="shared" si="3"/>
        <v>14</v>
      </c>
      <c r="BD53" s="32">
        <f t="shared" si="4"/>
        <v>15</v>
      </c>
      <c r="BE53" s="33">
        <f t="shared" si="5"/>
        <v>93.33333333</v>
      </c>
    </row>
    <row r="54">
      <c r="A54" s="23">
        <v>50.0</v>
      </c>
      <c r="B54" s="24" t="s">
        <v>157</v>
      </c>
      <c r="C54" s="25" t="s">
        <v>158</v>
      </c>
      <c r="D54" s="26" t="s">
        <v>28</v>
      </c>
      <c r="E54" s="26" t="s">
        <v>28</v>
      </c>
      <c r="F54" s="26" t="s">
        <v>28</v>
      </c>
      <c r="G54" s="26" t="s">
        <v>28</v>
      </c>
      <c r="H54" s="26" t="s">
        <v>28</v>
      </c>
      <c r="I54" s="26" t="s">
        <v>28</v>
      </c>
      <c r="J54" s="26" t="s">
        <v>28</v>
      </c>
      <c r="K54" s="26" t="s">
        <v>28</v>
      </c>
      <c r="L54" s="26" t="s">
        <v>28</v>
      </c>
      <c r="M54" s="26" t="s">
        <v>28</v>
      </c>
      <c r="N54" s="26" t="s">
        <v>28</v>
      </c>
      <c r="O54" s="26" t="s">
        <v>28</v>
      </c>
      <c r="P54" s="26" t="s">
        <v>28</v>
      </c>
      <c r="Q54" s="26" t="s">
        <v>28</v>
      </c>
      <c r="R54" s="26" t="s">
        <v>28</v>
      </c>
      <c r="S54" s="28"/>
      <c r="T54" s="28"/>
      <c r="U54" s="29"/>
      <c r="V54" s="29"/>
      <c r="W54" s="29"/>
      <c r="X54" s="29"/>
      <c r="Y54" s="29"/>
      <c r="Z54" s="29"/>
      <c r="AA54" s="29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2">
        <f t="shared" si="1"/>
        <v>0</v>
      </c>
      <c r="BB54" s="32">
        <f t="shared" si="2"/>
        <v>0</v>
      </c>
      <c r="BC54" s="32">
        <f t="shared" si="3"/>
        <v>15</v>
      </c>
      <c r="BD54" s="32">
        <f t="shared" si="4"/>
        <v>15</v>
      </c>
      <c r="BE54" s="33">
        <f t="shared" si="5"/>
        <v>100</v>
      </c>
    </row>
    <row r="55">
      <c r="A55" s="23">
        <v>51.0</v>
      </c>
      <c r="B55" s="24" t="s">
        <v>161</v>
      </c>
      <c r="C55" s="25" t="s">
        <v>162</v>
      </c>
      <c r="D55" s="26" t="s">
        <v>28</v>
      </c>
      <c r="E55" s="26" t="s">
        <v>28</v>
      </c>
      <c r="F55" s="26" t="s">
        <v>28</v>
      </c>
      <c r="G55" s="26" t="s">
        <v>28</v>
      </c>
      <c r="H55" s="26" t="s">
        <v>28</v>
      </c>
      <c r="I55" s="26" t="s">
        <v>28</v>
      </c>
      <c r="J55" s="26" t="s">
        <v>28</v>
      </c>
      <c r="K55" s="26" t="s">
        <v>28</v>
      </c>
      <c r="L55" s="26" t="s">
        <v>28</v>
      </c>
      <c r="M55" s="26" t="s">
        <v>28</v>
      </c>
      <c r="N55" s="26" t="s">
        <v>28</v>
      </c>
      <c r="O55" s="26" t="s">
        <v>28</v>
      </c>
      <c r="P55" s="26" t="s">
        <v>28</v>
      </c>
      <c r="Q55" s="26" t="s">
        <v>28</v>
      </c>
      <c r="R55" s="26" t="s">
        <v>28</v>
      </c>
      <c r="S55" s="28"/>
      <c r="T55" s="28"/>
      <c r="U55" s="29"/>
      <c r="V55" s="29"/>
      <c r="W55" s="29"/>
      <c r="X55" s="29"/>
      <c r="Y55" s="29"/>
      <c r="Z55" s="29"/>
      <c r="AA55" s="29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2">
        <f t="shared" si="1"/>
        <v>0</v>
      </c>
      <c r="BB55" s="32">
        <f t="shared" si="2"/>
        <v>0</v>
      </c>
      <c r="BC55" s="32">
        <f t="shared" si="3"/>
        <v>15</v>
      </c>
      <c r="BD55" s="32">
        <f t="shared" si="4"/>
        <v>15</v>
      </c>
      <c r="BE55" s="33">
        <f t="shared" si="5"/>
        <v>100</v>
      </c>
    </row>
    <row r="56">
      <c r="A56" s="23">
        <v>52.0</v>
      </c>
      <c r="B56" s="24" t="s">
        <v>163</v>
      </c>
      <c r="C56" s="25" t="s">
        <v>164</v>
      </c>
      <c r="D56" s="26" t="s">
        <v>28</v>
      </c>
      <c r="E56" s="26" t="s">
        <v>28</v>
      </c>
      <c r="F56" s="26" t="s">
        <v>28</v>
      </c>
      <c r="G56" s="26" t="s">
        <v>28</v>
      </c>
      <c r="H56" s="26" t="s">
        <v>28</v>
      </c>
      <c r="I56" s="26" t="s">
        <v>28</v>
      </c>
      <c r="J56" s="26" t="s">
        <v>28</v>
      </c>
      <c r="K56" s="26" t="s">
        <v>28</v>
      </c>
      <c r="L56" s="26" t="s">
        <v>28</v>
      </c>
      <c r="M56" s="26" t="s">
        <v>28</v>
      </c>
      <c r="N56" s="26" t="s">
        <v>28</v>
      </c>
      <c r="O56" s="26" t="s">
        <v>28</v>
      </c>
      <c r="P56" s="26" t="s">
        <v>28</v>
      </c>
      <c r="Q56" s="26" t="s">
        <v>28</v>
      </c>
      <c r="R56" s="26" t="s">
        <v>28</v>
      </c>
      <c r="S56" s="28"/>
      <c r="T56" s="28"/>
      <c r="U56" s="29"/>
      <c r="V56" s="29"/>
      <c r="W56" s="29"/>
      <c r="X56" s="29"/>
      <c r="Y56" s="29"/>
      <c r="Z56" s="29"/>
      <c r="AA56" s="29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2">
        <f t="shared" si="1"/>
        <v>0</v>
      </c>
      <c r="BB56" s="32">
        <f t="shared" si="2"/>
        <v>0</v>
      </c>
      <c r="BC56" s="32">
        <f t="shared" si="3"/>
        <v>15</v>
      </c>
      <c r="BD56" s="32">
        <f t="shared" si="4"/>
        <v>15</v>
      </c>
      <c r="BE56" s="33">
        <f t="shared" si="5"/>
        <v>100</v>
      </c>
    </row>
    <row r="57">
      <c r="A57" s="23">
        <v>53.0</v>
      </c>
      <c r="B57" s="24" t="s">
        <v>165</v>
      </c>
      <c r="C57" s="25" t="s">
        <v>166</v>
      </c>
      <c r="D57" s="26" t="s">
        <v>28</v>
      </c>
      <c r="E57" s="26" t="s">
        <v>28</v>
      </c>
      <c r="F57" s="26" t="s">
        <v>28</v>
      </c>
      <c r="G57" s="26" t="s">
        <v>28</v>
      </c>
      <c r="H57" s="26" t="s">
        <v>28</v>
      </c>
      <c r="I57" s="26" t="s">
        <v>28</v>
      </c>
      <c r="J57" s="27" t="s">
        <v>22</v>
      </c>
      <c r="K57" s="26" t="s">
        <v>28</v>
      </c>
      <c r="L57" s="26" t="s">
        <v>28</v>
      </c>
      <c r="M57" s="26" t="s">
        <v>28</v>
      </c>
      <c r="N57" s="26" t="s">
        <v>28</v>
      </c>
      <c r="O57" s="26" t="s">
        <v>28</v>
      </c>
      <c r="P57" s="26" t="s">
        <v>28</v>
      </c>
      <c r="Q57" s="26" t="s">
        <v>28</v>
      </c>
      <c r="R57" s="27" t="s">
        <v>22</v>
      </c>
      <c r="S57" s="28"/>
      <c r="T57" s="28"/>
      <c r="U57" s="29"/>
      <c r="V57" s="29"/>
      <c r="W57" s="29"/>
      <c r="X57" s="29"/>
      <c r="Y57" s="29"/>
      <c r="Z57" s="29"/>
      <c r="AA57" s="29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2">
        <f t="shared" si="1"/>
        <v>0</v>
      </c>
      <c r="BB57" s="32">
        <f t="shared" si="2"/>
        <v>2</v>
      </c>
      <c r="BC57" s="32">
        <f t="shared" si="3"/>
        <v>13</v>
      </c>
      <c r="BD57" s="32">
        <f t="shared" si="4"/>
        <v>15</v>
      </c>
      <c r="BE57" s="33">
        <f t="shared" si="5"/>
        <v>86.66666667</v>
      </c>
    </row>
    <row r="58">
      <c r="A58" s="23">
        <v>54.0</v>
      </c>
      <c r="B58" s="24" t="s">
        <v>167</v>
      </c>
      <c r="C58" s="25" t="s">
        <v>168</v>
      </c>
      <c r="D58" s="26" t="s">
        <v>28</v>
      </c>
      <c r="E58" s="26" t="s">
        <v>28</v>
      </c>
      <c r="F58" s="26" t="s">
        <v>28</v>
      </c>
      <c r="G58" s="26" t="s">
        <v>28</v>
      </c>
      <c r="H58" s="26" t="s">
        <v>28</v>
      </c>
      <c r="I58" s="26" t="s">
        <v>28</v>
      </c>
      <c r="J58" s="26" t="s">
        <v>28</v>
      </c>
      <c r="K58" s="26" t="s">
        <v>28</v>
      </c>
      <c r="L58" s="26" t="s">
        <v>28</v>
      </c>
      <c r="M58" s="26" t="s">
        <v>28</v>
      </c>
      <c r="N58" s="26" t="s">
        <v>28</v>
      </c>
      <c r="O58" s="26" t="s">
        <v>28</v>
      </c>
      <c r="P58" s="26" t="s">
        <v>28</v>
      </c>
      <c r="Q58" s="27" t="s">
        <v>22</v>
      </c>
      <c r="R58" s="26" t="s">
        <v>28</v>
      </c>
      <c r="S58" s="28"/>
      <c r="T58" s="28"/>
      <c r="U58" s="29"/>
      <c r="V58" s="29"/>
      <c r="W58" s="29"/>
      <c r="X58" s="29"/>
      <c r="Y58" s="29"/>
      <c r="Z58" s="29"/>
      <c r="AA58" s="29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2">
        <f t="shared" si="1"/>
        <v>0</v>
      </c>
      <c r="BB58" s="32">
        <f t="shared" si="2"/>
        <v>1</v>
      </c>
      <c r="BC58" s="32">
        <f t="shared" si="3"/>
        <v>14</v>
      </c>
      <c r="BD58" s="32">
        <f t="shared" si="4"/>
        <v>15</v>
      </c>
      <c r="BE58" s="33">
        <f t="shared" si="5"/>
        <v>93.33333333</v>
      </c>
    </row>
    <row r="59">
      <c r="A59" s="23">
        <v>55.0</v>
      </c>
      <c r="B59" s="24" t="s">
        <v>169</v>
      </c>
      <c r="C59" s="25" t="s">
        <v>170</v>
      </c>
      <c r="D59" s="26" t="s">
        <v>28</v>
      </c>
      <c r="E59" s="26" t="s">
        <v>28</v>
      </c>
      <c r="F59" s="26" t="s">
        <v>28</v>
      </c>
      <c r="G59" s="26" t="s">
        <v>28</v>
      </c>
      <c r="H59" s="26" t="s">
        <v>28</v>
      </c>
      <c r="I59" s="26" t="s">
        <v>28</v>
      </c>
      <c r="J59" s="26" t="s">
        <v>28</v>
      </c>
      <c r="K59" s="26" t="s">
        <v>28</v>
      </c>
      <c r="L59" s="26" t="s">
        <v>28</v>
      </c>
      <c r="M59" s="26" t="s">
        <v>28</v>
      </c>
      <c r="N59" s="26" t="s">
        <v>28</v>
      </c>
      <c r="O59" s="26" t="s">
        <v>28</v>
      </c>
      <c r="P59" s="26" t="s">
        <v>28</v>
      </c>
      <c r="Q59" s="27" t="s">
        <v>22</v>
      </c>
      <c r="R59" s="26" t="s">
        <v>28</v>
      </c>
      <c r="S59" s="51"/>
      <c r="T59" s="51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32">
        <f t="shared" si="1"/>
        <v>0</v>
      </c>
      <c r="BB59" s="32">
        <f t="shared" si="2"/>
        <v>1</v>
      </c>
      <c r="BC59" s="32">
        <f t="shared" si="3"/>
        <v>14</v>
      </c>
      <c r="BD59" s="32">
        <f t="shared" si="4"/>
        <v>15</v>
      </c>
      <c r="BE59" s="33">
        <f t="shared" si="5"/>
        <v>93.33333333</v>
      </c>
    </row>
    <row r="60">
      <c r="A60" s="23">
        <v>56.0</v>
      </c>
      <c r="B60" s="47" t="s">
        <v>171</v>
      </c>
      <c r="C60" s="25" t="s">
        <v>172</v>
      </c>
      <c r="D60" s="27" t="s">
        <v>22</v>
      </c>
      <c r="E60" s="26" t="s">
        <v>28</v>
      </c>
      <c r="F60" s="26" t="s">
        <v>28</v>
      </c>
      <c r="G60" s="26" t="s">
        <v>28</v>
      </c>
      <c r="H60" s="26" t="s">
        <v>28</v>
      </c>
      <c r="I60" s="26" t="s">
        <v>28</v>
      </c>
      <c r="J60" s="26" t="s">
        <v>28</v>
      </c>
      <c r="K60" s="26" t="s">
        <v>28</v>
      </c>
      <c r="L60" s="26" t="s">
        <v>28</v>
      </c>
      <c r="M60" s="26" t="s">
        <v>28</v>
      </c>
      <c r="N60" s="26" t="s">
        <v>28</v>
      </c>
      <c r="O60" s="26" t="s">
        <v>28</v>
      </c>
      <c r="P60" s="26" t="s">
        <v>28</v>
      </c>
      <c r="Q60" s="26" t="s">
        <v>28</v>
      </c>
      <c r="R60" s="27" t="s">
        <v>22</v>
      </c>
      <c r="S60" s="51"/>
      <c r="T60" s="51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32">
        <f t="shared" si="1"/>
        <v>0</v>
      </c>
      <c r="BB60" s="32">
        <f t="shared" si="2"/>
        <v>2</v>
      </c>
      <c r="BC60" s="32">
        <f t="shared" si="3"/>
        <v>13</v>
      </c>
      <c r="BD60" s="32">
        <f t="shared" si="4"/>
        <v>15</v>
      </c>
      <c r="BE60" s="33">
        <f t="shared" si="5"/>
        <v>86.66666667</v>
      </c>
    </row>
    <row r="61">
      <c r="A61" s="23">
        <v>57.0</v>
      </c>
      <c r="B61" s="24" t="s">
        <v>173</v>
      </c>
      <c r="C61" s="25" t="s">
        <v>174</v>
      </c>
      <c r="D61" s="26" t="s">
        <v>28</v>
      </c>
      <c r="E61" s="26" t="s">
        <v>28</v>
      </c>
      <c r="F61" s="26" t="s">
        <v>28</v>
      </c>
      <c r="G61" s="26" t="s">
        <v>28</v>
      </c>
      <c r="H61" s="26" t="s">
        <v>28</v>
      </c>
      <c r="I61" s="26" t="s">
        <v>28</v>
      </c>
      <c r="J61" s="26" t="s">
        <v>28</v>
      </c>
      <c r="K61" s="26" t="s">
        <v>28</v>
      </c>
      <c r="L61" s="26" t="s">
        <v>28</v>
      </c>
      <c r="M61" s="26" t="s">
        <v>28</v>
      </c>
      <c r="N61" s="26" t="s">
        <v>28</v>
      </c>
      <c r="O61" s="26" t="s">
        <v>28</v>
      </c>
      <c r="P61" s="26" t="s">
        <v>28</v>
      </c>
      <c r="Q61" s="27" t="s">
        <v>22</v>
      </c>
      <c r="R61" s="26" t="s">
        <v>28</v>
      </c>
      <c r="S61" s="51"/>
      <c r="T61" s="51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32">
        <f t="shared" si="1"/>
        <v>0</v>
      </c>
      <c r="BB61" s="32">
        <f t="shared" si="2"/>
        <v>1</v>
      </c>
      <c r="BC61" s="32">
        <f t="shared" si="3"/>
        <v>14</v>
      </c>
      <c r="BD61" s="32">
        <f t="shared" si="4"/>
        <v>15</v>
      </c>
      <c r="BE61" s="33">
        <f t="shared" si="5"/>
        <v>93.33333333</v>
      </c>
    </row>
    <row r="62">
      <c r="A62" s="23">
        <v>58.0</v>
      </c>
      <c r="B62" s="24" t="s">
        <v>177</v>
      </c>
      <c r="C62" s="25" t="s">
        <v>178</v>
      </c>
      <c r="D62" s="26" t="s">
        <v>28</v>
      </c>
      <c r="E62" s="26" t="s">
        <v>28</v>
      </c>
      <c r="F62" s="26" t="s">
        <v>28</v>
      </c>
      <c r="G62" s="26" t="s">
        <v>28</v>
      </c>
      <c r="H62" s="26" t="s">
        <v>28</v>
      </c>
      <c r="I62" s="26" t="s">
        <v>28</v>
      </c>
      <c r="J62" s="26" t="s">
        <v>28</v>
      </c>
      <c r="K62" s="26" t="s">
        <v>28</v>
      </c>
      <c r="L62" s="26" t="s">
        <v>28</v>
      </c>
      <c r="M62" s="26" t="s">
        <v>28</v>
      </c>
      <c r="N62" s="26" t="s">
        <v>28</v>
      </c>
      <c r="O62" s="26" t="s">
        <v>28</v>
      </c>
      <c r="P62" s="26" t="s">
        <v>28</v>
      </c>
      <c r="Q62" s="26" t="s">
        <v>28</v>
      </c>
      <c r="R62" s="26" t="s">
        <v>28</v>
      </c>
      <c r="S62" s="51"/>
      <c r="T62" s="51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32">
        <f t="shared" si="1"/>
        <v>0</v>
      </c>
      <c r="BB62" s="32">
        <f t="shared" si="2"/>
        <v>0</v>
      </c>
      <c r="BC62" s="32">
        <f t="shared" si="3"/>
        <v>15</v>
      </c>
      <c r="BD62" s="32">
        <f t="shared" si="4"/>
        <v>15</v>
      </c>
      <c r="BE62" s="33">
        <f t="shared" si="5"/>
        <v>100</v>
      </c>
    </row>
    <row r="63">
      <c r="A63" s="23">
        <v>59.0</v>
      </c>
      <c r="B63" s="24" t="s">
        <v>179</v>
      </c>
      <c r="C63" s="25" t="s">
        <v>180</v>
      </c>
      <c r="D63" s="27" t="s">
        <v>22</v>
      </c>
      <c r="E63" s="26" t="s">
        <v>28</v>
      </c>
      <c r="F63" s="26" t="s">
        <v>28</v>
      </c>
      <c r="G63" s="26" t="s">
        <v>28</v>
      </c>
      <c r="H63" s="26" t="s">
        <v>28</v>
      </c>
      <c r="I63" s="27" t="s">
        <v>22</v>
      </c>
      <c r="J63" s="27" t="s">
        <v>22</v>
      </c>
      <c r="K63" s="26" t="s">
        <v>28</v>
      </c>
      <c r="L63" s="26" t="s">
        <v>28</v>
      </c>
      <c r="M63" s="27" t="s">
        <v>22</v>
      </c>
      <c r="N63" s="26" t="s">
        <v>28</v>
      </c>
      <c r="O63" s="27" t="s">
        <v>22</v>
      </c>
      <c r="P63" s="26" t="s">
        <v>28</v>
      </c>
      <c r="Q63" s="27" t="s">
        <v>22</v>
      </c>
      <c r="R63" s="27" t="s">
        <v>22</v>
      </c>
      <c r="S63" s="51"/>
      <c r="T63" s="51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32">
        <f t="shared" si="1"/>
        <v>0</v>
      </c>
      <c r="BB63" s="32">
        <f t="shared" si="2"/>
        <v>7</v>
      </c>
      <c r="BC63" s="32">
        <f t="shared" si="3"/>
        <v>8</v>
      </c>
      <c r="BD63" s="32">
        <f t="shared" si="4"/>
        <v>15</v>
      </c>
      <c r="BE63" s="33">
        <f t="shared" si="5"/>
        <v>53.33333333</v>
      </c>
    </row>
    <row r="64">
      <c r="A64" s="23">
        <v>60.0</v>
      </c>
      <c r="B64" s="24" t="s">
        <v>181</v>
      </c>
      <c r="C64" s="25" t="s">
        <v>182</v>
      </c>
      <c r="D64" s="26" t="s">
        <v>28</v>
      </c>
      <c r="E64" s="27" t="s">
        <v>22</v>
      </c>
      <c r="F64" s="26" t="s">
        <v>28</v>
      </c>
      <c r="G64" s="26" t="s">
        <v>28</v>
      </c>
      <c r="H64" s="26" t="s">
        <v>28</v>
      </c>
      <c r="I64" s="26" t="s">
        <v>28</v>
      </c>
      <c r="J64" s="26" t="s">
        <v>28</v>
      </c>
      <c r="K64" s="26" t="s">
        <v>28</v>
      </c>
      <c r="L64" s="26" t="s">
        <v>28</v>
      </c>
      <c r="M64" s="26" t="s">
        <v>28</v>
      </c>
      <c r="N64" s="27" t="s">
        <v>22</v>
      </c>
      <c r="O64" s="26" t="s">
        <v>28</v>
      </c>
      <c r="P64" s="26" t="s">
        <v>28</v>
      </c>
      <c r="Q64" s="26" t="s">
        <v>28</v>
      </c>
      <c r="R64" s="26" t="s">
        <v>28</v>
      </c>
      <c r="S64" s="51"/>
      <c r="T64" s="51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32">
        <f t="shared" si="1"/>
        <v>0</v>
      </c>
      <c r="BB64" s="32">
        <f t="shared" si="2"/>
        <v>2</v>
      </c>
      <c r="BC64" s="32">
        <f t="shared" si="3"/>
        <v>13</v>
      </c>
      <c r="BD64" s="32">
        <f t="shared" si="4"/>
        <v>15</v>
      </c>
      <c r="BE64" s="33">
        <f t="shared" si="5"/>
        <v>86.66666667</v>
      </c>
    </row>
    <row r="65">
      <c r="A65" s="23">
        <v>61.0</v>
      </c>
      <c r="B65" s="47" t="s">
        <v>183</v>
      </c>
      <c r="C65" s="25" t="s">
        <v>184</v>
      </c>
      <c r="D65" s="26" t="s">
        <v>28</v>
      </c>
      <c r="E65" s="26" t="s">
        <v>28</v>
      </c>
      <c r="F65" s="26" t="s">
        <v>28</v>
      </c>
      <c r="G65" s="26" t="s">
        <v>28</v>
      </c>
      <c r="H65" s="26" t="s">
        <v>28</v>
      </c>
      <c r="I65" s="27" t="s">
        <v>22</v>
      </c>
      <c r="J65" s="26" t="s">
        <v>28</v>
      </c>
      <c r="K65" s="26" t="s">
        <v>28</v>
      </c>
      <c r="L65" s="26" t="s">
        <v>28</v>
      </c>
      <c r="M65" s="26" t="s">
        <v>28</v>
      </c>
      <c r="N65" s="27" t="s">
        <v>22</v>
      </c>
      <c r="O65" s="26" t="s">
        <v>28</v>
      </c>
      <c r="P65" s="26" t="s">
        <v>28</v>
      </c>
      <c r="Q65" s="26" t="s">
        <v>28</v>
      </c>
      <c r="R65" s="26" t="s">
        <v>28</v>
      </c>
      <c r="S65" s="51"/>
      <c r="T65" s="51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32">
        <f t="shared" si="1"/>
        <v>0</v>
      </c>
      <c r="BB65" s="32">
        <f t="shared" si="2"/>
        <v>2</v>
      </c>
      <c r="BC65" s="32">
        <f t="shared" si="3"/>
        <v>13</v>
      </c>
      <c r="BD65" s="32">
        <f t="shared" si="4"/>
        <v>15</v>
      </c>
      <c r="BE65" s="33">
        <f t="shared" si="5"/>
        <v>86.66666667</v>
      </c>
    </row>
    <row r="66">
      <c r="A66" s="23">
        <v>62.0</v>
      </c>
      <c r="B66" s="24" t="s">
        <v>187</v>
      </c>
      <c r="C66" s="25" t="s">
        <v>188</v>
      </c>
      <c r="D66" s="26" t="s">
        <v>28</v>
      </c>
      <c r="E66" s="26" t="s">
        <v>28</v>
      </c>
      <c r="F66" s="26" t="s">
        <v>28</v>
      </c>
      <c r="G66" s="26" t="s">
        <v>28</v>
      </c>
      <c r="H66" s="26" t="s">
        <v>28</v>
      </c>
      <c r="I66" s="26" t="s">
        <v>28</v>
      </c>
      <c r="J66" s="27" t="s">
        <v>22</v>
      </c>
      <c r="K66" s="27" t="s">
        <v>22</v>
      </c>
      <c r="L66" s="27" t="s">
        <v>22</v>
      </c>
      <c r="M66" s="26" t="s">
        <v>28</v>
      </c>
      <c r="N66" s="26" t="s">
        <v>28</v>
      </c>
      <c r="O66" s="26" t="s">
        <v>28</v>
      </c>
      <c r="P66" s="27" t="s">
        <v>22</v>
      </c>
      <c r="Q66" s="27" t="s">
        <v>22</v>
      </c>
      <c r="R66" s="26" t="s">
        <v>28</v>
      </c>
      <c r="S66" s="51"/>
      <c r="T66" s="51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32">
        <f t="shared" si="1"/>
        <v>0</v>
      </c>
      <c r="BB66" s="32">
        <f t="shared" si="2"/>
        <v>5</v>
      </c>
      <c r="BC66" s="32">
        <f t="shared" si="3"/>
        <v>10</v>
      </c>
      <c r="BD66" s="32">
        <f t="shared" si="4"/>
        <v>15</v>
      </c>
      <c r="BE66" s="33">
        <f t="shared" si="5"/>
        <v>66.66666667</v>
      </c>
    </row>
    <row r="67">
      <c r="A67" s="23">
        <v>63.0</v>
      </c>
      <c r="B67" s="24" t="s">
        <v>189</v>
      </c>
      <c r="C67" s="25" t="s">
        <v>190</v>
      </c>
      <c r="D67" s="27" t="s">
        <v>22</v>
      </c>
      <c r="E67" s="26" t="s">
        <v>28</v>
      </c>
      <c r="F67" s="26" t="s">
        <v>28</v>
      </c>
      <c r="G67" s="26" t="s">
        <v>28</v>
      </c>
      <c r="H67" s="26" t="s">
        <v>28</v>
      </c>
      <c r="I67" s="26" t="s">
        <v>28</v>
      </c>
      <c r="J67" s="26" t="s">
        <v>28</v>
      </c>
      <c r="K67" s="26" t="s">
        <v>28</v>
      </c>
      <c r="L67" s="26" t="s">
        <v>28</v>
      </c>
      <c r="M67" s="27" t="s">
        <v>22</v>
      </c>
      <c r="N67" s="26" t="s">
        <v>28</v>
      </c>
      <c r="O67" s="26" t="s">
        <v>28</v>
      </c>
      <c r="P67" s="26" t="s">
        <v>28</v>
      </c>
      <c r="Q67" s="27" t="s">
        <v>22</v>
      </c>
      <c r="R67" s="26" t="s">
        <v>28</v>
      </c>
      <c r="S67" s="51"/>
      <c r="T67" s="51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32">
        <f t="shared" si="1"/>
        <v>0</v>
      </c>
      <c r="BB67" s="32">
        <f t="shared" si="2"/>
        <v>3</v>
      </c>
      <c r="BC67" s="32">
        <f t="shared" si="3"/>
        <v>12</v>
      </c>
      <c r="BD67" s="32">
        <f t="shared" si="4"/>
        <v>15</v>
      </c>
      <c r="BE67" s="33">
        <f t="shared" si="5"/>
        <v>80</v>
      </c>
    </row>
    <row r="68">
      <c r="A68" s="55"/>
      <c r="B68" s="55"/>
      <c r="C68" s="56" t="s">
        <v>191</v>
      </c>
      <c r="D68" s="57">
        <f t="shared" ref="D68:AZ68" si="6">COUNTIF(D5:D67,"P")+COUNTIF(D5:D67,"L")</f>
        <v>50</v>
      </c>
      <c r="E68" s="57">
        <f t="shared" si="6"/>
        <v>62</v>
      </c>
      <c r="F68" s="57">
        <f t="shared" si="6"/>
        <v>63</v>
      </c>
      <c r="G68" s="57">
        <f t="shared" si="6"/>
        <v>63</v>
      </c>
      <c r="H68" s="57">
        <f t="shared" si="6"/>
        <v>58</v>
      </c>
      <c r="I68" s="57">
        <f t="shared" si="6"/>
        <v>57</v>
      </c>
      <c r="J68" s="57">
        <f t="shared" si="6"/>
        <v>55</v>
      </c>
      <c r="K68" s="57">
        <f t="shared" si="6"/>
        <v>56</v>
      </c>
      <c r="L68" s="57">
        <f t="shared" si="6"/>
        <v>59</v>
      </c>
      <c r="M68" s="57">
        <f t="shared" si="6"/>
        <v>53</v>
      </c>
      <c r="N68" s="57">
        <f t="shared" si="6"/>
        <v>54</v>
      </c>
      <c r="O68" s="57">
        <f t="shared" si="6"/>
        <v>54</v>
      </c>
      <c r="P68" s="57">
        <f t="shared" si="6"/>
        <v>57</v>
      </c>
      <c r="Q68" s="57">
        <f t="shared" si="6"/>
        <v>42</v>
      </c>
      <c r="R68" s="57">
        <f t="shared" si="6"/>
        <v>50</v>
      </c>
      <c r="S68" s="57">
        <f t="shared" si="6"/>
        <v>0</v>
      </c>
      <c r="T68" s="57">
        <f t="shared" si="6"/>
        <v>0</v>
      </c>
      <c r="U68" s="57">
        <f t="shared" si="6"/>
        <v>0</v>
      </c>
      <c r="V68" s="57">
        <f t="shared" si="6"/>
        <v>0</v>
      </c>
      <c r="W68" s="57">
        <f t="shared" si="6"/>
        <v>0</v>
      </c>
      <c r="X68" s="57">
        <f t="shared" si="6"/>
        <v>0</v>
      </c>
      <c r="Y68" s="57">
        <f t="shared" si="6"/>
        <v>0</v>
      </c>
      <c r="Z68" s="57">
        <f t="shared" si="6"/>
        <v>0</v>
      </c>
      <c r="AA68" s="57">
        <f t="shared" si="6"/>
        <v>0</v>
      </c>
      <c r="AB68" s="57">
        <f t="shared" si="6"/>
        <v>0</v>
      </c>
      <c r="AC68" s="57">
        <f t="shared" si="6"/>
        <v>0</v>
      </c>
      <c r="AD68" s="57">
        <f t="shared" si="6"/>
        <v>0</v>
      </c>
      <c r="AE68" s="57">
        <f t="shared" si="6"/>
        <v>0</v>
      </c>
      <c r="AF68" s="57">
        <f t="shared" si="6"/>
        <v>0</v>
      </c>
      <c r="AG68" s="57">
        <f t="shared" si="6"/>
        <v>0</v>
      </c>
      <c r="AH68" s="57">
        <f t="shared" si="6"/>
        <v>0</v>
      </c>
      <c r="AI68" s="57">
        <f t="shared" si="6"/>
        <v>0</v>
      </c>
      <c r="AJ68" s="57">
        <f t="shared" si="6"/>
        <v>0</v>
      </c>
      <c r="AK68" s="57">
        <f t="shared" si="6"/>
        <v>0</v>
      </c>
      <c r="AL68" s="57">
        <f t="shared" si="6"/>
        <v>0</v>
      </c>
      <c r="AM68" s="57">
        <f t="shared" si="6"/>
        <v>0</v>
      </c>
      <c r="AN68" s="57">
        <f t="shared" si="6"/>
        <v>0</v>
      </c>
      <c r="AO68" s="57">
        <f t="shared" si="6"/>
        <v>0</v>
      </c>
      <c r="AP68" s="57">
        <f t="shared" si="6"/>
        <v>0</v>
      </c>
      <c r="AQ68" s="57">
        <f t="shared" si="6"/>
        <v>0</v>
      </c>
      <c r="AR68" s="57">
        <f t="shared" si="6"/>
        <v>0</v>
      </c>
      <c r="AS68" s="57">
        <f t="shared" si="6"/>
        <v>0</v>
      </c>
      <c r="AT68" s="57">
        <f t="shared" si="6"/>
        <v>0</v>
      </c>
      <c r="AU68" s="57">
        <f t="shared" si="6"/>
        <v>0</v>
      </c>
      <c r="AV68" s="57">
        <f t="shared" si="6"/>
        <v>0</v>
      </c>
      <c r="AW68" s="57">
        <f t="shared" si="6"/>
        <v>0</v>
      </c>
      <c r="AX68" s="57">
        <f t="shared" si="6"/>
        <v>0</v>
      </c>
      <c r="AY68" s="57">
        <f t="shared" si="6"/>
        <v>0</v>
      </c>
      <c r="AZ68" s="57">
        <f t="shared" si="6"/>
        <v>0</v>
      </c>
      <c r="BA68" s="32">
        <f t="shared" si="1"/>
        <v>0</v>
      </c>
      <c r="BB68" s="32">
        <f t="shared" si="2"/>
        <v>0</v>
      </c>
      <c r="BC68" s="32">
        <f t="shared" si="3"/>
        <v>0</v>
      </c>
      <c r="BD68" s="32">
        <f t="shared" si="4"/>
        <v>0</v>
      </c>
      <c r="BE68" s="33" t="str">
        <f t="shared" si="5"/>
        <v>#DIV/0!</v>
      </c>
    </row>
    <row r="69">
      <c r="A69" s="83" t="s">
        <v>427</v>
      </c>
      <c r="B69" s="55"/>
      <c r="C69" s="59" t="s">
        <v>192</v>
      </c>
      <c r="D69" s="60">
        <v>63.0</v>
      </c>
      <c r="E69" s="60">
        <v>63.0</v>
      </c>
      <c r="F69" s="60">
        <v>63.0</v>
      </c>
      <c r="G69" s="60">
        <v>63.0</v>
      </c>
      <c r="H69" s="60">
        <v>63.0</v>
      </c>
      <c r="I69" s="60">
        <v>63.0</v>
      </c>
      <c r="J69" s="60">
        <v>63.0</v>
      </c>
      <c r="K69" s="60">
        <v>63.0</v>
      </c>
      <c r="L69" s="60">
        <v>63.0</v>
      </c>
      <c r="M69" s="60">
        <v>63.0</v>
      </c>
      <c r="N69" s="60">
        <v>63.0</v>
      </c>
      <c r="O69" s="60">
        <v>63.0</v>
      </c>
      <c r="P69" s="60">
        <v>63.0</v>
      </c>
      <c r="Q69" s="60">
        <v>63.0</v>
      </c>
      <c r="R69" s="60">
        <v>63.0</v>
      </c>
      <c r="S69" s="60">
        <v>63.0</v>
      </c>
      <c r="T69" s="60">
        <v>63.0</v>
      </c>
      <c r="U69" s="60">
        <v>63.0</v>
      </c>
      <c r="V69" s="60">
        <v>63.0</v>
      </c>
      <c r="W69" s="60">
        <v>63.0</v>
      </c>
      <c r="X69" s="60">
        <v>63.0</v>
      </c>
      <c r="Y69" s="60">
        <v>63.0</v>
      </c>
      <c r="Z69" s="60">
        <v>63.0</v>
      </c>
      <c r="AA69" s="60">
        <v>63.0</v>
      </c>
      <c r="AB69" s="60">
        <v>63.0</v>
      </c>
      <c r="AC69" s="60">
        <v>63.0</v>
      </c>
      <c r="AD69" s="60">
        <v>63.0</v>
      </c>
      <c r="AE69" s="60">
        <v>63.0</v>
      </c>
      <c r="AF69" s="60">
        <v>63.0</v>
      </c>
      <c r="AG69" s="60">
        <v>63.0</v>
      </c>
      <c r="AH69" s="60">
        <v>63.0</v>
      </c>
      <c r="AI69" s="60">
        <v>63.0</v>
      </c>
      <c r="AJ69" s="60">
        <v>63.0</v>
      </c>
      <c r="AK69" s="60">
        <v>63.0</v>
      </c>
      <c r="AL69" s="60">
        <v>63.0</v>
      </c>
      <c r="AM69" s="60">
        <v>63.0</v>
      </c>
      <c r="AN69" s="60">
        <v>63.0</v>
      </c>
      <c r="AO69" s="60">
        <v>63.0</v>
      </c>
      <c r="AP69" s="60">
        <v>63.0</v>
      </c>
      <c r="AQ69" s="60">
        <v>63.0</v>
      </c>
      <c r="AR69" s="60">
        <v>63.0</v>
      </c>
      <c r="AS69" s="60">
        <v>63.0</v>
      </c>
      <c r="AT69" s="60">
        <v>63.0</v>
      </c>
      <c r="AU69" s="60">
        <v>63.0</v>
      </c>
      <c r="AV69" s="60">
        <v>63.0</v>
      </c>
      <c r="AW69" s="60">
        <v>63.0</v>
      </c>
      <c r="AX69" s="60">
        <v>63.0</v>
      </c>
      <c r="AY69" s="60">
        <v>63.0</v>
      </c>
      <c r="AZ69" s="60">
        <v>63.0</v>
      </c>
      <c r="BA69" s="34"/>
      <c r="BB69" s="34"/>
      <c r="BC69" s="34"/>
      <c r="BD69" s="34"/>
      <c r="BE69" s="61"/>
    </row>
    <row r="70">
      <c r="A70" s="55"/>
      <c r="B70" s="55"/>
      <c r="C70" s="62" t="s">
        <v>193</v>
      </c>
      <c r="D70" s="63">
        <f t="shared" ref="D70:AZ70" si="7">SUM(D68/D69)*100</f>
        <v>79.36507937</v>
      </c>
      <c r="E70" s="63">
        <f t="shared" si="7"/>
        <v>98.41269841</v>
      </c>
      <c r="F70" s="63">
        <f t="shared" si="7"/>
        <v>100</v>
      </c>
      <c r="G70" s="63">
        <f t="shared" si="7"/>
        <v>100</v>
      </c>
      <c r="H70" s="63">
        <f t="shared" si="7"/>
        <v>92.06349206</v>
      </c>
      <c r="I70" s="63">
        <f t="shared" si="7"/>
        <v>90.47619048</v>
      </c>
      <c r="J70" s="63">
        <f t="shared" si="7"/>
        <v>87.3015873</v>
      </c>
      <c r="K70" s="63">
        <f t="shared" si="7"/>
        <v>88.88888889</v>
      </c>
      <c r="L70" s="63">
        <f t="shared" si="7"/>
        <v>93.65079365</v>
      </c>
      <c r="M70" s="63">
        <f t="shared" si="7"/>
        <v>84.12698413</v>
      </c>
      <c r="N70" s="63">
        <f t="shared" si="7"/>
        <v>85.71428571</v>
      </c>
      <c r="O70" s="63">
        <f t="shared" si="7"/>
        <v>85.71428571</v>
      </c>
      <c r="P70" s="63">
        <f t="shared" si="7"/>
        <v>90.47619048</v>
      </c>
      <c r="Q70" s="63">
        <f t="shared" si="7"/>
        <v>66.66666667</v>
      </c>
      <c r="R70" s="63">
        <f t="shared" si="7"/>
        <v>79.36507937</v>
      </c>
      <c r="S70" s="63">
        <f t="shared" si="7"/>
        <v>0</v>
      </c>
      <c r="T70" s="63">
        <f t="shared" si="7"/>
        <v>0</v>
      </c>
      <c r="U70" s="63">
        <f t="shared" si="7"/>
        <v>0</v>
      </c>
      <c r="V70" s="63">
        <f t="shared" si="7"/>
        <v>0</v>
      </c>
      <c r="W70" s="63">
        <f t="shared" si="7"/>
        <v>0</v>
      </c>
      <c r="X70" s="63">
        <f t="shared" si="7"/>
        <v>0</v>
      </c>
      <c r="Y70" s="63">
        <f t="shared" si="7"/>
        <v>0</v>
      </c>
      <c r="Z70" s="63">
        <f t="shared" si="7"/>
        <v>0</v>
      </c>
      <c r="AA70" s="63">
        <f t="shared" si="7"/>
        <v>0</v>
      </c>
      <c r="AB70" s="63">
        <f t="shared" si="7"/>
        <v>0</v>
      </c>
      <c r="AC70" s="63">
        <f t="shared" si="7"/>
        <v>0</v>
      </c>
      <c r="AD70" s="63">
        <f t="shared" si="7"/>
        <v>0</v>
      </c>
      <c r="AE70" s="63">
        <f t="shared" si="7"/>
        <v>0</v>
      </c>
      <c r="AF70" s="63">
        <f t="shared" si="7"/>
        <v>0</v>
      </c>
      <c r="AG70" s="63">
        <f t="shared" si="7"/>
        <v>0</v>
      </c>
      <c r="AH70" s="63">
        <f t="shared" si="7"/>
        <v>0</v>
      </c>
      <c r="AI70" s="63">
        <f t="shared" si="7"/>
        <v>0</v>
      </c>
      <c r="AJ70" s="63">
        <f t="shared" si="7"/>
        <v>0</v>
      </c>
      <c r="AK70" s="63">
        <f t="shared" si="7"/>
        <v>0</v>
      </c>
      <c r="AL70" s="63">
        <f t="shared" si="7"/>
        <v>0</v>
      </c>
      <c r="AM70" s="63">
        <f t="shared" si="7"/>
        <v>0</v>
      </c>
      <c r="AN70" s="63">
        <f t="shared" si="7"/>
        <v>0</v>
      </c>
      <c r="AO70" s="63">
        <f t="shared" si="7"/>
        <v>0</v>
      </c>
      <c r="AP70" s="63">
        <f t="shared" si="7"/>
        <v>0</v>
      </c>
      <c r="AQ70" s="63">
        <f t="shared" si="7"/>
        <v>0</v>
      </c>
      <c r="AR70" s="63">
        <f t="shared" si="7"/>
        <v>0</v>
      </c>
      <c r="AS70" s="63">
        <f t="shared" si="7"/>
        <v>0</v>
      </c>
      <c r="AT70" s="63">
        <f t="shared" si="7"/>
        <v>0</v>
      </c>
      <c r="AU70" s="63">
        <f t="shared" si="7"/>
        <v>0</v>
      </c>
      <c r="AV70" s="63">
        <f t="shared" si="7"/>
        <v>0</v>
      </c>
      <c r="AW70" s="63">
        <f t="shared" si="7"/>
        <v>0</v>
      </c>
      <c r="AX70" s="63">
        <f t="shared" si="7"/>
        <v>0</v>
      </c>
      <c r="AY70" s="63">
        <f t="shared" si="7"/>
        <v>0</v>
      </c>
      <c r="AZ70" s="63">
        <f t="shared" si="7"/>
        <v>0</v>
      </c>
      <c r="BA70" s="34"/>
      <c r="BB70" s="34"/>
      <c r="BC70" s="34"/>
      <c r="BD70" s="34"/>
      <c r="BE70" s="61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</row>
    <row r="75">
      <c r="A75" s="1" t="s">
        <v>428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3"/>
    </row>
    <row r="76">
      <c r="A76" s="4" t="s">
        <v>1</v>
      </c>
      <c r="B76" s="5" t="s">
        <v>2</v>
      </c>
      <c r="C76" s="6" t="s">
        <v>3</v>
      </c>
      <c r="D76" s="7" t="s">
        <v>409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3"/>
    </row>
    <row r="77" ht="62.25" customHeight="1">
      <c r="A77" s="8"/>
      <c r="B77" s="8"/>
      <c r="C77" s="8"/>
      <c r="D77" s="79" t="s">
        <v>376</v>
      </c>
      <c r="E77" s="79" t="s">
        <v>376</v>
      </c>
      <c r="F77" s="79" t="s">
        <v>376</v>
      </c>
      <c r="G77" s="79" t="s">
        <v>376</v>
      </c>
      <c r="H77" s="79" t="s">
        <v>376</v>
      </c>
      <c r="I77" s="79" t="s">
        <v>376</v>
      </c>
      <c r="J77" s="65" t="s">
        <v>410</v>
      </c>
      <c r="K77" s="65" t="s">
        <v>411</v>
      </c>
      <c r="L77" s="79" t="s">
        <v>376</v>
      </c>
      <c r="M77" s="79" t="s">
        <v>376</v>
      </c>
      <c r="N77" s="65" t="s">
        <v>410</v>
      </c>
      <c r="O77" s="79" t="s">
        <v>376</v>
      </c>
      <c r="P77" s="65" t="s">
        <v>410</v>
      </c>
      <c r="Q77" s="79" t="s">
        <v>376</v>
      </c>
      <c r="R77" s="65" t="s">
        <v>410</v>
      </c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9"/>
      <c r="AY77" s="69"/>
      <c r="AZ77" s="68"/>
      <c r="BA77" s="18" t="s">
        <v>21</v>
      </c>
      <c r="BB77" s="19" t="s">
        <v>22</v>
      </c>
      <c r="BC77" s="20" t="s">
        <v>23</v>
      </c>
      <c r="BD77" s="21" t="s">
        <v>24</v>
      </c>
      <c r="BE77" s="22" t="s">
        <v>25</v>
      </c>
    </row>
    <row r="78" ht="57.75" customHeight="1">
      <c r="A78" s="15"/>
      <c r="B78" s="15"/>
      <c r="C78" s="15"/>
      <c r="D78" s="79" t="s">
        <v>429</v>
      </c>
      <c r="E78" s="65" t="s">
        <v>430</v>
      </c>
      <c r="F78" s="66" t="s">
        <v>431</v>
      </c>
      <c r="G78" s="79" t="s">
        <v>432</v>
      </c>
      <c r="H78" s="66" t="s">
        <v>433</v>
      </c>
      <c r="I78" s="66" t="s">
        <v>434</v>
      </c>
      <c r="J78" s="66" t="s">
        <v>435</v>
      </c>
      <c r="K78" s="65" t="s">
        <v>419</v>
      </c>
      <c r="L78" s="66" t="s">
        <v>436</v>
      </c>
      <c r="M78" s="66" t="s">
        <v>421</v>
      </c>
      <c r="N78" s="66" t="s">
        <v>437</v>
      </c>
      <c r="O78" s="66" t="s">
        <v>423</v>
      </c>
      <c r="P78" s="66" t="s">
        <v>438</v>
      </c>
      <c r="Q78" s="84" t="s">
        <v>425</v>
      </c>
      <c r="R78" s="84" t="s">
        <v>439</v>
      </c>
      <c r="S78" s="69"/>
      <c r="T78" s="69"/>
      <c r="U78" s="69"/>
      <c r="V78" s="69"/>
      <c r="W78" s="69"/>
      <c r="X78" s="69"/>
      <c r="Y78" s="69"/>
      <c r="Z78" s="69"/>
      <c r="AA78" s="68"/>
      <c r="AB78" s="68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8"/>
      <c r="BA78" s="32">
        <f t="shared" ref="BA78:BA149" si="8">COUNTIF(D78:AZ78,"L")</f>
        <v>0</v>
      </c>
      <c r="BB78" s="32">
        <f t="shared" ref="BB78:BB149" si="9">COUNTIF(D78:AZ78,"A")</f>
        <v>0</v>
      </c>
      <c r="BC78" s="32">
        <f t="shared" ref="BC78:BC149" si="10">COUNTIF(D78:AZ78,"p")</f>
        <v>0</v>
      </c>
      <c r="BD78" s="32">
        <f t="shared" ref="BD78:BD149" si="11">SUM(BA78:BC78)</f>
        <v>0</v>
      </c>
      <c r="BE78" s="33" t="str">
        <f t="shared" ref="BE78:BE149" si="12">SUM(BA78,BC78)/BD78*100</f>
        <v>#DIV/0!</v>
      </c>
    </row>
    <row r="79">
      <c r="A79" s="24">
        <v>1.0</v>
      </c>
      <c r="B79" s="24" t="s">
        <v>207</v>
      </c>
      <c r="C79" s="25" t="s">
        <v>208</v>
      </c>
      <c r="D79" s="26" t="s">
        <v>28</v>
      </c>
      <c r="E79" s="26" t="s">
        <v>28</v>
      </c>
      <c r="F79" s="26" t="s">
        <v>28</v>
      </c>
      <c r="G79" s="26" t="s">
        <v>28</v>
      </c>
      <c r="H79" s="26" t="s">
        <v>28</v>
      </c>
      <c r="I79" s="26" t="s">
        <v>28</v>
      </c>
      <c r="J79" s="26" t="s">
        <v>28</v>
      </c>
      <c r="K79" s="26" t="s">
        <v>28</v>
      </c>
      <c r="L79" s="26" t="s">
        <v>28</v>
      </c>
      <c r="M79" s="26" t="s">
        <v>28</v>
      </c>
      <c r="N79" s="26" t="s">
        <v>28</v>
      </c>
      <c r="O79" s="26" t="s">
        <v>28</v>
      </c>
      <c r="P79" s="26" t="s">
        <v>28</v>
      </c>
      <c r="Q79" s="26" t="s">
        <v>28</v>
      </c>
      <c r="R79" s="26" t="s">
        <v>28</v>
      </c>
      <c r="S79" s="44"/>
      <c r="T79" s="45"/>
      <c r="U79" s="45"/>
      <c r="V79" s="45"/>
      <c r="W79" s="45"/>
      <c r="X79" s="45"/>
      <c r="Y79" s="45"/>
      <c r="Z79" s="45"/>
      <c r="AA79" s="45"/>
      <c r="AB79" s="71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32">
        <f t="shared" si="8"/>
        <v>0</v>
      </c>
      <c r="BB79" s="32">
        <f t="shared" si="9"/>
        <v>0</v>
      </c>
      <c r="BC79" s="32">
        <f t="shared" si="10"/>
        <v>15</v>
      </c>
      <c r="BD79" s="32">
        <f t="shared" si="11"/>
        <v>15</v>
      </c>
      <c r="BE79" s="33">
        <f t="shared" si="12"/>
        <v>100</v>
      </c>
    </row>
    <row r="80">
      <c r="A80" s="24">
        <v>2.0</v>
      </c>
      <c r="B80" s="24" t="s">
        <v>209</v>
      </c>
      <c r="C80" s="25" t="s">
        <v>210</v>
      </c>
      <c r="D80" s="26" t="s">
        <v>28</v>
      </c>
      <c r="E80" s="26" t="s">
        <v>28</v>
      </c>
      <c r="F80" s="26" t="s">
        <v>28</v>
      </c>
      <c r="G80" s="26" t="s">
        <v>28</v>
      </c>
      <c r="H80" s="26" t="s">
        <v>28</v>
      </c>
      <c r="I80" s="26" t="s">
        <v>28</v>
      </c>
      <c r="J80" s="26" t="s">
        <v>28</v>
      </c>
      <c r="K80" s="26" t="s">
        <v>28</v>
      </c>
      <c r="L80" s="26" t="s">
        <v>28</v>
      </c>
      <c r="M80" s="26" t="s">
        <v>28</v>
      </c>
      <c r="N80" s="26" t="s">
        <v>28</v>
      </c>
      <c r="O80" s="26" t="s">
        <v>28</v>
      </c>
      <c r="P80" s="26" t="s">
        <v>28</v>
      </c>
      <c r="Q80" s="26" t="s">
        <v>28</v>
      </c>
      <c r="R80" s="26" t="s">
        <v>28</v>
      </c>
      <c r="S80" s="44"/>
      <c r="T80" s="45"/>
      <c r="U80" s="45"/>
      <c r="V80" s="45"/>
      <c r="W80" s="45"/>
      <c r="X80" s="45"/>
      <c r="Y80" s="45"/>
      <c r="Z80" s="45"/>
      <c r="AA80" s="45"/>
      <c r="AB80" s="46"/>
      <c r="AC80" s="46"/>
      <c r="AD80" s="46"/>
      <c r="AE80" s="55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32">
        <f t="shared" si="8"/>
        <v>0</v>
      </c>
      <c r="BB80" s="32">
        <f t="shared" si="9"/>
        <v>0</v>
      </c>
      <c r="BC80" s="32">
        <f t="shared" si="10"/>
        <v>15</v>
      </c>
      <c r="BD80" s="32">
        <f t="shared" si="11"/>
        <v>15</v>
      </c>
      <c r="BE80" s="33">
        <f t="shared" si="12"/>
        <v>100</v>
      </c>
    </row>
    <row r="81">
      <c r="A81" s="24">
        <v>3.0</v>
      </c>
      <c r="B81" s="24" t="s">
        <v>211</v>
      </c>
      <c r="C81" s="25" t="s">
        <v>212</v>
      </c>
      <c r="D81" s="26" t="s">
        <v>28</v>
      </c>
      <c r="E81" s="26" t="s">
        <v>28</v>
      </c>
      <c r="F81" s="26" t="s">
        <v>28</v>
      </c>
      <c r="G81" s="26" t="s">
        <v>28</v>
      </c>
      <c r="H81" s="26" t="s">
        <v>28</v>
      </c>
      <c r="I81" s="26" t="s">
        <v>28</v>
      </c>
      <c r="J81" s="26" t="s">
        <v>28</v>
      </c>
      <c r="K81" s="26" t="s">
        <v>28</v>
      </c>
      <c r="L81" s="26" t="s">
        <v>28</v>
      </c>
      <c r="M81" s="26" t="s">
        <v>28</v>
      </c>
      <c r="N81" s="26" t="s">
        <v>28</v>
      </c>
      <c r="O81" s="26" t="s">
        <v>28</v>
      </c>
      <c r="P81" s="26" t="s">
        <v>28</v>
      </c>
      <c r="Q81" s="26" t="s">
        <v>28</v>
      </c>
      <c r="R81" s="26" t="s">
        <v>28</v>
      </c>
      <c r="S81" s="30"/>
      <c r="T81" s="28"/>
      <c r="U81" s="29"/>
      <c r="V81" s="29"/>
      <c r="W81" s="29"/>
      <c r="X81" s="29"/>
      <c r="Y81" s="29"/>
      <c r="Z81" s="29"/>
      <c r="AA81" s="29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2">
        <f t="shared" si="8"/>
        <v>0</v>
      </c>
      <c r="BB81" s="32">
        <f t="shared" si="9"/>
        <v>0</v>
      </c>
      <c r="BC81" s="32">
        <f t="shared" si="10"/>
        <v>15</v>
      </c>
      <c r="BD81" s="32">
        <f t="shared" si="11"/>
        <v>15</v>
      </c>
      <c r="BE81" s="33">
        <f t="shared" si="12"/>
        <v>100</v>
      </c>
    </row>
    <row r="82">
      <c r="A82" s="24">
        <v>4.0</v>
      </c>
      <c r="B82" s="24" t="s">
        <v>213</v>
      </c>
      <c r="C82" s="25" t="s">
        <v>214</v>
      </c>
      <c r="D82" s="26" t="s">
        <v>28</v>
      </c>
      <c r="E82" s="26" t="s">
        <v>28</v>
      </c>
      <c r="F82" s="26" t="s">
        <v>28</v>
      </c>
      <c r="G82" s="26" t="s">
        <v>28</v>
      </c>
      <c r="H82" s="26" t="s">
        <v>28</v>
      </c>
      <c r="I82" s="26" t="s">
        <v>28</v>
      </c>
      <c r="J82" s="26" t="s">
        <v>28</v>
      </c>
      <c r="K82" s="26" t="s">
        <v>28</v>
      </c>
      <c r="L82" s="26" t="s">
        <v>28</v>
      </c>
      <c r="M82" s="26" t="s">
        <v>28</v>
      </c>
      <c r="N82" s="26" t="s">
        <v>28</v>
      </c>
      <c r="O82" s="26" t="s">
        <v>28</v>
      </c>
      <c r="P82" s="26" t="s">
        <v>28</v>
      </c>
      <c r="Q82" s="26" t="s">
        <v>28</v>
      </c>
      <c r="R82" s="26" t="s">
        <v>28</v>
      </c>
      <c r="S82" s="28"/>
      <c r="T82" s="30"/>
      <c r="U82" s="29"/>
      <c r="V82" s="29"/>
      <c r="W82" s="29"/>
      <c r="X82" s="29"/>
      <c r="Y82" s="29"/>
      <c r="Z82" s="29"/>
      <c r="AA82" s="29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2">
        <f t="shared" si="8"/>
        <v>0</v>
      </c>
      <c r="BB82" s="32">
        <f t="shared" si="9"/>
        <v>0</v>
      </c>
      <c r="BC82" s="32">
        <f t="shared" si="10"/>
        <v>15</v>
      </c>
      <c r="BD82" s="32">
        <f t="shared" si="11"/>
        <v>15</v>
      </c>
      <c r="BE82" s="33">
        <f t="shared" si="12"/>
        <v>100</v>
      </c>
    </row>
    <row r="83">
      <c r="A83" s="24">
        <v>5.0</v>
      </c>
      <c r="B83" s="24" t="s">
        <v>215</v>
      </c>
      <c r="C83" s="25" t="s">
        <v>216</v>
      </c>
      <c r="D83" s="26" t="s">
        <v>28</v>
      </c>
      <c r="E83" s="26" t="s">
        <v>28</v>
      </c>
      <c r="F83" s="26" t="s">
        <v>28</v>
      </c>
      <c r="G83" s="26" t="s">
        <v>28</v>
      </c>
      <c r="H83" s="26" t="s">
        <v>28</v>
      </c>
      <c r="I83" s="26" t="s">
        <v>28</v>
      </c>
      <c r="J83" s="26" t="s">
        <v>28</v>
      </c>
      <c r="K83" s="26" t="s">
        <v>28</v>
      </c>
      <c r="L83" s="26" t="s">
        <v>28</v>
      </c>
      <c r="M83" s="27" t="s">
        <v>22</v>
      </c>
      <c r="N83" s="27" t="s">
        <v>22</v>
      </c>
      <c r="O83" s="27" t="s">
        <v>22</v>
      </c>
      <c r="P83" s="26" t="s">
        <v>28</v>
      </c>
      <c r="Q83" s="26" t="s">
        <v>28</v>
      </c>
      <c r="R83" s="26" t="s">
        <v>28</v>
      </c>
      <c r="S83" s="44"/>
      <c r="T83" s="45"/>
      <c r="U83" s="45"/>
      <c r="V83" s="45"/>
      <c r="W83" s="45"/>
      <c r="X83" s="45"/>
      <c r="Y83" s="45"/>
      <c r="Z83" s="45"/>
      <c r="AA83" s="45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32">
        <f t="shared" si="8"/>
        <v>0</v>
      </c>
      <c r="BB83" s="32">
        <f t="shared" si="9"/>
        <v>3</v>
      </c>
      <c r="BC83" s="32">
        <f t="shared" si="10"/>
        <v>12</v>
      </c>
      <c r="BD83" s="32">
        <f t="shared" si="11"/>
        <v>15</v>
      </c>
      <c r="BE83" s="33">
        <f t="shared" si="12"/>
        <v>80</v>
      </c>
    </row>
    <row r="84">
      <c r="A84" s="24">
        <v>6.0</v>
      </c>
      <c r="B84" s="24" t="s">
        <v>217</v>
      </c>
      <c r="C84" s="25" t="s">
        <v>218</v>
      </c>
      <c r="D84" s="26" t="s">
        <v>28</v>
      </c>
      <c r="E84" s="26" t="s">
        <v>28</v>
      </c>
      <c r="F84" s="26" t="s">
        <v>28</v>
      </c>
      <c r="G84" s="26" t="s">
        <v>28</v>
      </c>
      <c r="H84" s="26" t="s">
        <v>28</v>
      </c>
      <c r="I84" s="27" t="s">
        <v>22</v>
      </c>
      <c r="J84" s="26" t="s">
        <v>28</v>
      </c>
      <c r="K84" s="26" t="s">
        <v>28</v>
      </c>
      <c r="L84" s="26" t="s">
        <v>28</v>
      </c>
      <c r="M84" s="26" t="s">
        <v>28</v>
      </c>
      <c r="N84" s="27" t="s">
        <v>22</v>
      </c>
      <c r="O84" s="27" t="s">
        <v>22</v>
      </c>
      <c r="P84" s="26" t="s">
        <v>28</v>
      </c>
      <c r="Q84" s="26" t="s">
        <v>28</v>
      </c>
      <c r="R84" s="26" t="s">
        <v>28</v>
      </c>
      <c r="S84" s="44"/>
      <c r="T84" s="45"/>
      <c r="U84" s="45"/>
      <c r="V84" s="45"/>
      <c r="W84" s="45"/>
      <c r="X84" s="45"/>
      <c r="Y84" s="45"/>
      <c r="Z84" s="45"/>
      <c r="AA84" s="45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32">
        <f t="shared" si="8"/>
        <v>0</v>
      </c>
      <c r="BB84" s="32">
        <f t="shared" si="9"/>
        <v>3</v>
      </c>
      <c r="BC84" s="32">
        <f t="shared" si="10"/>
        <v>12</v>
      </c>
      <c r="BD84" s="32">
        <f t="shared" si="11"/>
        <v>15</v>
      </c>
      <c r="BE84" s="33">
        <f t="shared" si="12"/>
        <v>80</v>
      </c>
    </row>
    <row r="85">
      <c r="A85" s="35">
        <v>7.0</v>
      </c>
      <c r="B85" s="35" t="s">
        <v>219</v>
      </c>
      <c r="C85" s="36" t="s">
        <v>220</v>
      </c>
      <c r="D85" s="37" t="s">
        <v>28</v>
      </c>
      <c r="E85" s="27" t="s">
        <v>22</v>
      </c>
      <c r="F85" s="37" t="s">
        <v>28</v>
      </c>
      <c r="G85" s="37" t="s">
        <v>28</v>
      </c>
      <c r="H85" s="27" t="s">
        <v>22</v>
      </c>
      <c r="I85" s="27" t="s">
        <v>22</v>
      </c>
      <c r="J85" s="37" t="s">
        <v>28</v>
      </c>
      <c r="K85" s="27" t="s">
        <v>22</v>
      </c>
      <c r="L85" s="27" t="s">
        <v>22</v>
      </c>
      <c r="M85" s="27" t="s">
        <v>22</v>
      </c>
      <c r="N85" s="27" t="s">
        <v>22</v>
      </c>
      <c r="O85" s="27" t="s">
        <v>22</v>
      </c>
      <c r="P85" s="27" t="s">
        <v>22</v>
      </c>
      <c r="Q85" s="27" t="s">
        <v>22</v>
      </c>
      <c r="R85" s="38"/>
      <c r="S85" s="86"/>
      <c r="T85" s="39"/>
      <c r="U85" s="39"/>
      <c r="V85" s="39"/>
      <c r="W85" s="39"/>
      <c r="X85" s="39"/>
      <c r="Y85" s="39"/>
      <c r="Z85" s="39"/>
      <c r="AA85" s="39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1">
        <f t="shared" si="8"/>
        <v>0</v>
      </c>
      <c r="BB85" s="41">
        <f t="shared" si="9"/>
        <v>10</v>
      </c>
      <c r="BC85" s="41">
        <f t="shared" si="10"/>
        <v>4</v>
      </c>
      <c r="BD85" s="41">
        <f t="shared" si="11"/>
        <v>14</v>
      </c>
      <c r="BE85" s="42">
        <f t="shared" si="12"/>
        <v>28.57142857</v>
      </c>
    </row>
    <row r="86">
      <c r="A86" s="24">
        <v>8.0</v>
      </c>
      <c r="B86" s="24" t="s">
        <v>221</v>
      </c>
      <c r="C86" s="25" t="s">
        <v>222</v>
      </c>
      <c r="D86" s="26" t="s">
        <v>28</v>
      </c>
      <c r="E86" s="26" t="s">
        <v>28</v>
      </c>
      <c r="F86" s="26" t="s">
        <v>28</v>
      </c>
      <c r="G86" s="26" t="s">
        <v>28</v>
      </c>
      <c r="H86" s="26" t="s">
        <v>28</v>
      </c>
      <c r="I86" s="26" t="s">
        <v>28</v>
      </c>
      <c r="J86" s="26" t="s">
        <v>28</v>
      </c>
      <c r="K86" s="26" t="s">
        <v>28</v>
      </c>
      <c r="L86" s="26" t="s">
        <v>28</v>
      </c>
      <c r="M86" s="26" t="s">
        <v>28</v>
      </c>
      <c r="N86" s="26" t="s">
        <v>28</v>
      </c>
      <c r="O86" s="26" t="s">
        <v>28</v>
      </c>
      <c r="P86" s="26" t="s">
        <v>28</v>
      </c>
      <c r="Q86" s="26" t="s">
        <v>28</v>
      </c>
      <c r="R86" s="26" t="s">
        <v>28</v>
      </c>
      <c r="S86" s="44"/>
      <c r="T86" s="45"/>
      <c r="U86" s="45"/>
      <c r="V86" s="45"/>
      <c r="W86" s="45"/>
      <c r="X86" s="45"/>
      <c r="Y86" s="45"/>
      <c r="Z86" s="45"/>
      <c r="AA86" s="45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32">
        <f t="shared" si="8"/>
        <v>0</v>
      </c>
      <c r="BB86" s="32">
        <f t="shared" si="9"/>
        <v>0</v>
      </c>
      <c r="BC86" s="32">
        <f t="shared" si="10"/>
        <v>15</v>
      </c>
      <c r="BD86" s="32">
        <f t="shared" si="11"/>
        <v>15</v>
      </c>
      <c r="BE86" s="33">
        <f t="shared" si="12"/>
        <v>100</v>
      </c>
    </row>
    <row r="87">
      <c r="A87" s="24">
        <v>9.0</v>
      </c>
      <c r="B87" s="24" t="s">
        <v>223</v>
      </c>
      <c r="C87" s="25" t="s">
        <v>224</v>
      </c>
      <c r="D87" s="26" t="s">
        <v>28</v>
      </c>
      <c r="E87" s="26" t="s">
        <v>28</v>
      </c>
      <c r="F87" s="26" t="s">
        <v>28</v>
      </c>
      <c r="G87" s="26" t="s">
        <v>28</v>
      </c>
      <c r="H87" s="26" t="s">
        <v>28</v>
      </c>
      <c r="I87" s="26" t="s">
        <v>28</v>
      </c>
      <c r="J87" s="26" t="s">
        <v>28</v>
      </c>
      <c r="K87" s="26" t="s">
        <v>28</v>
      </c>
      <c r="L87" s="26" t="s">
        <v>28</v>
      </c>
      <c r="M87" s="26" t="s">
        <v>28</v>
      </c>
      <c r="N87" s="26" t="s">
        <v>28</v>
      </c>
      <c r="O87" s="26" t="s">
        <v>28</v>
      </c>
      <c r="P87" s="26" t="s">
        <v>28</v>
      </c>
      <c r="Q87" s="26" t="s">
        <v>28</v>
      </c>
      <c r="R87" s="26" t="s">
        <v>28</v>
      </c>
      <c r="S87" s="44"/>
      <c r="T87" s="45"/>
      <c r="U87" s="45"/>
      <c r="V87" s="45"/>
      <c r="W87" s="45"/>
      <c r="X87" s="45"/>
      <c r="Y87" s="45"/>
      <c r="Z87" s="45"/>
      <c r="AA87" s="45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32">
        <f t="shared" si="8"/>
        <v>0</v>
      </c>
      <c r="BB87" s="32">
        <f t="shared" si="9"/>
        <v>0</v>
      </c>
      <c r="BC87" s="32">
        <f t="shared" si="10"/>
        <v>15</v>
      </c>
      <c r="BD87" s="32">
        <f t="shared" si="11"/>
        <v>15</v>
      </c>
      <c r="BE87" s="33">
        <f t="shared" si="12"/>
        <v>100</v>
      </c>
    </row>
    <row r="88">
      <c r="A88" s="24">
        <v>10.0</v>
      </c>
      <c r="B88" s="24" t="s">
        <v>225</v>
      </c>
      <c r="C88" s="25" t="s">
        <v>226</v>
      </c>
      <c r="D88" s="26" t="s">
        <v>28</v>
      </c>
      <c r="E88" s="26" t="s">
        <v>28</v>
      </c>
      <c r="F88" s="26" t="s">
        <v>28</v>
      </c>
      <c r="G88" s="26" t="s">
        <v>28</v>
      </c>
      <c r="H88" s="26" t="s">
        <v>28</v>
      </c>
      <c r="I88" s="27" t="s">
        <v>22</v>
      </c>
      <c r="J88" s="26" t="s">
        <v>28</v>
      </c>
      <c r="K88" s="26" t="s">
        <v>28</v>
      </c>
      <c r="L88" s="26" t="s">
        <v>28</v>
      </c>
      <c r="M88" s="26" t="s">
        <v>28</v>
      </c>
      <c r="N88" s="26" t="s">
        <v>28</v>
      </c>
      <c r="O88" s="26" t="s">
        <v>28</v>
      </c>
      <c r="P88" s="26" t="s">
        <v>28</v>
      </c>
      <c r="Q88" s="26" t="s">
        <v>28</v>
      </c>
      <c r="R88" s="26" t="s">
        <v>28</v>
      </c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32">
        <f t="shared" si="8"/>
        <v>0</v>
      </c>
      <c r="BB88" s="32">
        <f t="shared" si="9"/>
        <v>1</v>
      </c>
      <c r="BC88" s="32">
        <f t="shared" si="10"/>
        <v>14</v>
      </c>
      <c r="BD88" s="32">
        <f t="shared" si="11"/>
        <v>15</v>
      </c>
      <c r="BE88" s="33">
        <f t="shared" si="12"/>
        <v>93.33333333</v>
      </c>
    </row>
    <row r="89">
      <c r="A89" s="24">
        <v>11.0</v>
      </c>
      <c r="B89" s="24" t="s">
        <v>227</v>
      </c>
      <c r="C89" s="25" t="s">
        <v>228</v>
      </c>
      <c r="D89" s="26" t="s">
        <v>28</v>
      </c>
      <c r="E89" s="26" t="s">
        <v>28</v>
      </c>
      <c r="F89" s="26" t="s">
        <v>28</v>
      </c>
      <c r="G89" s="26" t="s">
        <v>28</v>
      </c>
      <c r="H89" s="26" t="s">
        <v>28</v>
      </c>
      <c r="I89" s="26" t="s">
        <v>28</v>
      </c>
      <c r="J89" s="27" t="s">
        <v>22</v>
      </c>
      <c r="K89" s="26" t="s">
        <v>28</v>
      </c>
      <c r="L89" s="26" t="s">
        <v>28</v>
      </c>
      <c r="M89" s="26" t="s">
        <v>28</v>
      </c>
      <c r="N89" s="26" t="s">
        <v>28</v>
      </c>
      <c r="O89" s="26" t="s">
        <v>28</v>
      </c>
      <c r="P89" s="26" t="s">
        <v>28</v>
      </c>
      <c r="Q89" s="26" t="s">
        <v>28</v>
      </c>
      <c r="R89" s="26" t="s">
        <v>28</v>
      </c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32">
        <f t="shared" si="8"/>
        <v>0</v>
      </c>
      <c r="BB89" s="32">
        <f t="shared" si="9"/>
        <v>1</v>
      </c>
      <c r="BC89" s="32">
        <f t="shared" si="10"/>
        <v>14</v>
      </c>
      <c r="BD89" s="32">
        <f t="shared" si="11"/>
        <v>15</v>
      </c>
      <c r="BE89" s="33">
        <f t="shared" si="12"/>
        <v>93.33333333</v>
      </c>
    </row>
    <row r="90">
      <c r="A90" s="24">
        <v>12.0</v>
      </c>
      <c r="B90" s="35" t="s">
        <v>229</v>
      </c>
      <c r="C90" s="36" t="s">
        <v>230</v>
      </c>
      <c r="D90" s="27" t="s">
        <v>22</v>
      </c>
      <c r="E90" s="27" t="s">
        <v>22</v>
      </c>
      <c r="F90" s="27" t="s">
        <v>22</v>
      </c>
      <c r="G90" s="27" t="s">
        <v>22</v>
      </c>
      <c r="H90" s="37"/>
      <c r="I90" s="37"/>
      <c r="J90" s="37"/>
      <c r="K90" s="37"/>
      <c r="L90" s="37"/>
      <c r="M90" s="37"/>
      <c r="N90" s="27"/>
      <c r="O90" s="27"/>
      <c r="P90" s="27"/>
      <c r="Q90" s="37"/>
      <c r="R90" s="38"/>
      <c r="S90" s="86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1">
        <f t="shared" si="8"/>
        <v>0</v>
      </c>
      <c r="BB90" s="41">
        <f t="shared" si="9"/>
        <v>4</v>
      </c>
      <c r="BC90" s="41">
        <f t="shared" si="10"/>
        <v>0</v>
      </c>
      <c r="BD90" s="41">
        <f t="shared" si="11"/>
        <v>4</v>
      </c>
      <c r="BE90" s="42">
        <f t="shared" si="12"/>
        <v>0</v>
      </c>
    </row>
    <row r="91">
      <c r="A91" s="24">
        <v>13.0</v>
      </c>
      <c r="B91" s="24" t="s">
        <v>231</v>
      </c>
      <c r="C91" s="25" t="s">
        <v>232</v>
      </c>
      <c r="D91" s="26" t="s">
        <v>28</v>
      </c>
      <c r="E91" s="26" t="s">
        <v>28</v>
      </c>
      <c r="F91" s="26" t="s">
        <v>28</v>
      </c>
      <c r="G91" s="26" t="s">
        <v>28</v>
      </c>
      <c r="H91" s="26" t="s">
        <v>28</v>
      </c>
      <c r="I91" s="27" t="s">
        <v>22</v>
      </c>
      <c r="J91" s="26" t="s">
        <v>28</v>
      </c>
      <c r="K91" s="26" t="s">
        <v>28</v>
      </c>
      <c r="L91" s="26" t="s">
        <v>28</v>
      </c>
      <c r="M91" s="26" t="s">
        <v>28</v>
      </c>
      <c r="N91" s="26" t="s">
        <v>28</v>
      </c>
      <c r="O91" s="26" t="s">
        <v>28</v>
      </c>
      <c r="P91" s="26" t="s">
        <v>28</v>
      </c>
      <c r="Q91" s="26" t="s">
        <v>28</v>
      </c>
      <c r="R91" s="26" t="s">
        <v>28</v>
      </c>
      <c r="S91" s="44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32">
        <f t="shared" si="8"/>
        <v>0</v>
      </c>
      <c r="BB91" s="32">
        <f t="shared" si="9"/>
        <v>1</v>
      </c>
      <c r="BC91" s="32">
        <f t="shared" si="10"/>
        <v>14</v>
      </c>
      <c r="BD91" s="32">
        <f t="shared" si="11"/>
        <v>15</v>
      </c>
      <c r="BE91" s="33">
        <f t="shared" si="12"/>
        <v>93.33333333</v>
      </c>
    </row>
    <row r="92">
      <c r="A92" s="24">
        <v>14.0</v>
      </c>
      <c r="B92" s="72" t="s">
        <v>233</v>
      </c>
      <c r="C92" s="73" t="s">
        <v>234</v>
      </c>
      <c r="D92" s="26" t="s">
        <v>28</v>
      </c>
      <c r="E92" s="26" t="s">
        <v>28</v>
      </c>
      <c r="F92" s="27" t="s">
        <v>22</v>
      </c>
      <c r="G92" s="26" t="s">
        <v>28</v>
      </c>
      <c r="H92" s="26" t="s">
        <v>28</v>
      </c>
      <c r="I92" s="27" t="s">
        <v>22</v>
      </c>
      <c r="J92" s="26" t="s">
        <v>28</v>
      </c>
      <c r="K92" s="27" t="s">
        <v>22</v>
      </c>
      <c r="L92" s="26" t="s">
        <v>28</v>
      </c>
      <c r="M92" s="27" t="s">
        <v>22</v>
      </c>
      <c r="N92" s="27" t="s">
        <v>22</v>
      </c>
      <c r="O92" s="27" t="s">
        <v>22</v>
      </c>
      <c r="P92" s="27" t="s">
        <v>22</v>
      </c>
      <c r="Q92" s="27" t="s">
        <v>22</v>
      </c>
      <c r="R92" s="26" t="s">
        <v>28</v>
      </c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32">
        <f t="shared" si="8"/>
        <v>0</v>
      </c>
      <c r="BB92" s="32">
        <f t="shared" si="9"/>
        <v>8</v>
      </c>
      <c r="BC92" s="32">
        <f t="shared" si="10"/>
        <v>7</v>
      </c>
      <c r="BD92" s="32">
        <f t="shared" si="11"/>
        <v>15</v>
      </c>
      <c r="BE92" s="33">
        <f t="shared" si="12"/>
        <v>46.66666667</v>
      </c>
    </row>
    <row r="93">
      <c r="A93" s="24">
        <v>15.0</v>
      </c>
      <c r="B93" s="24" t="s">
        <v>235</v>
      </c>
      <c r="C93" s="25" t="s">
        <v>236</v>
      </c>
      <c r="D93" s="26" t="s">
        <v>28</v>
      </c>
      <c r="E93" s="26" t="s">
        <v>28</v>
      </c>
      <c r="F93" s="26" t="s">
        <v>28</v>
      </c>
      <c r="G93" s="26" t="s">
        <v>28</v>
      </c>
      <c r="H93" s="26" t="s">
        <v>28</v>
      </c>
      <c r="I93" s="27" t="s">
        <v>22</v>
      </c>
      <c r="J93" s="26" t="s">
        <v>28</v>
      </c>
      <c r="K93" s="26" t="s">
        <v>28</v>
      </c>
      <c r="L93" s="26" t="s">
        <v>28</v>
      </c>
      <c r="M93" s="26" t="s">
        <v>28</v>
      </c>
      <c r="N93" s="26" t="s">
        <v>28</v>
      </c>
      <c r="O93" s="26" t="s">
        <v>28</v>
      </c>
      <c r="P93" s="26" t="s">
        <v>28</v>
      </c>
      <c r="Q93" s="26" t="s">
        <v>28</v>
      </c>
      <c r="R93" s="26" t="s">
        <v>28</v>
      </c>
      <c r="S93" s="44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32">
        <f t="shared" si="8"/>
        <v>0</v>
      </c>
      <c r="BB93" s="32">
        <f t="shared" si="9"/>
        <v>1</v>
      </c>
      <c r="BC93" s="32">
        <f t="shared" si="10"/>
        <v>14</v>
      </c>
      <c r="BD93" s="32">
        <f t="shared" si="11"/>
        <v>15</v>
      </c>
      <c r="BE93" s="33">
        <f t="shared" si="12"/>
        <v>93.33333333</v>
      </c>
    </row>
    <row r="94">
      <c r="A94" s="24">
        <v>16.0</v>
      </c>
      <c r="B94" s="24" t="s">
        <v>237</v>
      </c>
      <c r="C94" s="25" t="s">
        <v>238</v>
      </c>
      <c r="D94" s="26" t="s">
        <v>28</v>
      </c>
      <c r="E94" s="26" t="s">
        <v>28</v>
      </c>
      <c r="F94" s="26" t="s">
        <v>28</v>
      </c>
      <c r="G94" s="26" t="s">
        <v>28</v>
      </c>
      <c r="H94" s="26" t="s">
        <v>28</v>
      </c>
      <c r="I94" s="26" t="s">
        <v>28</v>
      </c>
      <c r="J94" s="26" t="s">
        <v>28</v>
      </c>
      <c r="K94" s="27" t="s">
        <v>22</v>
      </c>
      <c r="L94" s="26" t="s">
        <v>28</v>
      </c>
      <c r="M94" s="26" t="s">
        <v>28</v>
      </c>
      <c r="N94" s="26" t="s">
        <v>28</v>
      </c>
      <c r="O94" s="27" t="s">
        <v>22</v>
      </c>
      <c r="P94" s="26" t="s">
        <v>28</v>
      </c>
      <c r="Q94" s="26" t="s">
        <v>28</v>
      </c>
      <c r="R94" s="26" t="s">
        <v>28</v>
      </c>
      <c r="S94" s="44"/>
      <c r="T94" s="45"/>
      <c r="U94" s="45"/>
      <c r="V94" s="45"/>
      <c r="W94" s="45"/>
      <c r="X94" s="45"/>
      <c r="Y94" s="45"/>
      <c r="Z94" s="45"/>
      <c r="AA94" s="45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32">
        <f t="shared" si="8"/>
        <v>0</v>
      </c>
      <c r="BB94" s="32">
        <f t="shared" si="9"/>
        <v>2</v>
      </c>
      <c r="BC94" s="32">
        <f t="shared" si="10"/>
        <v>13</v>
      </c>
      <c r="BD94" s="32">
        <f t="shared" si="11"/>
        <v>15</v>
      </c>
      <c r="BE94" s="33">
        <f t="shared" si="12"/>
        <v>86.66666667</v>
      </c>
    </row>
    <row r="95">
      <c r="A95" s="24">
        <v>17.0</v>
      </c>
      <c r="B95" s="24" t="s">
        <v>239</v>
      </c>
      <c r="C95" s="25" t="s">
        <v>240</v>
      </c>
      <c r="D95" s="26" t="s">
        <v>28</v>
      </c>
      <c r="E95" s="26" t="s">
        <v>28</v>
      </c>
      <c r="F95" s="26" t="s">
        <v>28</v>
      </c>
      <c r="G95" s="26" t="s">
        <v>28</v>
      </c>
      <c r="H95" s="27" t="s">
        <v>22</v>
      </c>
      <c r="I95" s="27" t="s">
        <v>22</v>
      </c>
      <c r="J95" s="27" t="s">
        <v>22</v>
      </c>
      <c r="K95" s="27" t="s">
        <v>22</v>
      </c>
      <c r="L95" s="26" t="s">
        <v>28</v>
      </c>
      <c r="M95" s="27" t="s">
        <v>22</v>
      </c>
      <c r="N95" s="26" t="s">
        <v>28</v>
      </c>
      <c r="O95" s="26" t="s">
        <v>28</v>
      </c>
      <c r="P95" s="26" t="s">
        <v>28</v>
      </c>
      <c r="Q95" s="27" t="s">
        <v>22</v>
      </c>
      <c r="R95" s="27" t="s">
        <v>22</v>
      </c>
      <c r="S95" s="44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32">
        <f t="shared" si="8"/>
        <v>0</v>
      </c>
      <c r="BB95" s="32">
        <f t="shared" si="9"/>
        <v>7</v>
      </c>
      <c r="BC95" s="32">
        <f t="shared" si="10"/>
        <v>8</v>
      </c>
      <c r="BD95" s="32">
        <f t="shared" si="11"/>
        <v>15</v>
      </c>
      <c r="BE95" s="33">
        <f t="shared" si="12"/>
        <v>53.33333333</v>
      </c>
    </row>
    <row r="96">
      <c r="A96" s="24">
        <v>18.0</v>
      </c>
      <c r="B96" s="47" t="s">
        <v>241</v>
      </c>
      <c r="C96" s="85" t="s">
        <v>242</v>
      </c>
      <c r="D96" s="27" t="s">
        <v>22</v>
      </c>
      <c r="E96" s="26" t="s">
        <v>28</v>
      </c>
      <c r="F96" s="26" t="s">
        <v>28</v>
      </c>
      <c r="G96" s="26" t="s">
        <v>28</v>
      </c>
      <c r="H96" s="26" t="s">
        <v>28</v>
      </c>
      <c r="I96" s="27" t="s">
        <v>22</v>
      </c>
      <c r="J96" s="27" t="s">
        <v>22</v>
      </c>
      <c r="K96" s="26" t="s">
        <v>28</v>
      </c>
      <c r="L96" s="26" t="s">
        <v>28</v>
      </c>
      <c r="M96" s="27" t="s">
        <v>22</v>
      </c>
      <c r="N96" s="26" t="s">
        <v>28</v>
      </c>
      <c r="O96" s="26" t="s">
        <v>28</v>
      </c>
      <c r="P96" s="27" t="s">
        <v>22</v>
      </c>
      <c r="Q96" s="27" t="s">
        <v>22</v>
      </c>
      <c r="R96" s="26" t="s">
        <v>28</v>
      </c>
      <c r="S96" s="44"/>
      <c r="T96" s="45"/>
      <c r="U96" s="45"/>
      <c r="V96" s="45"/>
      <c r="W96" s="45"/>
      <c r="X96" s="45"/>
      <c r="Y96" s="45"/>
      <c r="Z96" s="45"/>
      <c r="AA96" s="45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32">
        <f t="shared" si="8"/>
        <v>0</v>
      </c>
      <c r="BB96" s="32">
        <f t="shared" si="9"/>
        <v>6</v>
      </c>
      <c r="BC96" s="32">
        <f t="shared" si="10"/>
        <v>9</v>
      </c>
      <c r="BD96" s="32">
        <f t="shared" si="11"/>
        <v>15</v>
      </c>
      <c r="BE96" s="33">
        <f t="shared" si="12"/>
        <v>60</v>
      </c>
    </row>
    <row r="97">
      <c r="A97" s="24">
        <v>19.0</v>
      </c>
      <c r="B97" s="47" t="s">
        <v>243</v>
      </c>
      <c r="C97" s="25" t="s">
        <v>244</v>
      </c>
      <c r="D97" s="26" t="s">
        <v>28</v>
      </c>
      <c r="E97" s="26" t="s">
        <v>28</v>
      </c>
      <c r="F97" s="26" t="s">
        <v>28</v>
      </c>
      <c r="G97" s="26" t="s">
        <v>28</v>
      </c>
      <c r="H97" s="27" t="s">
        <v>22</v>
      </c>
      <c r="I97" s="27" t="s">
        <v>22</v>
      </c>
      <c r="J97" s="26" t="s">
        <v>28</v>
      </c>
      <c r="K97" s="26" t="s">
        <v>28</v>
      </c>
      <c r="L97" s="26" t="s">
        <v>28</v>
      </c>
      <c r="M97" s="26" t="s">
        <v>28</v>
      </c>
      <c r="N97" s="26" t="s">
        <v>28</v>
      </c>
      <c r="O97" s="26" t="s">
        <v>28</v>
      </c>
      <c r="P97" s="26" t="s">
        <v>28</v>
      </c>
      <c r="Q97" s="26" t="s">
        <v>28</v>
      </c>
      <c r="R97" s="27" t="s">
        <v>22</v>
      </c>
      <c r="S97" s="46"/>
      <c r="T97" s="45"/>
      <c r="U97" s="45"/>
      <c r="V97" s="45"/>
      <c r="W97" s="45"/>
      <c r="X97" s="45"/>
      <c r="Y97" s="45"/>
      <c r="Z97" s="45"/>
      <c r="AA97" s="45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32">
        <f t="shared" si="8"/>
        <v>0</v>
      </c>
      <c r="BB97" s="32">
        <f t="shared" si="9"/>
        <v>3</v>
      </c>
      <c r="BC97" s="32">
        <f t="shared" si="10"/>
        <v>12</v>
      </c>
      <c r="BD97" s="32">
        <f t="shared" si="11"/>
        <v>15</v>
      </c>
      <c r="BE97" s="33">
        <f t="shared" si="12"/>
        <v>80</v>
      </c>
    </row>
    <row r="98">
      <c r="A98" s="24">
        <v>20.0</v>
      </c>
      <c r="B98" s="24" t="s">
        <v>245</v>
      </c>
      <c r="C98" s="25" t="s">
        <v>246</v>
      </c>
      <c r="D98" s="26" t="s">
        <v>28</v>
      </c>
      <c r="E98" s="26" t="s">
        <v>28</v>
      </c>
      <c r="F98" s="26" t="s">
        <v>28</v>
      </c>
      <c r="G98" s="26" t="s">
        <v>28</v>
      </c>
      <c r="H98" s="26" t="s">
        <v>28</v>
      </c>
      <c r="I98" s="26" t="s">
        <v>28</v>
      </c>
      <c r="J98" s="26" t="s">
        <v>28</v>
      </c>
      <c r="K98" s="26" t="s">
        <v>28</v>
      </c>
      <c r="L98" s="26" t="s">
        <v>28</v>
      </c>
      <c r="M98" s="26" t="s">
        <v>28</v>
      </c>
      <c r="N98" s="26" t="s">
        <v>28</v>
      </c>
      <c r="O98" s="26" t="s">
        <v>28</v>
      </c>
      <c r="P98" s="27" t="s">
        <v>22</v>
      </c>
      <c r="Q98" s="27" t="s">
        <v>22</v>
      </c>
      <c r="R98" s="26" t="s">
        <v>28</v>
      </c>
      <c r="S98" s="45"/>
      <c r="T98" s="45"/>
      <c r="U98" s="45"/>
      <c r="V98" s="45"/>
      <c r="W98" s="45"/>
      <c r="X98" s="45"/>
      <c r="Y98" s="45"/>
      <c r="Z98" s="45"/>
      <c r="AA98" s="45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32">
        <f t="shared" si="8"/>
        <v>0</v>
      </c>
      <c r="BB98" s="32">
        <f t="shared" si="9"/>
        <v>2</v>
      </c>
      <c r="BC98" s="32">
        <f t="shared" si="10"/>
        <v>13</v>
      </c>
      <c r="BD98" s="32">
        <f t="shared" si="11"/>
        <v>15</v>
      </c>
      <c r="BE98" s="33">
        <f t="shared" si="12"/>
        <v>86.66666667</v>
      </c>
    </row>
    <row r="99">
      <c r="A99" s="24">
        <v>21.0</v>
      </c>
      <c r="B99" s="24" t="s">
        <v>247</v>
      </c>
      <c r="C99" s="25" t="s">
        <v>248</v>
      </c>
      <c r="D99" s="26" t="s">
        <v>28</v>
      </c>
      <c r="E99" s="26" t="s">
        <v>28</v>
      </c>
      <c r="F99" s="26" t="s">
        <v>28</v>
      </c>
      <c r="G99" s="26" t="s">
        <v>28</v>
      </c>
      <c r="H99" s="26" t="s">
        <v>28</v>
      </c>
      <c r="I99" s="26" t="s">
        <v>28</v>
      </c>
      <c r="J99" s="26" t="s">
        <v>28</v>
      </c>
      <c r="K99" s="26" t="s">
        <v>28</v>
      </c>
      <c r="L99" s="26" t="s">
        <v>28</v>
      </c>
      <c r="M99" s="26" t="s">
        <v>28</v>
      </c>
      <c r="N99" s="27" t="s">
        <v>22</v>
      </c>
      <c r="O99" s="27" t="s">
        <v>22</v>
      </c>
      <c r="P99" s="27" t="s">
        <v>22</v>
      </c>
      <c r="Q99" s="27" t="s">
        <v>22</v>
      </c>
      <c r="R99" s="27" t="s">
        <v>22</v>
      </c>
      <c r="S99" s="44"/>
      <c r="T99" s="45"/>
      <c r="U99" s="45"/>
      <c r="V99" s="45"/>
      <c r="W99" s="45"/>
      <c r="X99" s="45"/>
      <c r="Y99" s="45"/>
      <c r="Z99" s="45"/>
      <c r="AA99" s="45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32">
        <f t="shared" si="8"/>
        <v>0</v>
      </c>
      <c r="BB99" s="32">
        <f t="shared" si="9"/>
        <v>5</v>
      </c>
      <c r="BC99" s="32">
        <f t="shared" si="10"/>
        <v>10</v>
      </c>
      <c r="BD99" s="32">
        <f t="shared" si="11"/>
        <v>15</v>
      </c>
      <c r="BE99" s="33">
        <f t="shared" si="12"/>
        <v>66.66666667</v>
      </c>
    </row>
    <row r="100">
      <c r="A100" s="24">
        <v>22.0</v>
      </c>
      <c r="B100" s="24" t="s">
        <v>249</v>
      </c>
      <c r="C100" s="25" t="s">
        <v>250</v>
      </c>
      <c r="D100" s="26" t="s">
        <v>28</v>
      </c>
      <c r="E100" s="26" t="s">
        <v>28</v>
      </c>
      <c r="F100" s="26" t="s">
        <v>28</v>
      </c>
      <c r="G100" s="26" t="s">
        <v>28</v>
      </c>
      <c r="H100" s="26" t="s">
        <v>28</v>
      </c>
      <c r="I100" s="26" t="s">
        <v>28</v>
      </c>
      <c r="J100" s="26" t="s">
        <v>28</v>
      </c>
      <c r="K100" s="26" t="s">
        <v>28</v>
      </c>
      <c r="L100" s="26" t="s">
        <v>28</v>
      </c>
      <c r="M100" s="26" t="s">
        <v>28</v>
      </c>
      <c r="N100" s="26" t="s">
        <v>28</v>
      </c>
      <c r="O100" s="26" t="s">
        <v>28</v>
      </c>
      <c r="P100" s="27" t="s">
        <v>22</v>
      </c>
      <c r="Q100" s="27" t="s">
        <v>22</v>
      </c>
      <c r="R100" s="26" t="s">
        <v>28</v>
      </c>
      <c r="S100" s="44"/>
      <c r="T100" s="45"/>
      <c r="U100" s="45"/>
      <c r="V100" s="45"/>
      <c r="W100" s="45"/>
      <c r="X100" s="45"/>
      <c r="Y100" s="45"/>
      <c r="Z100" s="45"/>
      <c r="AA100" s="45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32">
        <f t="shared" si="8"/>
        <v>0</v>
      </c>
      <c r="BB100" s="32">
        <f t="shared" si="9"/>
        <v>2</v>
      </c>
      <c r="BC100" s="32">
        <f t="shared" si="10"/>
        <v>13</v>
      </c>
      <c r="BD100" s="32">
        <f t="shared" si="11"/>
        <v>15</v>
      </c>
      <c r="BE100" s="33">
        <f t="shared" si="12"/>
        <v>86.66666667</v>
      </c>
    </row>
    <row r="101">
      <c r="A101" s="24">
        <v>23.0</v>
      </c>
      <c r="B101" s="35" t="s">
        <v>251</v>
      </c>
      <c r="C101" s="36" t="s">
        <v>252</v>
      </c>
      <c r="D101" s="27" t="s">
        <v>22</v>
      </c>
      <c r="E101" s="27" t="s">
        <v>22</v>
      </c>
      <c r="F101" s="27" t="s">
        <v>22</v>
      </c>
      <c r="G101" s="37"/>
      <c r="H101" s="27"/>
      <c r="I101" s="37"/>
      <c r="J101" s="37"/>
      <c r="K101" s="37"/>
      <c r="L101" s="37"/>
      <c r="M101" s="37"/>
      <c r="N101" s="27"/>
      <c r="O101" s="27"/>
      <c r="P101" s="27"/>
      <c r="Q101" s="27"/>
      <c r="R101" s="38"/>
      <c r="S101" s="86"/>
      <c r="T101" s="39"/>
      <c r="U101" s="39"/>
      <c r="V101" s="39"/>
      <c r="W101" s="39"/>
      <c r="X101" s="39"/>
      <c r="Y101" s="39"/>
      <c r="Z101" s="39"/>
      <c r="AA101" s="39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1">
        <f t="shared" si="8"/>
        <v>0</v>
      </c>
      <c r="BB101" s="41">
        <f t="shared" si="9"/>
        <v>3</v>
      </c>
      <c r="BC101" s="41">
        <f t="shared" si="10"/>
        <v>0</v>
      </c>
      <c r="BD101" s="41">
        <f t="shared" si="11"/>
        <v>3</v>
      </c>
      <c r="BE101" s="42">
        <f t="shared" si="12"/>
        <v>0</v>
      </c>
    </row>
    <row r="102">
      <c r="A102" s="24">
        <v>24.0</v>
      </c>
      <c r="B102" s="24" t="s">
        <v>253</v>
      </c>
      <c r="C102" s="25" t="s">
        <v>254</v>
      </c>
      <c r="D102" s="26" t="s">
        <v>28</v>
      </c>
      <c r="E102" s="27" t="s">
        <v>22</v>
      </c>
      <c r="F102" s="26" t="s">
        <v>28</v>
      </c>
      <c r="G102" s="26" t="s">
        <v>28</v>
      </c>
      <c r="H102" s="26" t="s">
        <v>28</v>
      </c>
      <c r="I102" s="27" t="s">
        <v>22</v>
      </c>
      <c r="J102" s="26" t="s">
        <v>28</v>
      </c>
      <c r="K102" s="26" t="s">
        <v>28</v>
      </c>
      <c r="L102" s="26" t="s">
        <v>28</v>
      </c>
      <c r="M102" s="27" t="s">
        <v>22</v>
      </c>
      <c r="N102" s="27" t="s">
        <v>22</v>
      </c>
      <c r="O102" s="26" t="s">
        <v>28</v>
      </c>
      <c r="P102" s="26" t="s">
        <v>28</v>
      </c>
      <c r="Q102" s="26" t="s">
        <v>28</v>
      </c>
      <c r="R102" s="26" t="s">
        <v>28</v>
      </c>
      <c r="S102" s="44"/>
      <c r="T102" s="45"/>
      <c r="U102" s="45"/>
      <c r="V102" s="45"/>
      <c r="W102" s="45"/>
      <c r="X102" s="45"/>
      <c r="Y102" s="45"/>
      <c r="Z102" s="45"/>
      <c r="AA102" s="45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32">
        <f t="shared" si="8"/>
        <v>0</v>
      </c>
      <c r="BB102" s="32">
        <f t="shared" si="9"/>
        <v>4</v>
      </c>
      <c r="BC102" s="32">
        <f t="shared" si="10"/>
        <v>11</v>
      </c>
      <c r="BD102" s="32">
        <f t="shared" si="11"/>
        <v>15</v>
      </c>
      <c r="BE102" s="33">
        <f t="shared" si="12"/>
        <v>73.33333333</v>
      </c>
    </row>
    <row r="103">
      <c r="A103" s="24">
        <v>25.0</v>
      </c>
      <c r="B103" s="24" t="s">
        <v>255</v>
      </c>
      <c r="C103" s="25" t="s">
        <v>256</v>
      </c>
      <c r="D103" s="26" t="s">
        <v>28</v>
      </c>
      <c r="E103" s="26" t="s">
        <v>28</v>
      </c>
      <c r="F103" s="26" t="s">
        <v>28</v>
      </c>
      <c r="G103" s="26" t="s">
        <v>28</v>
      </c>
      <c r="H103" s="26" t="s">
        <v>28</v>
      </c>
      <c r="I103" s="26" t="s">
        <v>28</v>
      </c>
      <c r="J103" s="26" t="s">
        <v>28</v>
      </c>
      <c r="K103" s="26" t="s">
        <v>28</v>
      </c>
      <c r="L103" s="26" t="s">
        <v>28</v>
      </c>
      <c r="M103" s="26" t="s">
        <v>28</v>
      </c>
      <c r="N103" s="26" t="s">
        <v>28</v>
      </c>
      <c r="O103" s="26" t="s">
        <v>28</v>
      </c>
      <c r="P103" s="26" t="s">
        <v>28</v>
      </c>
      <c r="Q103" s="27" t="s">
        <v>22</v>
      </c>
      <c r="R103" s="26" t="s">
        <v>28</v>
      </c>
      <c r="S103" s="45"/>
      <c r="T103" s="45"/>
      <c r="U103" s="45"/>
      <c r="V103" s="45"/>
      <c r="W103" s="45"/>
      <c r="X103" s="45"/>
      <c r="Y103" s="45"/>
      <c r="Z103" s="45"/>
      <c r="AA103" s="45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32">
        <f t="shared" si="8"/>
        <v>0</v>
      </c>
      <c r="BB103" s="32">
        <f t="shared" si="9"/>
        <v>1</v>
      </c>
      <c r="BC103" s="32">
        <f t="shared" si="10"/>
        <v>14</v>
      </c>
      <c r="BD103" s="32">
        <f t="shared" si="11"/>
        <v>15</v>
      </c>
      <c r="BE103" s="33">
        <f t="shared" si="12"/>
        <v>93.33333333</v>
      </c>
    </row>
    <row r="104">
      <c r="A104" s="24">
        <v>26.0</v>
      </c>
      <c r="B104" s="24" t="s">
        <v>257</v>
      </c>
      <c r="C104" s="25" t="s">
        <v>258</v>
      </c>
      <c r="D104" s="26" t="s">
        <v>28</v>
      </c>
      <c r="E104" s="26" t="s">
        <v>28</v>
      </c>
      <c r="F104" s="26" t="s">
        <v>28</v>
      </c>
      <c r="G104" s="26" t="s">
        <v>28</v>
      </c>
      <c r="H104" s="26" t="s">
        <v>28</v>
      </c>
      <c r="I104" s="26" t="s">
        <v>28</v>
      </c>
      <c r="J104" s="26" t="s">
        <v>28</v>
      </c>
      <c r="K104" s="26" t="s">
        <v>28</v>
      </c>
      <c r="L104" s="26" t="s">
        <v>28</v>
      </c>
      <c r="M104" s="26" t="s">
        <v>28</v>
      </c>
      <c r="N104" s="26" t="s">
        <v>28</v>
      </c>
      <c r="O104" s="26" t="s">
        <v>28</v>
      </c>
      <c r="P104" s="26" t="s">
        <v>28</v>
      </c>
      <c r="Q104" s="27" t="s">
        <v>22</v>
      </c>
      <c r="R104" s="26" t="s">
        <v>28</v>
      </c>
      <c r="S104" s="44"/>
      <c r="T104" s="45"/>
      <c r="U104" s="45"/>
      <c r="V104" s="45"/>
      <c r="W104" s="45"/>
      <c r="X104" s="45"/>
      <c r="Y104" s="45"/>
      <c r="Z104" s="45"/>
      <c r="AA104" s="45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32">
        <f t="shared" si="8"/>
        <v>0</v>
      </c>
      <c r="BB104" s="32">
        <f t="shared" si="9"/>
        <v>1</v>
      </c>
      <c r="BC104" s="32">
        <f t="shared" si="10"/>
        <v>14</v>
      </c>
      <c r="BD104" s="32">
        <f t="shared" si="11"/>
        <v>15</v>
      </c>
      <c r="BE104" s="33">
        <f t="shared" si="12"/>
        <v>93.33333333</v>
      </c>
    </row>
    <row r="105">
      <c r="A105" s="24">
        <v>27.0</v>
      </c>
      <c r="B105" s="24" t="s">
        <v>259</v>
      </c>
      <c r="C105" s="25" t="s">
        <v>260</v>
      </c>
      <c r="D105" s="26" t="s">
        <v>28</v>
      </c>
      <c r="E105" s="27" t="s">
        <v>22</v>
      </c>
      <c r="F105" s="26" t="s">
        <v>28</v>
      </c>
      <c r="G105" s="26" t="s">
        <v>28</v>
      </c>
      <c r="H105" s="26" t="s">
        <v>28</v>
      </c>
      <c r="I105" s="26" t="s">
        <v>28</v>
      </c>
      <c r="J105" s="26" t="s">
        <v>28</v>
      </c>
      <c r="K105" s="26" t="s">
        <v>28</v>
      </c>
      <c r="L105" s="26" t="s">
        <v>28</v>
      </c>
      <c r="M105" s="26" t="s">
        <v>28</v>
      </c>
      <c r="N105" s="26" t="s">
        <v>28</v>
      </c>
      <c r="O105" s="27" t="s">
        <v>22</v>
      </c>
      <c r="P105" s="26" t="s">
        <v>28</v>
      </c>
      <c r="Q105" s="26" t="s">
        <v>28</v>
      </c>
      <c r="R105" s="26" t="s">
        <v>28</v>
      </c>
      <c r="S105" s="45"/>
      <c r="T105" s="45"/>
      <c r="U105" s="45"/>
      <c r="V105" s="45"/>
      <c r="W105" s="45"/>
      <c r="X105" s="45"/>
      <c r="Y105" s="45"/>
      <c r="Z105" s="45"/>
      <c r="AA105" s="45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32">
        <f t="shared" si="8"/>
        <v>0</v>
      </c>
      <c r="BB105" s="32">
        <f t="shared" si="9"/>
        <v>2</v>
      </c>
      <c r="BC105" s="32">
        <f t="shared" si="10"/>
        <v>13</v>
      </c>
      <c r="BD105" s="32">
        <f t="shared" si="11"/>
        <v>15</v>
      </c>
      <c r="BE105" s="33">
        <f t="shared" si="12"/>
        <v>86.66666667</v>
      </c>
    </row>
    <row r="106">
      <c r="A106" s="24">
        <v>28.0</v>
      </c>
      <c r="B106" s="24" t="s">
        <v>261</v>
      </c>
      <c r="C106" s="25" t="s">
        <v>262</v>
      </c>
      <c r="D106" s="27" t="s">
        <v>22</v>
      </c>
      <c r="E106" s="26" t="s">
        <v>28</v>
      </c>
      <c r="F106" s="26" t="s">
        <v>28</v>
      </c>
      <c r="G106" s="26" t="s">
        <v>28</v>
      </c>
      <c r="H106" s="26" t="s">
        <v>28</v>
      </c>
      <c r="I106" s="27" t="s">
        <v>22</v>
      </c>
      <c r="J106" s="26" t="s">
        <v>28</v>
      </c>
      <c r="K106" s="26" t="s">
        <v>28</v>
      </c>
      <c r="L106" s="26" t="s">
        <v>28</v>
      </c>
      <c r="M106" s="27" t="s">
        <v>22</v>
      </c>
      <c r="N106" s="27" t="s">
        <v>22</v>
      </c>
      <c r="O106" s="27" t="s">
        <v>22</v>
      </c>
      <c r="P106" s="26" t="s">
        <v>28</v>
      </c>
      <c r="Q106" s="27" t="s">
        <v>22</v>
      </c>
      <c r="R106" s="27" t="s">
        <v>22</v>
      </c>
      <c r="S106" s="44"/>
      <c r="T106" s="45"/>
      <c r="U106" s="45"/>
      <c r="V106" s="45"/>
      <c r="W106" s="45"/>
      <c r="X106" s="45"/>
      <c r="Y106" s="45"/>
      <c r="Z106" s="45"/>
      <c r="AA106" s="45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32">
        <f t="shared" si="8"/>
        <v>0</v>
      </c>
      <c r="BB106" s="32">
        <f t="shared" si="9"/>
        <v>7</v>
      </c>
      <c r="BC106" s="32">
        <f t="shared" si="10"/>
        <v>8</v>
      </c>
      <c r="BD106" s="32">
        <f t="shared" si="11"/>
        <v>15</v>
      </c>
      <c r="BE106" s="33">
        <f t="shared" si="12"/>
        <v>53.33333333</v>
      </c>
    </row>
    <row r="107">
      <c r="A107" s="24">
        <v>29.0</v>
      </c>
      <c r="B107" s="24" t="s">
        <v>263</v>
      </c>
      <c r="C107" s="25" t="s">
        <v>264</v>
      </c>
      <c r="D107" s="26" t="s">
        <v>28</v>
      </c>
      <c r="E107" s="26" t="s">
        <v>28</v>
      </c>
      <c r="F107" s="26" t="s">
        <v>28</v>
      </c>
      <c r="G107" s="26" t="s">
        <v>28</v>
      </c>
      <c r="H107" s="26" t="s">
        <v>28</v>
      </c>
      <c r="I107" s="26" t="s">
        <v>28</v>
      </c>
      <c r="J107" s="26" t="s">
        <v>28</v>
      </c>
      <c r="K107" s="26" t="s">
        <v>28</v>
      </c>
      <c r="L107" s="26" t="s">
        <v>28</v>
      </c>
      <c r="M107" s="27" t="s">
        <v>22</v>
      </c>
      <c r="N107" s="26" t="s">
        <v>28</v>
      </c>
      <c r="O107" s="27" t="s">
        <v>22</v>
      </c>
      <c r="P107" s="27" t="s">
        <v>22</v>
      </c>
      <c r="Q107" s="27" t="s">
        <v>22</v>
      </c>
      <c r="R107" s="26" t="s">
        <v>28</v>
      </c>
      <c r="S107" s="44"/>
      <c r="T107" s="45"/>
      <c r="U107" s="45"/>
      <c r="V107" s="45"/>
      <c r="W107" s="45"/>
      <c r="X107" s="45"/>
      <c r="Y107" s="45"/>
      <c r="Z107" s="45"/>
      <c r="AA107" s="45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32">
        <f t="shared" si="8"/>
        <v>0</v>
      </c>
      <c r="BB107" s="32">
        <f t="shared" si="9"/>
        <v>4</v>
      </c>
      <c r="BC107" s="32">
        <f t="shared" si="10"/>
        <v>11</v>
      </c>
      <c r="BD107" s="32">
        <f t="shared" si="11"/>
        <v>15</v>
      </c>
      <c r="BE107" s="33">
        <f t="shared" si="12"/>
        <v>73.33333333</v>
      </c>
    </row>
    <row r="108">
      <c r="A108" s="24">
        <v>30.0</v>
      </c>
      <c r="B108" s="24" t="s">
        <v>265</v>
      </c>
      <c r="C108" s="25" t="s">
        <v>266</v>
      </c>
      <c r="D108" s="26" t="s">
        <v>28</v>
      </c>
      <c r="E108" s="26" t="s">
        <v>28</v>
      </c>
      <c r="F108" s="26" t="s">
        <v>28</v>
      </c>
      <c r="G108" s="26" t="s">
        <v>28</v>
      </c>
      <c r="H108" s="26" t="s">
        <v>28</v>
      </c>
      <c r="I108" s="26" t="s">
        <v>28</v>
      </c>
      <c r="J108" s="26" t="s">
        <v>28</v>
      </c>
      <c r="K108" s="26" t="s">
        <v>28</v>
      </c>
      <c r="L108" s="26" t="s">
        <v>28</v>
      </c>
      <c r="M108" s="26" t="s">
        <v>28</v>
      </c>
      <c r="N108" s="26" t="s">
        <v>28</v>
      </c>
      <c r="O108" s="26" t="s">
        <v>28</v>
      </c>
      <c r="P108" s="26" t="s">
        <v>28</v>
      </c>
      <c r="Q108" s="26" t="s">
        <v>28</v>
      </c>
      <c r="R108" s="26" t="s">
        <v>28</v>
      </c>
      <c r="S108" s="44"/>
      <c r="T108" s="45"/>
      <c r="U108" s="45"/>
      <c r="V108" s="45"/>
      <c r="W108" s="45"/>
      <c r="X108" s="45"/>
      <c r="Y108" s="45"/>
      <c r="Z108" s="45"/>
      <c r="AA108" s="45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32">
        <f t="shared" si="8"/>
        <v>0</v>
      </c>
      <c r="BB108" s="32">
        <f t="shared" si="9"/>
        <v>0</v>
      </c>
      <c r="BC108" s="32">
        <f t="shared" si="10"/>
        <v>15</v>
      </c>
      <c r="BD108" s="32">
        <f t="shared" si="11"/>
        <v>15</v>
      </c>
      <c r="BE108" s="33">
        <f t="shared" si="12"/>
        <v>100</v>
      </c>
    </row>
    <row r="109">
      <c r="A109" s="24">
        <v>31.0</v>
      </c>
      <c r="B109" s="24" t="s">
        <v>267</v>
      </c>
      <c r="C109" s="25" t="s">
        <v>268</v>
      </c>
      <c r="D109" s="26" t="s">
        <v>28</v>
      </c>
      <c r="E109" s="26" t="s">
        <v>28</v>
      </c>
      <c r="F109" s="26" t="s">
        <v>28</v>
      </c>
      <c r="G109" s="26" t="s">
        <v>28</v>
      </c>
      <c r="H109" s="26" t="s">
        <v>28</v>
      </c>
      <c r="I109" s="26" t="s">
        <v>28</v>
      </c>
      <c r="J109" s="26" t="s">
        <v>28</v>
      </c>
      <c r="K109" s="26" t="s">
        <v>28</v>
      </c>
      <c r="L109" s="26" t="s">
        <v>28</v>
      </c>
      <c r="M109" s="27" t="s">
        <v>22</v>
      </c>
      <c r="N109" s="26" t="s">
        <v>28</v>
      </c>
      <c r="O109" s="26" t="s">
        <v>28</v>
      </c>
      <c r="P109" s="27" t="s">
        <v>22</v>
      </c>
      <c r="Q109" s="27" t="s">
        <v>22</v>
      </c>
      <c r="R109" s="27" t="s">
        <v>22</v>
      </c>
      <c r="S109" s="44"/>
      <c r="T109" s="45"/>
      <c r="U109" s="45"/>
      <c r="V109" s="45"/>
      <c r="W109" s="45"/>
      <c r="X109" s="45"/>
      <c r="Y109" s="45"/>
      <c r="Z109" s="45"/>
      <c r="AA109" s="45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32">
        <f t="shared" si="8"/>
        <v>0</v>
      </c>
      <c r="BB109" s="32">
        <f t="shared" si="9"/>
        <v>4</v>
      </c>
      <c r="BC109" s="32">
        <f t="shared" si="10"/>
        <v>11</v>
      </c>
      <c r="BD109" s="32">
        <f t="shared" si="11"/>
        <v>15</v>
      </c>
      <c r="BE109" s="33">
        <f t="shared" si="12"/>
        <v>73.33333333</v>
      </c>
    </row>
    <row r="110">
      <c r="A110" s="24">
        <v>32.0</v>
      </c>
      <c r="B110" s="24" t="s">
        <v>269</v>
      </c>
      <c r="C110" s="25" t="s">
        <v>270</v>
      </c>
      <c r="D110" s="26" t="s">
        <v>28</v>
      </c>
      <c r="E110" s="26" t="s">
        <v>28</v>
      </c>
      <c r="F110" s="26" t="s">
        <v>28</v>
      </c>
      <c r="G110" s="26" t="s">
        <v>28</v>
      </c>
      <c r="H110" s="26" t="s">
        <v>28</v>
      </c>
      <c r="I110" s="26" t="s">
        <v>28</v>
      </c>
      <c r="J110" s="26" t="s">
        <v>28</v>
      </c>
      <c r="K110" s="26" t="s">
        <v>28</v>
      </c>
      <c r="L110" s="26" t="s">
        <v>28</v>
      </c>
      <c r="M110" s="26" t="s">
        <v>28</v>
      </c>
      <c r="N110" s="26" t="s">
        <v>28</v>
      </c>
      <c r="O110" s="27" t="s">
        <v>22</v>
      </c>
      <c r="P110" s="26" t="s">
        <v>28</v>
      </c>
      <c r="Q110" s="26" t="s">
        <v>28</v>
      </c>
      <c r="R110" s="26" t="s">
        <v>28</v>
      </c>
      <c r="S110" s="44"/>
      <c r="T110" s="45"/>
      <c r="U110" s="45"/>
      <c r="V110" s="45"/>
      <c r="W110" s="45"/>
      <c r="X110" s="45"/>
      <c r="Y110" s="45"/>
      <c r="Z110" s="45"/>
      <c r="AA110" s="45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32">
        <f t="shared" si="8"/>
        <v>0</v>
      </c>
      <c r="BB110" s="32">
        <f t="shared" si="9"/>
        <v>1</v>
      </c>
      <c r="BC110" s="32">
        <f t="shared" si="10"/>
        <v>14</v>
      </c>
      <c r="BD110" s="32">
        <f t="shared" si="11"/>
        <v>15</v>
      </c>
      <c r="BE110" s="33">
        <f t="shared" si="12"/>
        <v>93.33333333</v>
      </c>
    </row>
    <row r="111">
      <c r="A111" s="24">
        <v>33.0</v>
      </c>
      <c r="B111" s="24" t="s">
        <v>271</v>
      </c>
      <c r="C111" s="25" t="s">
        <v>272</v>
      </c>
      <c r="D111" s="26" t="s">
        <v>28</v>
      </c>
      <c r="E111" s="26" t="s">
        <v>28</v>
      </c>
      <c r="F111" s="26" t="s">
        <v>28</v>
      </c>
      <c r="G111" s="26" t="s">
        <v>28</v>
      </c>
      <c r="H111" s="26" t="s">
        <v>28</v>
      </c>
      <c r="I111" s="26" t="s">
        <v>28</v>
      </c>
      <c r="J111" s="26" t="s">
        <v>28</v>
      </c>
      <c r="K111" s="26" t="s">
        <v>28</v>
      </c>
      <c r="L111" s="26" t="s">
        <v>28</v>
      </c>
      <c r="M111" s="26" t="s">
        <v>28</v>
      </c>
      <c r="N111" s="26" t="s">
        <v>28</v>
      </c>
      <c r="O111" s="27" t="s">
        <v>22</v>
      </c>
      <c r="P111" s="26" t="s">
        <v>28</v>
      </c>
      <c r="Q111" s="26" t="s">
        <v>28</v>
      </c>
      <c r="R111" s="26" t="s">
        <v>28</v>
      </c>
      <c r="S111" s="44"/>
      <c r="T111" s="45"/>
      <c r="U111" s="45"/>
      <c r="V111" s="45"/>
      <c r="W111" s="45"/>
      <c r="X111" s="45"/>
      <c r="Y111" s="45"/>
      <c r="Z111" s="45"/>
      <c r="AA111" s="45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32">
        <f t="shared" si="8"/>
        <v>0</v>
      </c>
      <c r="BB111" s="32">
        <f t="shared" si="9"/>
        <v>1</v>
      </c>
      <c r="BC111" s="32">
        <f t="shared" si="10"/>
        <v>14</v>
      </c>
      <c r="BD111" s="32">
        <f t="shared" si="11"/>
        <v>15</v>
      </c>
      <c r="BE111" s="33">
        <f t="shared" si="12"/>
        <v>93.33333333</v>
      </c>
    </row>
    <row r="112">
      <c r="A112" s="24">
        <v>34.0</v>
      </c>
      <c r="B112" s="24" t="s">
        <v>273</v>
      </c>
      <c r="C112" s="25" t="s">
        <v>274</v>
      </c>
      <c r="D112" s="26" t="s">
        <v>28</v>
      </c>
      <c r="E112" s="26" t="s">
        <v>28</v>
      </c>
      <c r="F112" s="26" t="s">
        <v>28</v>
      </c>
      <c r="G112" s="26" t="s">
        <v>28</v>
      </c>
      <c r="H112" s="26" t="s">
        <v>28</v>
      </c>
      <c r="I112" s="26" t="s">
        <v>28</v>
      </c>
      <c r="J112" s="26" t="s">
        <v>28</v>
      </c>
      <c r="K112" s="26" t="s">
        <v>28</v>
      </c>
      <c r="L112" s="26" t="s">
        <v>28</v>
      </c>
      <c r="M112" s="26" t="s">
        <v>28</v>
      </c>
      <c r="N112" s="26" t="s">
        <v>28</v>
      </c>
      <c r="O112" s="26" t="s">
        <v>28</v>
      </c>
      <c r="P112" s="26" t="s">
        <v>28</v>
      </c>
      <c r="Q112" s="26" t="s">
        <v>28</v>
      </c>
      <c r="R112" s="26" t="s">
        <v>28</v>
      </c>
      <c r="S112" s="44"/>
      <c r="T112" s="45"/>
      <c r="U112" s="45"/>
      <c r="V112" s="45"/>
      <c r="W112" s="45"/>
      <c r="X112" s="45"/>
      <c r="Y112" s="45"/>
      <c r="Z112" s="45"/>
      <c r="AA112" s="45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32">
        <f t="shared" si="8"/>
        <v>0</v>
      </c>
      <c r="BB112" s="32">
        <f t="shared" si="9"/>
        <v>0</v>
      </c>
      <c r="BC112" s="32">
        <f t="shared" si="10"/>
        <v>15</v>
      </c>
      <c r="BD112" s="32">
        <f t="shared" si="11"/>
        <v>15</v>
      </c>
      <c r="BE112" s="33">
        <f t="shared" si="12"/>
        <v>100</v>
      </c>
    </row>
    <row r="113">
      <c r="A113" s="24">
        <v>35.0</v>
      </c>
      <c r="B113" s="24" t="s">
        <v>275</v>
      </c>
      <c r="C113" s="25" t="s">
        <v>276</v>
      </c>
      <c r="D113" s="26" t="s">
        <v>28</v>
      </c>
      <c r="E113" s="26" t="s">
        <v>28</v>
      </c>
      <c r="F113" s="26" t="s">
        <v>28</v>
      </c>
      <c r="G113" s="26" t="s">
        <v>28</v>
      </c>
      <c r="H113" s="26" t="s">
        <v>28</v>
      </c>
      <c r="I113" s="26" t="s">
        <v>28</v>
      </c>
      <c r="J113" s="26" t="s">
        <v>28</v>
      </c>
      <c r="K113" s="26" t="s">
        <v>28</v>
      </c>
      <c r="L113" s="26" t="s">
        <v>28</v>
      </c>
      <c r="M113" s="26" t="s">
        <v>28</v>
      </c>
      <c r="N113" s="26" t="s">
        <v>28</v>
      </c>
      <c r="O113" s="26" t="s">
        <v>28</v>
      </c>
      <c r="P113" s="26" t="s">
        <v>28</v>
      </c>
      <c r="Q113" s="26" t="s">
        <v>28</v>
      </c>
      <c r="R113" s="26" t="s">
        <v>28</v>
      </c>
      <c r="S113" s="44"/>
      <c r="T113" s="45"/>
      <c r="U113" s="45"/>
      <c r="V113" s="45"/>
      <c r="W113" s="45"/>
      <c r="X113" s="45"/>
      <c r="Y113" s="45"/>
      <c r="Z113" s="45"/>
      <c r="AA113" s="45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32">
        <f t="shared" si="8"/>
        <v>0</v>
      </c>
      <c r="BB113" s="32">
        <f t="shared" si="9"/>
        <v>0</v>
      </c>
      <c r="BC113" s="32">
        <f t="shared" si="10"/>
        <v>15</v>
      </c>
      <c r="BD113" s="32">
        <f t="shared" si="11"/>
        <v>15</v>
      </c>
      <c r="BE113" s="33">
        <f t="shared" si="12"/>
        <v>100</v>
      </c>
    </row>
    <row r="114">
      <c r="A114" s="24">
        <v>36.0</v>
      </c>
      <c r="B114" s="24" t="s">
        <v>277</v>
      </c>
      <c r="C114" s="25" t="s">
        <v>278</v>
      </c>
      <c r="D114" s="26" t="s">
        <v>28</v>
      </c>
      <c r="E114" s="26" t="s">
        <v>28</v>
      </c>
      <c r="F114" s="26" t="s">
        <v>28</v>
      </c>
      <c r="G114" s="26" t="s">
        <v>28</v>
      </c>
      <c r="H114" s="26" t="s">
        <v>28</v>
      </c>
      <c r="I114" s="26" t="s">
        <v>28</v>
      </c>
      <c r="J114" s="27" t="s">
        <v>22</v>
      </c>
      <c r="K114" s="27" t="s">
        <v>22</v>
      </c>
      <c r="L114" s="26" t="s">
        <v>28</v>
      </c>
      <c r="M114" s="27" t="s">
        <v>22</v>
      </c>
      <c r="N114" s="27" t="s">
        <v>22</v>
      </c>
      <c r="O114" s="26" t="s">
        <v>28</v>
      </c>
      <c r="P114" s="26" t="s">
        <v>28</v>
      </c>
      <c r="Q114" s="26" t="s">
        <v>28</v>
      </c>
      <c r="R114" s="27" t="s">
        <v>22</v>
      </c>
      <c r="S114" s="44"/>
      <c r="T114" s="45"/>
      <c r="U114" s="45"/>
      <c r="V114" s="45"/>
      <c r="W114" s="45"/>
      <c r="X114" s="45"/>
      <c r="Y114" s="45"/>
      <c r="Z114" s="45"/>
      <c r="AA114" s="45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32">
        <f t="shared" si="8"/>
        <v>0</v>
      </c>
      <c r="BB114" s="32">
        <f t="shared" si="9"/>
        <v>5</v>
      </c>
      <c r="BC114" s="32">
        <f t="shared" si="10"/>
        <v>10</v>
      </c>
      <c r="BD114" s="32">
        <f t="shared" si="11"/>
        <v>15</v>
      </c>
      <c r="BE114" s="33">
        <f t="shared" si="12"/>
        <v>66.66666667</v>
      </c>
    </row>
    <row r="115">
      <c r="A115" s="24">
        <v>37.0</v>
      </c>
      <c r="B115" s="24" t="s">
        <v>279</v>
      </c>
      <c r="C115" s="25" t="s">
        <v>280</v>
      </c>
      <c r="D115" s="26" t="s">
        <v>28</v>
      </c>
      <c r="E115" s="26" t="s">
        <v>28</v>
      </c>
      <c r="F115" s="26" t="s">
        <v>28</v>
      </c>
      <c r="G115" s="26" t="s">
        <v>28</v>
      </c>
      <c r="H115" s="26" t="s">
        <v>28</v>
      </c>
      <c r="I115" s="26" t="s">
        <v>28</v>
      </c>
      <c r="J115" s="26" t="s">
        <v>28</v>
      </c>
      <c r="K115" s="26" t="s">
        <v>28</v>
      </c>
      <c r="L115" s="26" t="s">
        <v>28</v>
      </c>
      <c r="M115" s="26" t="s">
        <v>28</v>
      </c>
      <c r="N115" s="26" t="s">
        <v>28</v>
      </c>
      <c r="O115" s="26" t="s">
        <v>28</v>
      </c>
      <c r="P115" s="26" t="s">
        <v>28</v>
      </c>
      <c r="Q115" s="26" t="s">
        <v>28</v>
      </c>
      <c r="R115" s="26" t="s">
        <v>28</v>
      </c>
      <c r="S115" s="44"/>
      <c r="T115" s="45"/>
      <c r="U115" s="45"/>
      <c r="V115" s="45"/>
      <c r="W115" s="45"/>
      <c r="X115" s="45"/>
      <c r="Y115" s="45"/>
      <c r="Z115" s="45"/>
      <c r="AA115" s="45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32">
        <f t="shared" si="8"/>
        <v>0</v>
      </c>
      <c r="BB115" s="32">
        <f t="shared" si="9"/>
        <v>0</v>
      </c>
      <c r="BC115" s="32">
        <f t="shared" si="10"/>
        <v>15</v>
      </c>
      <c r="BD115" s="32">
        <f t="shared" si="11"/>
        <v>15</v>
      </c>
      <c r="BE115" s="33">
        <f t="shared" si="12"/>
        <v>100</v>
      </c>
    </row>
    <row r="116">
      <c r="A116" s="24">
        <v>38.0</v>
      </c>
      <c r="B116" s="24" t="s">
        <v>281</v>
      </c>
      <c r="C116" s="25" t="s">
        <v>282</v>
      </c>
      <c r="D116" s="27" t="s">
        <v>22</v>
      </c>
      <c r="E116" s="26" t="s">
        <v>28</v>
      </c>
      <c r="F116" s="26" t="s">
        <v>28</v>
      </c>
      <c r="G116" s="26" t="s">
        <v>28</v>
      </c>
      <c r="H116" s="26" t="s">
        <v>28</v>
      </c>
      <c r="I116" s="27" t="s">
        <v>22</v>
      </c>
      <c r="J116" s="26" t="s">
        <v>28</v>
      </c>
      <c r="K116" s="27" t="s">
        <v>22</v>
      </c>
      <c r="L116" s="26" t="s">
        <v>28</v>
      </c>
      <c r="M116" s="26" t="s">
        <v>28</v>
      </c>
      <c r="N116" s="26" t="s">
        <v>28</v>
      </c>
      <c r="O116" s="26" t="s">
        <v>28</v>
      </c>
      <c r="P116" s="26" t="s">
        <v>28</v>
      </c>
      <c r="Q116" s="26" t="s">
        <v>28</v>
      </c>
      <c r="R116" s="26" t="s">
        <v>28</v>
      </c>
      <c r="S116" s="44"/>
      <c r="T116" s="45"/>
      <c r="U116" s="45"/>
      <c r="V116" s="45"/>
      <c r="W116" s="45"/>
      <c r="X116" s="45"/>
      <c r="Y116" s="45"/>
      <c r="Z116" s="45"/>
      <c r="AA116" s="45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32">
        <f t="shared" si="8"/>
        <v>0</v>
      </c>
      <c r="BB116" s="32">
        <f t="shared" si="9"/>
        <v>3</v>
      </c>
      <c r="BC116" s="32">
        <f t="shared" si="10"/>
        <v>12</v>
      </c>
      <c r="BD116" s="32">
        <f t="shared" si="11"/>
        <v>15</v>
      </c>
      <c r="BE116" s="33">
        <f t="shared" si="12"/>
        <v>80</v>
      </c>
    </row>
    <row r="117">
      <c r="A117" s="24">
        <v>39.0</v>
      </c>
      <c r="B117" s="24" t="s">
        <v>283</v>
      </c>
      <c r="C117" s="25" t="s">
        <v>284</v>
      </c>
      <c r="D117" s="26" t="s">
        <v>28</v>
      </c>
      <c r="E117" s="26" t="s">
        <v>28</v>
      </c>
      <c r="F117" s="26" t="s">
        <v>28</v>
      </c>
      <c r="G117" s="26" t="s">
        <v>28</v>
      </c>
      <c r="H117" s="26" t="s">
        <v>28</v>
      </c>
      <c r="I117" s="26" t="s">
        <v>28</v>
      </c>
      <c r="J117" s="26" t="s">
        <v>28</v>
      </c>
      <c r="K117" s="26" t="s">
        <v>28</v>
      </c>
      <c r="L117" s="26" t="s">
        <v>28</v>
      </c>
      <c r="M117" s="27" t="s">
        <v>22</v>
      </c>
      <c r="N117" s="26" t="s">
        <v>28</v>
      </c>
      <c r="O117" s="26" t="s">
        <v>28</v>
      </c>
      <c r="P117" s="26" t="s">
        <v>28</v>
      </c>
      <c r="Q117" s="26" t="s">
        <v>28</v>
      </c>
      <c r="R117" s="26" t="s">
        <v>28</v>
      </c>
      <c r="S117" s="44"/>
      <c r="T117" s="45"/>
      <c r="U117" s="45"/>
      <c r="V117" s="45"/>
      <c r="W117" s="45"/>
      <c r="X117" s="45"/>
      <c r="Y117" s="45"/>
      <c r="Z117" s="45"/>
      <c r="AA117" s="45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32">
        <f t="shared" si="8"/>
        <v>0</v>
      </c>
      <c r="BB117" s="32">
        <f t="shared" si="9"/>
        <v>1</v>
      </c>
      <c r="BC117" s="32">
        <f t="shared" si="10"/>
        <v>14</v>
      </c>
      <c r="BD117" s="32">
        <f t="shared" si="11"/>
        <v>15</v>
      </c>
      <c r="BE117" s="33">
        <f t="shared" si="12"/>
        <v>93.33333333</v>
      </c>
    </row>
    <row r="118">
      <c r="A118" s="24">
        <v>40.0</v>
      </c>
      <c r="B118" s="24" t="s">
        <v>285</v>
      </c>
      <c r="C118" s="25" t="s">
        <v>286</v>
      </c>
      <c r="D118" s="26" t="s">
        <v>28</v>
      </c>
      <c r="E118" s="26" t="s">
        <v>28</v>
      </c>
      <c r="F118" s="26" t="s">
        <v>28</v>
      </c>
      <c r="G118" s="26" t="s">
        <v>28</v>
      </c>
      <c r="H118" s="26" t="s">
        <v>28</v>
      </c>
      <c r="I118" s="26" t="s">
        <v>28</v>
      </c>
      <c r="J118" s="26" t="s">
        <v>28</v>
      </c>
      <c r="K118" s="26" t="s">
        <v>28</v>
      </c>
      <c r="L118" s="26" t="s">
        <v>28</v>
      </c>
      <c r="M118" s="26" t="s">
        <v>28</v>
      </c>
      <c r="N118" s="26" t="s">
        <v>28</v>
      </c>
      <c r="O118" s="26" t="s">
        <v>28</v>
      </c>
      <c r="P118" s="26" t="s">
        <v>28</v>
      </c>
      <c r="Q118" s="26" t="s">
        <v>28</v>
      </c>
      <c r="R118" s="26" t="s">
        <v>28</v>
      </c>
      <c r="S118" s="44"/>
      <c r="T118" s="45"/>
      <c r="U118" s="45"/>
      <c r="V118" s="45"/>
      <c r="W118" s="45"/>
      <c r="X118" s="45"/>
      <c r="Y118" s="45"/>
      <c r="Z118" s="45"/>
      <c r="AA118" s="45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32">
        <f t="shared" si="8"/>
        <v>0</v>
      </c>
      <c r="BB118" s="32">
        <f t="shared" si="9"/>
        <v>0</v>
      </c>
      <c r="BC118" s="32">
        <f t="shared" si="10"/>
        <v>15</v>
      </c>
      <c r="BD118" s="32">
        <f t="shared" si="11"/>
        <v>15</v>
      </c>
      <c r="BE118" s="33">
        <f t="shared" si="12"/>
        <v>100</v>
      </c>
    </row>
    <row r="119">
      <c r="A119" s="24">
        <v>41.0</v>
      </c>
      <c r="B119" s="24" t="s">
        <v>287</v>
      </c>
      <c r="C119" s="25" t="s">
        <v>288</v>
      </c>
      <c r="D119" s="27" t="s">
        <v>22</v>
      </c>
      <c r="E119" s="27" t="s">
        <v>22</v>
      </c>
      <c r="F119" s="27" t="s">
        <v>22</v>
      </c>
      <c r="G119" s="26" t="s">
        <v>28</v>
      </c>
      <c r="H119" s="26" t="s">
        <v>28</v>
      </c>
      <c r="I119" s="26" t="s">
        <v>28</v>
      </c>
      <c r="J119" s="26" t="s">
        <v>28</v>
      </c>
      <c r="K119" s="26" t="s">
        <v>28</v>
      </c>
      <c r="L119" s="27" t="s">
        <v>22</v>
      </c>
      <c r="M119" s="27" t="s">
        <v>22</v>
      </c>
      <c r="N119" s="26" t="s">
        <v>28</v>
      </c>
      <c r="O119" s="27" t="s">
        <v>22</v>
      </c>
      <c r="P119" s="27" t="s">
        <v>22</v>
      </c>
      <c r="Q119" s="26" t="s">
        <v>28</v>
      </c>
      <c r="R119" s="27" t="s">
        <v>22</v>
      </c>
      <c r="S119" s="44"/>
      <c r="T119" s="45"/>
      <c r="U119" s="45"/>
      <c r="V119" s="45"/>
      <c r="W119" s="45"/>
      <c r="X119" s="45"/>
      <c r="Y119" s="45"/>
      <c r="Z119" s="45"/>
      <c r="AA119" s="45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32">
        <f t="shared" si="8"/>
        <v>0</v>
      </c>
      <c r="BB119" s="32">
        <f t="shared" si="9"/>
        <v>8</v>
      </c>
      <c r="BC119" s="32">
        <f t="shared" si="10"/>
        <v>7</v>
      </c>
      <c r="BD119" s="32">
        <f t="shared" si="11"/>
        <v>15</v>
      </c>
      <c r="BE119" s="33">
        <f t="shared" si="12"/>
        <v>46.66666667</v>
      </c>
    </row>
    <row r="120">
      <c r="A120" s="24">
        <v>42.0</v>
      </c>
      <c r="B120" s="24" t="s">
        <v>289</v>
      </c>
      <c r="C120" s="25" t="s">
        <v>290</v>
      </c>
      <c r="D120" s="26" t="s">
        <v>28</v>
      </c>
      <c r="E120" s="26" t="s">
        <v>28</v>
      </c>
      <c r="F120" s="26" t="s">
        <v>28</v>
      </c>
      <c r="G120" s="26" t="s">
        <v>28</v>
      </c>
      <c r="H120" s="26" t="s">
        <v>28</v>
      </c>
      <c r="I120" s="26" t="s">
        <v>28</v>
      </c>
      <c r="J120" s="26" t="s">
        <v>28</v>
      </c>
      <c r="K120" s="26" t="s">
        <v>28</v>
      </c>
      <c r="L120" s="26" t="s">
        <v>28</v>
      </c>
      <c r="M120" s="26" t="s">
        <v>28</v>
      </c>
      <c r="N120" s="26" t="s">
        <v>28</v>
      </c>
      <c r="O120" s="26" t="s">
        <v>28</v>
      </c>
      <c r="P120" s="26" t="s">
        <v>28</v>
      </c>
      <c r="Q120" s="26" t="s">
        <v>28</v>
      </c>
      <c r="R120" s="26" t="s">
        <v>28</v>
      </c>
      <c r="S120" s="45"/>
      <c r="T120" s="45"/>
      <c r="U120" s="45"/>
      <c r="V120" s="45"/>
      <c r="W120" s="45"/>
      <c r="X120" s="45"/>
      <c r="Y120" s="45"/>
      <c r="Z120" s="45"/>
      <c r="AA120" s="45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32">
        <f t="shared" si="8"/>
        <v>0</v>
      </c>
      <c r="BB120" s="32">
        <f t="shared" si="9"/>
        <v>0</v>
      </c>
      <c r="BC120" s="32">
        <f t="shared" si="10"/>
        <v>15</v>
      </c>
      <c r="BD120" s="32">
        <f t="shared" si="11"/>
        <v>15</v>
      </c>
      <c r="BE120" s="33">
        <f t="shared" si="12"/>
        <v>100</v>
      </c>
    </row>
    <row r="121">
      <c r="A121" s="24">
        <v>43.0</v>
      </c>
      <c r="B121" s="24" t="s">
        <v>291</v>
      </c>
      <c r="C121" s="25" t="s">
        <v>292</v>
      </c>
      <c r="D121" s="26" t="s">
        <v>28</v>
      </c>
      <c r="E121" s="26" t="s">
        <v>28</v>
      </c>
      <c r="F121" s="26" t="s">
        <v>28</v>
      </c>
      <c r="G121" s="26" t="s">
        <v>28</v>
      </c>
      <c r="H121" s="26" t="s">
        <v>28</v>
      </c>
      <c r="I121" s="26" t="s">
        <v>28</v>
      </c>
      <c r="J121" s="26" t="s">
        <v>28</v>
      </c>
      <c r="K121" s="26" t="s">
        <v>28</v>
      </c>
      <c r="L121" s="26" t="s">
        <v>28</v>
      </c>
      <c r="M121" s="26" t="s">
        <v>28</v>
      </c>
      <c r="N121" s="26" t="s">
        <v>28</v>
      </c>
      <c r="O121" s="26" t="s">
        <v>28</v>
      </c>
      <c r="P121" s="26" t="s">
        <v>28</v>
      </c>
      <c r="Q121" s="26" t="s">
        <v>28</v>
      </c>
      <c r="R121" s="26" t="s">
        <v>28</v>
      </c>
      <c r="S121" s="44"/>
      <c r="T121" s="45"/>
      <c r="U121" s="45"/>
      <c r="V121" s="45"/>
      <c r="W121" s="45"/>
      <c r="X121" s="45"/>
      <c r="Y121" s="45"/>
      <c r="Z121" s="45"/>
      <c r="AA121" s="45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32">
        <f t="shared" si="8"/>
        <v>0</v>
      </c>
      <c r="BB121" s="32">
        <f t="shared" si="9"/>
        <v>0</v>
      </c>
      <c r="BC121" s="32">
        <f t="shared" si="10"/>
        <v>15</v>
      </c>
      <c r="BD121" s="32">
        <f t="shared" si="11"/>
        <v>15</v>
      </c>
      <c r="BE121" s="33">
        <f t="shared" si="12"/>
        <v>100</v>
      </c>
    </row>
    <row r="122">
      <c r="A122" s="24">
        <v>44.0</v>
      </c>
      <c r="B122" s="24" t="s">
        <v>293</v>
      </c>
      <c r="C122" s="25" t="s">
        <v>294</v>
      </c>
      <c r="D122" s="26" t="s">
        <v>28</v>
      </c>
      <c r="E122" s="26" t="s">
        <v>28</v>
      </c>
      <c r="F122" s="26" t="s">
        <v>28</v>
      </c>
      <c r="G122" s="27" t="s">
        <v>22</v>
      </c>
      <c r="H122" s="27" t="s">
        <v>22</v>
      </c>
      <c r="I122" s="26" t="s">
        <v>28</v>
      </c>
      <c r="J122" s="26" t="s">
        <v>28</v>
      </c>
      <c r="K122" s="26" t="s">
        <v>28</v>
      </c>
      <c r="L122" s="26" t="s">
        <v>28</v>
      </c>
      <c r="M122" s="27" t="s">
        <v>22</v>
      </c>
      <c r="N122" s="26" t="s">
        <v>28</v>
      </c>
      <c r="O122" s="26" t="s">
        <v>28</v>
      </c>
      <c r="P122" s="26" t="s">
        <v>28</v>
      </c>
      <c r="Q122" s="26" t="s">
        <v>28</v>
      </c>
      <c r="R122" s="26" t="s">
        <v>28</v>
      </c>
      <c r="S122" s="44"/>
      <c r="T122" s="45"/>
      <c r="U122" s="45"/>
      <c r="V122" s="45"/>
      <c r="W122" s="45"/>
      <c r="X122" s="45"/>
      <c r="Y122" s="45"/>
      <c r="Z122" s="45"/>
      <c r="AA122" s="45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32">
        <f t="shared" si="8"/>
        <v>0</v>
      </c>
      <c r="BB122" s="32">
        <f t="shared" si="9"/>
        <v>3</v>
      </c>
      <c r="BC122" s="32">
        <f t="shared" si="10"/>
        <v>12</v>
      </c>
      <c r="BD122" s="32">
        <f t="shared" si="11"/>
        <v>15</v>
      </c>
      <c r="BE122" s="33">
        <f t="shared" si="12"/>
        <v>80</v>
      </c>
    </row>
    <row r="123">
      <c r="A123" s="24">
        <v>45.0</v>
      </c>
      <c r="B123" s="24" t="s">
        <v>295</v>
      </c>
      <c r="C123" s="25" t="s">
        <v>296</v>
      </c>
      <c r="D123" s="26" t="s">
        <v>28</v>
      </c>
      <c r="E123" s="26" t="s">
        <v>28</v>
      </c>
      <c r="F123" s="26" t="s">
        <v>28</v>
      </c>
      <c r="G123" s="26" t="s">
        <v>28</v>
      </c>
      <c r="H123" s="26" t="s">
        <v>28</v>
      </c>
      <c r="I123" s="27" t="s">
        <v>22</v>
      </c>
      <c r="J123" s="26" t="s">
        <v>28</v>
      </c>
      <c r="K123" s="26" t="s">
        <v>28</v>
      </c>
      <c r="L123" s="26" t="s">
        <v>28</v>
      </c>
      <c r="M123" s="26" t="s">
        <v>28</v>
      </c>
      <c r="N123" s="26" t="s">
        <v>28</v>
      </c>
      <c r="O123" s="26" t="s">
        <v>28</v>
      </c>
      <c r="P123" s="26" t="s">
        <v>28</v>
      </c>
      <c r="Q123" s="26" t="s">
        <v>28</v>
      </c>
      <c r="R123" s="26" t="s">
        <v>28</v>
      </c>
      <c r="S123" s="44"/>
      <c r="T123" s="45"/>
      <c r="U123" s="45"/>
      <c r="V123" s="45"/>
      <c r="W123" s="45"/>
      <c r="X123" s="45"/>
      <c r="Y123" s="45"/>
      <c r="Z123" s="45"/>
      <c r="AA123" s="45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32">
        <f t="shared" si="8"/>
        <v>0</v>
      </c>
      <c r="BB123" s="32">
        <f t="shared" si="9"/>
        <v>1</v>
      </c>
      <c r="BC123" s="32">
        <f t="shared" si="10"/>
        <v>14</v>
      </c>
      <c r="BD123" s="32">
        <f t="shared" si="11"/>
        <v>15</v>
      </c>
      <c r="BE123" s="33">
        <f t="shared" si="12"/>
        <v>93.33333333</v>
      </c>
    </row>
    <row r="124">
      <c r="A124" s="24">
        <v>46.0</v>
      </c>
      <c r="B124" s="24" t="s">
        <v>299</v>
      </c>
      <c r="C124" s="25" t="s">
        <v>300</v>
      </c>
      <c r="D124" s="26" t="s">
        <v>28</v>
      </c>
      <c r="E124" s="26" t="s">
        <v>28</v>
      </c>
      <c r="F124" s="26" t="s">
        <v>28</v>
      </c>
      <c r="G124" s="26" t="s">
        <v>28</v>
      </c>
      <c r="H124" s="27" t="s">
        <v>22</v>
      </c>
      <c r="I124" s="27" t="s">
        <v>22</v>
      </c>
      <c r="J124" s="26" t="s">
        <v>28</v>
      </c>
      <c r="K124" s="26" t="s">
        <v>28</v>
      </c>
      <c r="L124" s="26" t="s">
        <v>28</v>
      </c>
      <c r="M124" s="26" t="s">
        <v>28</v>
      </c>
      <c r="N124" s="26" t="s">
        <v>28</v>
      </c>
      <c r="O124" s="26" t="s">
        <v>28</v>
      </c>
      <c r="P124" s="26" t="s">
        <v>28</v>
      </c>
      <c r="Q124" s="26" t="s">
        <v>28</v>
      </c>
      <c r="R124" s="26" t="s">
        <v>28</v>
      </c>
      <c r="S124" s="44"/>
      <c r="T124" s="45"/>
      <c r="U124" s="45"/>
      <c r="V124" s="45"/>
      <c r="W124" s="45"/>
      <c r="X124" s="45"/>
      <c r="Y124" s="45"/>
      <c r="Z124" s="45"/>
      <c r="AA124" s="45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32">
        <f t="shared" si="8"/>
        <v>0</v>
      </c>
      <c r="BB124" s="32">
        <f t="shared" si="9"/>
        <v>2</v>
      </c>
      <c r="BC124" s="32">
        <f t="shared" si="10"/>
        <v>13</v>
      </c>
      <c r="BD124" s="32">
        <f t="shared" si="11"/>
        <v>15</v>
      </c>
      <c r="BE124" s="33">
        <f t="shared" si="12"/>
        <v>86.66666667</v>
      </c>
    </row>
    <row r="125">
      <c r="A125" s="24">
        <v>47.0</v>
      </c>
      <c r="B125" s="24" t="s">
        <v>301</v>
      </c>
      <c r="C125" s="25" t="s">
        <v>302</v>
      </c>
      <c r="D125" s="26" t="s">
        <v>28</v>
      </c>
      <c r="E125" s="26" t="s">
        <v>28</v>
      </c>
      <c r="F125" s="26" t="s">
        <v>28</v>
      </c>
      <c r="G125" s="26" t="s">
        <v>28</v>
      </c>
      <c r="H125" s="27" t="s">
        <v>22</v>
      </c>
      <c r="I125" s="26" t="s">
        <v>28</v>
      </c>
      <c r="J125" s="26" t="s">
        <v>28</v>
      </c>
      <c r="K125" s="26" t="s">
        <v>28</v>
      </c>
      <c r="L125" s="27" t="s">
        <v>22</v>
      </c>
      <c r="M125" s="27" t="s">
        <v>22</v>
      </c>
      <c r="N125" s="26" t="s">
        <v>28</v>
      </c>
      <c r="O125" s="26" t="s">
        <v>28</v>
      </c>
      <c r="P125" s="26" t="s">
        <v>28</v>
      </c>
      <c r="Q125" s="26" t="s">
        <v>28</v>
      </c>
      <c r="R125" s="26" t="s">
        <v>28</v>
      </c>
      <c r="S125" s="44"/>
      <c r="T125" s="45"/>
      <c r="U125" s="45"/>
      <c r="V125" s="45"/>
      <c r="W125" s="45"/>
      <c r="X125" s="45"/>
      <c r="Y125" s="45"/>
      <c r="Z125" s="45"/>
      <c r="AA125" s="45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32">
        <f t="shared" si="8"/>
        <v>0</v>
      </c>
      <c r="BB125" s="32">
        <f t="shared" si="9"/>
        <v>3</v>
      </c>
      <c r="BC125" s="32">
        <f t="shared" si="10"/>
        <v>12</v>
      </c>
      <c r="BD125" s="32">
        <f t="shared" si="11"/>
        <v>15</v>
      </c>
      <c r="BE125" s="33">
        <f t="shared" si="12"/>
        <v>80</v>
      </c>
    </row>
    <row r="126">
      <c r="A126" s="24">
        <v>48.0</v>
      </c>
      <c r="B126" s="24" t="s">
        <v>303</v>
      </c>
      <c r="C126" s="25" t="s">
        <v>304</v>
      </c>
      <c r="D126" s="26" t="s">
        <v>28</v>
      </c>
      <c r="E126" s="26" t="s">
        <v>28</v>
      </c>
      <c r="F126" s="26" t="s">
        <v>28</v>
      </c>
      <c r="G126" s="26" t="s">
        <v>28</v>
      </c>
      <c r="H126" s="26" t="s">
        <v>28</v>
      </c>
      <c r="I126" s="26" t="s">
        <v>28</v>
      </c>
      <c r="J126" s="26" t="s">
        <v>28</v>
      </c>
      <c r="K126" s="26" t="s">
        <v>28</v>
      </c>
      <c r="L126" s="27" t="s">
        <v>22</v>
      </c>
      <c r="M126" s="27" t="s">
        <v>22</v>
      </c>
      <c r="N126" s="26" t="s">
        <v>28</v>
      </c>
      <c r="O126" s="26" t="s">
        <v>28</v>
      </c>
      <c r="P126" s="26" t="s">
        <v>28</v>
      </c>
      <c r="Q126" s="27" t="s">
        <v>22</v>
      </c>
      <c r="R126" s="26" t="s">
        <v>28</v>
      </c>
      <c r="S126" s="44"/>
      <c r="T126" s="45"/>
      <c r="U126" s="45"/>
      <c r="V126" s="45"/>
      <c r="W126" s="45"/>
      <c r="X126" s="45"/>
      <c r="Y126" s="45"/>
      <c r="Z126" s="45"/>
      <c r="AA126" s="45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32">
        <f t="shared" si="8"/>
        <v>0</v>
      </c>
      <c r="BB126" s="32">
        <f t="shared" si="9"/>
        <v>3</v>
      </c>
      <c r="BC126" s="32">
        <f t="shared" si="10"/>
        <v>12</v>
      </c>
      <c r="BD126" s="32">
        <f t="shared" si="11"/>
        <v>15</v>
      </c>
      <c r="BE126" s="33">
        <f t="shared" si="12"/>
        <v>80</v>
      </c>
    </row>
    <row r="127">
      <c r="A127" s="24">
        <v>49.0</v>
      </c>
      <c r="B127" s="35" t="s">
        <v>305</v>
      </c>
      <c r="C127" s="36" t="s">
        <v>306</v>
      </c>
      <c r="D127" s="27" t="s">
        <v>22</v>
      </c>
      <c r="E127" s="37" t="s">
        <v>28</v>
      </c>
      <c r="F127" s="37" t="s">
        <v>28</v>
      </c>
      <c r="G127" s="37" t="s">
        <v>28</v>
      </c>
      <c r="H127" s="27" t="s">
        <v>22</v>
      </c>
      <c r="I127" s="27" t="s">
        <v>22</v>
      </c>
      <c r="J127" s="27" t="s">
        <v>22</v>
      </c>
      <c r="K127" s="27" t="s">
        <v>22</v>
      </c>
      <c r="L127" s="27" t="s">
        <v>22</v>
      </c>
      <c r="M127" s="27" t="s">
        <v>22</v>
      </c>
      <c r="N127" s="27"/>
      <c r="O127" s="37"/>
      <c r="P127" s="37"/>
      <c r="Q127" s="27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1">
        <f t="shared" si="8"/>
        <v>0</v>
      </c>
      <c r="BB127" s="41">
        <f t="shared" si="9"/>
        <v>7</v>
      </c>
      <c r="BC127" s="41">
        <f t="shared" si="10"/>
        <v>3</v>
      </c>
      <c r="BD127" s="41">
        <f t="shared" si="11"/>
        <v>10</v>
      </c>
      <c r="BE127" s="42">
        <f t="shared" si="12"/>
        <v>30</v>
      </c>
    </row>
    <row r="128">
      <c r="A128" s="24">
        <v>50.0</v>
      </c>
      <c r="B128" s="24" t="s">
        <v>307</v>
      </c>
      <c r="C128" s="25" t="s">
        <v>308</v>
      </c>
      <c r="D128" s="26" t="s">
        <v>28</v>
      </c>
      <c r="E128" s="26" t="s">
        <v>28</v>
      </c>
      <c r="F128" s="26" t="s">
        <v>28</v>
      </c>
      <c r="G128" s="26" t="s">
        <v>28</v>
      </c>
      <c r="H128" s="26" t="s">
        <v>28</v>
      </c>
      <c r="I128" s="27" t="s">
        <v>22</v>
      </c>
      <c r="J128" s="26" t="s">
        <v>28</v>
      </c>
      <c r="K128" s="26" t="s">
        <v>28</v>
      </c>
      <c r="L128" s="26" t="s">
        <v>28</v>
      </c>
      <c r="M128" s="26" t="s">
        <v>28</v>
      </c>
      <c r="N128" s="26" t="s">
        <v>28</v>
      </c>
      <c r="O128" s="26" t="s">
        <v>28</v>
      </c>
      <c r="P128" s="26" t="s">
        <v>28</v>
      </c>
      <c r="Q128" s="26" t="s">
        <v>28</v>
      </c>
      <c r="R128" s="26" t="s">
        <v>28</v>
      </c>
      <c r="S128" s="44"/>
      <c r="T128" s="45"/>
      <c r="U128" s="45"/>
      <c r="V128" s="45"/>
      <c r="W128" s="45"/>
      <c r="X128" s="45"/>
      <c r="Y128" s="45"/>
      <c r="Z128" s="45"/>
      <c r="AA128" s="45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32">
        <f t="shared" si="8"/>
        <v>0</v>
      </c>
      <c r="BB128" s="32">
        <f t="shared" si="9"/>
        <v>1</v>
      </c>
      <c r="BC128" s="32">
        <f t="shared" si="10"/>
        <v>14</v>
      </c>
      <c r="BD128" s="32">
        <f t="shared" si="11"/>
        <v>15</v>
      </c>
      <c r="BE128" s="33">
        <f t="shared" si="12"/>
        <v>93.33333333</v>
      </c>
    </row>
    <row r="129">
      <c r="A129" s="24">
        <v>51.0</v>
      </c>
      <c r="B129" s="24" t="s">
        <v>309</v>
      </c>
      <c r="C129" s="25" t="s">
        <v>310</v>
      </c>
      <c r="D129" s="26" t="s">
        <v>28</v>
      </c>
      <c r="E129" s="26" t="s">
        <v>28</v>
      </c>
      <c r="F129" s="26" t="s">
        <v>28</v>
      </c>
      <c r="G129" s="26" t="s">
        <v>28</v>
      </c>
      <c r="H129" s="26" t="s">
        <v>28</v>
      </c>
      <c r="I129" s="26" t="s">
        <v>28</v>
      </c>
      <c r="J129" s="26" t="s">
        <v>28</v>
      </c>
      <c r="K129" s="26" t="s">
        <v>28</v>
      </c>
      <c r="L129" s="27" t="s">
        <v>22</v>
      </c>
      <c r="M129" s="27" t="s">
        <v>22</v>
      </c>
      <c r="N129" s="26" t="s">
        <v>28</v>
      </c>
      <c r="O129" s="27" t="s">
        <v>22</v>
      </c>
      <c r="P129" s="26" t="s">
        <v>28</v>
      </c>
      <c r="Q129" s="27" t="s">
        <v>22</v>
      </c>
      <c r="R129" s="26" t="s">
        <v>28</v>
      </c>
      <c r="S129" s="44"/>
      <c r="T129" s="45"/>
      <c r="U129" s="45"/>
      <c r="V129" s="45"/>
      <c r="W129" s="45"/>
      <c r="X129" s="45"/>
      <c r="Y129" s="45"/>
      <c r="Z129" s="45"/>
      <c r="AA129" s="45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32">
        <f t="shared" si="8"/>
        <v>0</v>
      </c>
      <c r="BB129" s="32">
        <f t="shared" si="9"/>
        <v>4</v>
      </c>
      <c r="BC129" s="32">
        <f t="shared" si="10"/>
        <v>11</v>
      </c>
      <c r="BD129" s="32">
        <f t="shared" si="11"/>
        <v>15</v>
      </c>
      <c r="BE129" s="33">
        <f t="shared" si="12"/>
        <v>73.33333333</v>
      </c>
    </row>
    <row r="130">
      <c r="A130" s="24">
        <v>52.0</v>
      </c>
      <c r="B130" s="24" t="s">
        <v>311</v>
      </c>
      <c r="C130" s="25" t="s">
        <v>312</v>
      </c>
      <c r="D130" s="26" t="s">
        <v>28</v>
      </c>
      <c r="E130" s="26" t="s">
        <v>28</v>
      </c>
      <c r="F130" s="26" t="s">
        <v>28</v>
      </c>
      <c r="G130" s="26" t="s">
        <v>28</v>
      </c>
      <c r="H130" s="26" t="s">
        <v>28</v>
      </c>
      <c r="I130" s="27" t="s">
        <v>22</v>
      </c>
      <c r="J130" s="26" t="s">
        <v>28</v>
      </c>
      <c r="K130" s="26" t="s">
        <v>28</v>
      </c>
      <c r="L130" s="26" t="s">
        <v>28</v>
      </c>
      <c r="M130" s="26" t="s">
        <v>28</v>
      </c>
      <c r="N130" s="26" t="s">
        <v>28</v>
      </c>
      <c r="O130" s="26" t="s">
        <v>28</v>
      </c>
      <c r="P130" s="26" t="s">
        <v>28</v>
      </c>
      <c r="Q130" s="26" t="s">
        <v>28</v>
      </c>
      <c r="R130" s="26" t="s">
        <v>28</v>
      </c>
      <c r="S130" s="44"/>
      <c r="T130" s="45"/>
      <c r="U130" s="45"/>
      <c r="V130" s="45"/>
      <c r="W130" s="45"/>
      <c r="X130" s="45"/>
      <c r="Y130" s="45"/>
      <c r="Z130" s="45"/>
      <c r="AA130" s="45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32">
        <f t="shared" si="8"/>
        <v>0</v>
      </c>
      <c r="BB130" s="32">
        <f t="shared" si="9"/>
        <v>1</v>
      </c>
      <c r="BC130" s="32">
        <f t="shared" si="10"/>
        <v>14</v>
      </c>
      <c r="BD130" s="32">
        <f t="shared" si="11"/>
        <v>15</v>
      </c>
      <c r="BE130" s="33">
        <f t="shared" si="12"/>
        <v>93.33333333</v>
      </c>
    </row>
    <row r="131">
      <c r="A131" s="24">
        <v>53.0</v>
      </c>
      <c r="B131" s="24" t="s">
        <v>313</v>
      </c>
      <c r="C131" s="25" t="s">
        <v>314</v>
      </c>
      <c r="D131" s="26" t="s">
        <v>28</v>
      </c>
      <c r="E131" s="26" t="s">
        <v>28</v>
      </c>
      <c r="F131" s="26" t="s">
        <v>28</v>
      </c>
      <c r="G131" s="26" t="s">
        <v>28</v>
      </c>
      <c r="H131" s="26" t="s">
        <v>28</v>
      </c>
      <c r="I131" s="26" t="s">
        <v>28</v>
      </c>
      <c r="J131" s="27" t="s">
        <v>22</v>
      </c>
      <c r="K131" s="26" t="s">
        <v>28</v>
      </c>
      <c r="L131" s="26" t="s">
        <v>28</v>
      </c>
      <c r="M131" s="26" t="s">
        <v>28</v>
      </c>
      <c r="N131" s="26" t="s">
        <v>28</v>
      </c>
      <c r="O131" s="26" t="s">
        <v>28</v>
      </c>
      <c r="P131" s="26" t="s">
        <v>28</v>
      </c>
      <c r="Q131" s="26" t="s">
        <v>28</v>
      </c>
      <c r="R131" s="26" t="s">
        <v>28</v>
      </c>
      <c r="S131" s="45"/>
      <c r="T131" s="45"/>
      <c r="U131" s="45"/>
      <c r="V131" s="45"/>
      <c r="W131" s="45"/>
      <c r="X131" s="45"/>
      <c r="Y131" s="45"/>
      <c r="Z131" s="45"/>
      <c r="AA131" s="45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32">
        <f t="shared" si="8"/>
        <v>0</v>
      </c>
      <c r="BB131" s="32">
        <f t="shared" si="9"/>
        <v>1</v>
      </c>
      <c r="BC131" s="32">
        <f t="shared" si="10"/>
        <v>14</v>
      </c>
      <c r="BD131" s="32">
        <f t="shared" si="11"/>
        <v>15</v>
      </c>
      <c r="BE131" s="33">
        <f t="shared" si="12"/>
        <v>93.33333333</v>
      </c>
    </row>
    <row r="132">
      <c r="A132" s="24">
        <v>54.0</v>
      </c>
      <c r="B132" s="24" t="s">
        <v>315</v>
      </c>
      <c r="C132" s="25" t="s">
        <v>316</v>
      </c>
      <c r="D132" s="26" t="s">
        <v>28</v>
      </c>
      <c r="E132" s="26" t="s">
        <v>28</v>
      </c>
      <c r="F132" s="26" t="s">
        <v>28</v>
      </c>
      <c r="G132" s="26" t="s">
        <v>28</v>
      </c>
      <c r="H132" s="26" t="s">
        <v>28</v>
      </c>
      <c r="I132" s="26" t="s">
        <v>28</v>
      </c>
      <c r="J132" s="26" t="s">
        <v>28</v>
      </c>
      <c r="K132" s="26" t="s">
        <v>28</v>
      </c>
      <c r="L132" s="26" t="s">
        <v>28</v>
      </c>
      <c r="M132" s="26" t="s">
        <v>28</v>
      </c>
      <c r="N132" s="26" t="s">
        <v>28</v>
      </c>
      <c r="O132" s="26" t="s">
        <v>28</v>
      </c>
      <c r="P132" s="26" t="s">
        <v>28</v>
      </c>
      <c r="Q132" s="26" t="s">
        <v>28</v>
      </c>
      <c r="R132" s="26" t="s">
        <v>28</v>
      </c>
      <c r="S132" s="44"/>
      <c r="T132" s="45"/>
      <c r="U132" s="45"/>
      <c r="V132" s="45"/>
      <c r="W132" s="45"/>
      <c r="X132" s="45"/>
      <c r="Y132" s="45"/>
      <c r="Z132" s="45"/>
      <c r="AA132" s="45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32">
        <f t="shared" si="8"/>
        <v>0</v>
      </c>
      <c r="BB132" s="32">
        <f t="shared" si="9"/>
        <v>0</v>
      </c>
      <c r="BC132" s="32">
        <f t="shared" si="10"/>
        <v>15</v>
      </c>
      <c r="BD132" s="32">
        <f t="shared" si="11"/>
        <v>15</v>
      </c>
      <c r="BE132" s="33">
        <f t="shared" si="12"/>
        <v>100</v>
      </c>
    </row>
    <row r="133">
      <c r="A133" s="24">
        <v>55.0</v>
      </c>
      <c r="B133" s="24" t="s">
        <v>317</v>
      </c>
      <c r="C133" s="25" t="s">
        <v>318</v>
      </c>
      <c r="D133" s="26" t="s">
        <v>28</v>
      </c>
      <c r="E133" s="26" t="s">
        <v>28</v>
      </c>
      <c r="F133" s="26" t="s">
        <v>28</v>
      </c>
      <c r="G133" s="26" t="s">
        <v>28</v>
      </c>
      <c r="H133" s="26" t="s">
        <v>28</v>
      </c>
      <c r="I133" s="27" t="s">
        <v>22</v>
      </c>
      <c r="J133" s="26" t="s">
        <v>28</v>
      </c>
      <c r="K133" s="26" t="s">
        <v>28</v>
      </c>
      <c r="L133" s="26" t="s">
        <v>28</v>
      </c>
      <c r="M133" s="26" t="s">
        <v>28</v>
      </c>
      <c r="N133" s="26" t="s">
        <v>28</v>
      </c>
      <c r="O133" s="26" t="s">
        <v>28</v>
      </c>
      <c r="P133" s="26" t="s">
        <v>28</v>
      </c>
      <c r="Q133" s="26" t="s">
        <v>28</v>
      </c>
      <c r="R133" s="26" t="s">
        <v>28</v>
      </c>
      <c r="S133" s="44"/>
      <c r="T133" s="45"/>
      <c r="U133" s="45"/>
      <c r="V133" s="45"/>
      <c r="W133" s="45"/>
      <c r="X133" s="45"/>
      <c r="Y133" s="45"/>
      <c r="Z133" s="45"/>
      <c r="AA133" s="45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32">
        <f t="shared" si="8"/>
        <v>0</v>
      </c>
      <c r="BB133" s="32">
        <f t="shared" si="9"/>
        <v>1</v>
      </c>
      <c r="BC133" s="32">
        <f t="shared" si="10"/>
        <v>14</v>
      </c>
      <c r="BD133" s="32">
        <f t="shared" si="11"/>
        <v>15</v>
      </c>
      <c r="BE133" s="33">
        <f t="shared" si="12"/>
        <v>93.33333333</v>
      </c>
    </row>
    <row r="134">
      <c r="A134" s="24">
        <v>56.0</v>
      </c>
      <c r="B134" s="24" t="s">
        <v>319</v>
      </c>
      <c r="C134" s="25" t="s">
        <v>320</v>
      </c>
      <c r="D134" s="26" t="s">
        <v>28</v>
      </c>
      <c r="E134" s="26" t="s">
        <v>28</v>
      </c>
      <c r="F134" s="26" t="s">
        <v>28</v>
      </c>
      <c r="G134" s="26" t="s">
        <v>28</v>
      </c>
      <c r="H134" s="26" t="s">
        <v>28</v>
      </c>
      <c r="I134" s="26" t="s">
        <v>28</v>
      </c>
      <c r="J134" s="26" t="s">
        <v>28</v>
      </c>
      <c r="K134" s="26" t="s">
        <v>28</v>
      </c>
      <c r="L134" s="26" t="s">
        <v>28</v>
      </c>
      <c r="M134" s="26" t="s">
        <v>28</v>
      </c>
      <c r="N134" s="26" t="s">
        <v>28</v>
      </c>
      <c r="O134" s="26" t="s">
        <v>28</v>
      </c>
      <c r="P134" s="27" t="s">
        <v>22</v>
      </c>
      <c r="Q134" s="27" t="s">
        <v>22</v>
      </c>
      <c r="R134" s="27" t="s">
        <v>22</v>
      </c>
      <c r="S134" s="44"/>
      <c r="T134" s="45"/>
      <c r="U134" s="45"/>
      <c r="V134" s="45"/>
      <c r="W134" s="45"/>
      <c r="X134" s="45"/>
      <c r="Y134" s="45"/>
      <c r="Z134" s="45"/>
      <c r="AA134" s="45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32">
        <f t="shared" si="8"/>
        <v>0</v>
      </c>
      <c r="BB134" s="32">
        <f t="shared" si="9"/>
        <v>3</v>
      </c>
      <c r="BC134" s="32">
        <f t="shared" si="10"/>
        <v>12</v>
      </c>
      <c r="BD134" s="32">
        <f t="shared" si="11"/>
        <v>15</v>
      </c>
      <c r="BE134" s="33">
        <f t="shared" si="12"/>
        <v>80</v>
      </c>
    </row>
    <row r="135">
      <c r="A135" s="24">
        <v>57.0</v>
      </c>
      <c r="B135" s="24" t="s">
        <v>321</v>
      </c>
      <c r="C135" s="25" t="s">
        <v>322</v>
      </c>
      <c r="D135" s="26" t="s">
        <v>28</v>
      </c>
      <c r="E135" s="26" t="s">
        <v>28</v>
      </c>
      <c r="F135" s="26" t="s">
        <v>28</v>
      </c>
      <c r="G135" s="26" t="s">
        <v>28</v>
      </c>
      <c r="H135" s="27" t="s">
        <v>22</v>
      </c>
      <c r="I135" s="27" t="s">
        <v>22</v>
      </c>
      <c r="J135" s="27" t="s">
        <v>22</v>
      </c>
      <c r="K135" s="27" t="s">
        <v>22</v>
      </c>
      <c r="L135" s="27" t="s">
        <v>22</v>
      </c>
      <c r="M135" s="27" t="s">
        <v>22</v>
      </c>
      <c r="N135" s="26" t="s">
        <v>28</v>
      </c>
      <c r="O135" s="27" t="s">
        <v>22</v>
      </c>
      <c r="P135" s="26" t="s">
        <v>28</v>
      </c>
      <c r="Q135" s="27" t="s">
        <v>22</v>
      </c>
      <c r="R135" s="26" t="s">
        <v>28</v>
      </c>
      <c r="S135" s="44"/>
      <c r="T135" s="45"/>
      <c r="U135" s="45"/>
      <c r="V135" s="45"/>
      <c r="W135" s="45"/>
      <c r="X135" s="45"/>
      <c r="Y135" s="45"/>
      <c r="Z135" s="45"/>
      <c r="AA135" s="45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32">
        <f t="shared" si="8"/>
        <v>0</v>
      </c>
      <c r="BB135" s="32">
        <f t="shared" si="9"/>
        <v>8</v>
      </c>
      <c r="BC135" s="32">
        <f t="shared" si="10"/>
        <v>7</v>
      </c>
      <c r="BD135" s="32">
        <f t="shared" si="11"/>
        <v>15</v>
      </c>
      <c r="BE135" s="33">
        <f t="shared" si="12"/>
        <v>46.66666667</v>
      </c>
    </row>
    <row r="136">
      <c r="A136" s="24">
        <v>58.0</v>
      </c>
      <c r="B136" s="24" t="s">
        <v>327</v>
      </c>
      <c r="C136" s="25" t="s">
        <v>328</v>
      </c>
      <c r="D136" s="26" t="s">
        <v>28</v>
      </c>
      <c r="E136" s="26" t="s">
        <v>28</v>
      </c>
      <c r="F136" s="26" t="s">
        <v>28</v>
      </c>
      <c r="G136" s="26" t="s">
        <v>28</v>
      </c>
      <c r="H136" s="26" t="s">
        <v>28</v>
      </c>
      <c r="I136" s="27" t="s">
        <v>22</v>
      </c>
      <c r="J136" s="26" t="s">
        <v>28</v>
      </c>
      <c r="K136" s="26" t="s">
        <v>28</v>
      </c>
      <c r="L136" s="26" t="s">
        <v>28</v>
      </c>
      <c r="M136" s="26" t="s">
        <v>28</v>
      </c>
      <c r="N136" s="26" t="s">
        <v>28</v>
      </c>
      <c r="O136" s="26" t="s">
        <v>28</v>
      </c>
      <c r="P136" s="26" t="s">
        <v>28</v>
      </c>
      <c r="Q136" s="26" t="s">
        <v>28</v>
      </c>
      <c r="R136" s="26" t="s">
        <v>28</v>
      </c>
      <c r="S136" s="44"/>
      <c r="T136" s="45"/>
      <c r="U136" s="45"/>
      <c r="V136" s="45"/>
      <c r="W136" s="45"/>
      <c r="X136" s="45"/>
      <c r="Y136" s="45"/>
      <c r="Z136" s="45"/>
      <c r="AA136" s="45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32">
        <f t="shared" si="8"/>
        <v>0</v>
      </c>
      <c r="BB136" s="32">
        <f t="shared" si="9"/>
        <v>1</v>
      </c>
      <c r="BC136" s="32">
        <f t="shared" si="10"/>
        <v>14</v>
      </c>
      <c r="BD136" s="32">
        <f t="shared" si="11"/>
        <v>15</v>
      </c>
      <c r="BE136" s="33">
        <f t="shared" si="12"/>
        <v>93.33333333</v>
      </c>
    </row>
    <row r="137">
      <c r="A137" s="24">
        <v>59.0</v>
      </c>
      <c r="B137" s="24" t="s">
        <v>329</v>
      </c>
      <c r="C137" s="25" t="s">
        <v>330</v>
      </c>
      <c r="D137" s="26" t="s">
        <v>28</v>
      </c>
      <c r="E137" s="26" t="s">
        <v>28</v>
      </c>
      <c r="F137" s="26" t="s">
        <v>28</v>
      </c>
      <c r="G137" s="26" t="s">
        <v>28</v>
      </c>
      <c r="H137" s="26" t="s">
        <v>28</v>
      </c>
      <c r="I137" s="26" t="s">
        <v>28</v>
      </c>
      <c r="J137" s="26" t="s">
        <v>28</v>
      </c>
      <c r="K137" s="26" t="s">
        <v>28</v>
      </c>
      <c r="L137" s="26" t="s">
        <v>28</v>
      </c>
      <c r="M137" s="26" t="s">
        <v>28</v>
      </c>
      <c r="N137" s="26" t="s">
        <v>28</v>
      </c>
      <c r="O137" s="26" t="s">
        <v>28</v>
      </c>
      <c r="P137" s="26" t="s">
        <v>28</v>
      </c>
      <c r="Q137" s="26" t="s">
        <v>28</v>
      </c>
      <c r="R137" s="26" t="s">
        <v>28</v>
      </c>
      <c r="S137" s="44"/>
      <c r="T137" s="45"/>
      <c r="U137" s="45"/>
      <c r="V137" s="45"/>
      <c r="W137" s="45"/>
      <c r="X137" s="45"/>
      <c r="Y137" s="45"/>
      <c r="Z137" s="45"/>
      <c r="AA137" s="45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32">
        <f t="shared" si="8"/>
        <v>0</v>
      </c>
      <c r="BB137" s="32">
        <f t="shared" si="9"/>
        <v>0</v>
      </c>
      <c r="BC137" s="32">
        <f t="shared" si="10"/>
        <v>15</v>
      </c>
      <c r="BD137" s="32">
        <f t="shared" si="11"/>
        <v>15</v>
      </c>
      <c r="BE137" s="33">
        <f t="shared" si="12"/>
        <v>100</v>
      </c>
    </row>
    <row r="138">
      <c r="A138" s="24">
        <v>60.0</v>
      </c>
      <c r="B138" s="24" t="s">
        <v>337</v>
      </c>
      <c r="C138" s="25" t="s">
        <v>338</v>
      </c>
      <c r="D138" s="27" t="s">
        <v>22</v>
      </c>
      <c r="E138" s="26" t="s">
        <v>28</v>
      </c>
      <c r="F138" s="26" t="s">
        <v>28</v>
      </c>
      <c r="G138" s="26" t="s">
        <v>28</v>
      </c>
      <c r="H138" s="26" t="s">
        <v>28</v>
      </c>
      <c r="I138" s="26" t="s">
        <v>28</v>
      </c>
      <c r="J138" s="26" t="s">
        <v>28</v>
      </c>
      <c r="K138" s="26" t="s">
        <v>28</v>
      </c>
      <c r="L138" s="26" t="s">
        <v>28</v>
      </c>
      <c r="M138" s="26" t="s">
        <v>28</v>
      </c>
      <c r="N138" s="26" t="s">
        <v>28</v>
      </c>
      <c r="O138" s="26" t="s">
        <v>28</v>
      </c>
      <c r="P138" s="26" t="s">
        <v>28</v>
      </c>
      <c r="Q138" s="26" t="s">
        <v>28</v>
      </c>
      <c r="R138" s="26" t="s">
        <v>28</v>
      </c>
      <c r="S138" s="44"/>
      <c r="T138" s="45"/>
      <c r="U138" s="45"/>
      <c r="V138" s="45"/>
      <c r="W138" s="45"/>
      <c r="X138" s="45"/>
      <c r="Y138" s="45"/>
      <c r="Z138" s="45"/>
      <c r="AA138" s="45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32">
        <f t="shared" si="8"/>
        <v>0</v>
      </c>
      <c r="BB138" s="32">
        <f t="shared" si="9"/>
        <v>1</v>
      </c>
      <c r="BC138" s="32">
        <f t="shared" si="10"/>
        <v>14</v>
      </c>
      <c r="BD138" s="32">
        <f t="shared" si="11"/>
        <v>15</v>
      </c>
      <c r="BE138" s="33">
        <f t="shared" si="12"/>
        <v>93.33333333</v>
      </c>
    </row>
    <row r="139">
      <c r="A139" s="24">
        <v>61.0</v>
      </c>
      <c r="B139" s="24" t="s">
        <v>339</v>
      </c>
      <c r="C139" s="25" t="s">
        <v>340</v>
      </c>
      <c r="D139" s="27" t="s">
        <v>22</v>
      </c>
      <c r="E139" s="26" t="s">
        <v>28</v>
      </c>
      <c r="F139" s="26" t="s">
        <v>28</v>
      </c>
      <c r="G139" s="26" t="s">
        <v>28</v>
      </c>
      <c r="H139" s="27" t="s">
        <v>22</v>
      </c>
      <c r="I139" s="27" t="s">
        <v>22</v>
      </c>
      <c r="J139" s="27" t="s">
        <v>22</v>
      </c>
      <c r="K139" s="27" t="s">
        <v>22</v>
      </c>
      <c r="L139" s="27" t="s">
        <v>22</v>
      </c>
      <c r="M139" s="26" t="s">
        <v>28</v>
      </c>
      <c r="N139" s="27" t="s">
        <v>22</v>
      </c>
      <c r="O139" s="26" t="s">
        <v>28</v>
      </c>
      <c r="P139" s="27" t="s">
        <v>22</v>
      </c>
      <c r="Q139" s="27" t="s">
        <v>22</v>
      </c>
      <c r="R139" s="27" t="s">
        <v>22</v>
      </c>
      <c r="S139" s="44"/>
      <c r="T139" s="45"/>
      <c r="U139" s="45"/>
      <c r="V139" s="45"/>
      <c r="W139" s="45"/>
      <c r="X139" s="45"/>
      <c r="Y139" s="45"/>
      <c r="Z139" s="45"/>
      <c r="AA139" s="45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32">
        <f t="shared" si="8"/>
        <v>0</v>
      </c>
      <c r="BB139" s="32">
        <f t="shared" si="9"/>
        <v>10</v>
      </c>
      <c r="BC139" s="32">
        <f t="shared" si="10"/>
        <v>5</v>
      </c>
      <c r="BD139" s="32">
        <f t="shared" si="11"/>
        <v>15</v>
      </c>
      <c r="BE139" s="33">
        <f t="shared" si="12"/>
        <v>33.33333333</v>
      </c>
    </row>
    <row r="140">
      <c r="A140" s="24">
        <v>62.0</v>
      </c>
      <c r="B140" s="24" t="s">
        <v>341</v>
      </c>
      <c r="C140" s="25" t="s">
        <v>342</v>
      </c>
      <c r="D140" s="26" t="s">
        <v>28</v>
      </c>
      <c r="E140" s="26" t="s">
        <v>28</v>
      </c>
      <c r="F140" s="27" t="s">
        <v>22</v>
      </c>
      <c r="G140" s="26" t="s">
        <v>28</v>
      </c>
      <c r="H140" s="27" t="s">
        <v>22</v>
      </c>
      <c r="I140" s="27" t="s">
        <v>22</v>
      </c>
      <c r="J140" s="26" t="s">
        <v>28</v>
      </c>
      <c r="K140" s="27" t="s">
        <v>22</v>
      </c>
      <c r="L140" s="27" t="s">
        <v>22</v>
      </c>
      <c r="M140" s="27" t="s">
        <v>22</v>
      </c>
      <c r="N140" s="26" t="s">
        <v>28</v>
      </c>
      <c r="O140" s="27" t="s">
        <v>22</v>
      </c>
      <c r="P140" s="26" t="s">
        <v>28</v>
      </c>
      <c r="Q140" s="27" t="s">
        <v>22</v>
      </c>
      <c r="R140" s="26" t="s">
        <v>28</v>
      </c>
      <c r="S140" s="44"/>
      <c r="T140" s="45"/>
      <c r="U140" s="45"/>
      <c r="V140" s="45"/>
      <c r="W140" s="45"/>
      <c r="X140" s="45"/>
      <c r="Y140" s="45"/>
      <c r="Z140" s="45"/>
      <c r="AA140" s="45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32">
        <f t="shared" si="8"/>
        <v>0</v>
      </c>
      <c r="BB140" s="32">
        <f t="shared" si="9"/>
        <v>8</v>
      </c>
      <c r="BC140" s="32">
        <f t="shared" si="10"/>
        <v>7</v>
      </c>
      <c r="BD140" s="32">
        <f t="shared" si="11"/>
        <v>15</v>
      </c>
      <c r="BE140" s="33">
        <f t="shared" si="12"/>
        <v>46.66666667</v>
      </c>
    </row>
    <row r="141">
      <c r="A141" s="88">
        <v>63.0</v>
      </c>
      <c r="B141" s="88" t="s">
        <v>345</v>
      </c>
      <c r="C141" s="89" t="s">
        <v>346</v>
      </c>
      <c r="D141" s="27" t="s">
        <v>22</v>
      </c>
      <c r="E141" s="26" t="s">
        <v>28</v>
      </c>
      <c r="F141" s="26" t="s">
        <v>28</v>
      </c>
      <c r="G141" s="26" t="s">
        <v>28</v>
      </c>
      <c r="H141" s="27" t="s">
        <v>22</v>
      </c>
      <c r="I141" s="26" t="s">
        <v>28</v>
      </c>
      <c r="J141" s="27" t="s">
        <v>22</v>
      </c>
      <c r="K141" s="27" t="s">
        <v>22</v>
      </c>
      <c r="L141" s="27" t="s">
        <v>22</v>
      </c>
      <c r="M141" s="27" t="s">
        <v>22</v>
      </c>
      <c r="N141" s="26" t="s">
        <v>28</v>
      </c>
      <c r="O141" s="26" t="s">
        <v>28</v>
      </c>
      <c r="P141" s="27" t="s">
        <v>22</v>
      </c>
      <c r="Q141" s="27" t="s">
        <v>22</v>
      </c>
      <c r="R141" s="26" t="s">
        <v>28</v>
      </c>
      <c r="S141" s="90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2">
        <f t="shared" si="8"/>
        <v>0</v>
      </c>
      <c r="BB141" s="92">
        <f t="shared" si="9"/>
        <v>8</v>
      </c>
      <c r="BC141" s="92">
        <f t="shared" si="10"/>
        <v>7</v>
      </c>
      <c r="BD141" s="92">
        <f t="shared" si="11"/>
        <v>15</v>
      </c>
      <c r="BE141" s="93">
        <f t="shared" si="12"/>
        <v>46.66666667</v>
      </c>
    </row>
    <row r="142">
      <c r="A142" s="24">
        <v>64.0</v>
      </c>
      <c r="B142" s="24" t="s">
        <v>349</v>
      </c>
      <c r="C142" s="25" t="s">
        <v>350</v>
      </c>
      <c r="D142" s="26" t="s">
        <v>28</v>
      </c>
      <c r="E142" s="26" t="s">
        <v>28</v>
      </c>
      <c r="F142" s="26" t="s">
        <v>28</v>
      </c>
      <c r="G142" s="26" t="s">
        <v>28</v>
      </c>
      <c r="H142" s="26" t="s">
        <v>28</v>
      </c>
      <c r="I142" s="26" t="s">
        <v>28</v>
      </c>
      <c r="J142" s="26" t="s">
        <v>28</v>
      </c>
      <c r="K142" s="26" t="s">
        <v>28</v>
      </c>
      <c r="L142" s="26" t="s">
        <v>28</v>
      </c>
      <c r="M142" s="26" t="s">
        <v>28</v>
      </c>
      <c r="N142" s="26" t="s">
        <v>28</v>
      </c>
      <c r="O142" s="26" t="s">
        <v>28</v>
      </c>
      <c r="P142" s="26" t="s">
        <v>28</v>
      </c>
      <c r="Q142" s="27" t="s">
        <v>22</v>
      </c>
      <c r="R142" s="26" t="s">
        <v>28</v>
      </c>
      <c r="S142" s="51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32">
        <f t="shared" si="8"/>
        <v>0</v>
      </c>
      <c r="BB142" s="32">
        <f t="shared" si="9"/>
        <v>1</v>
      </c>
      <c r="BC142" s="32">
        <f t="shared" si="10"/>
        <v>14</v>
      </c>
      <c r="BD142" s="32">
        <f t="shared" si="11"/>
        <v>15</v>
      </c>
      <c r="BE142" s="33">
        <f t="shared" si="12"/>
        <v>93.33333333</v>
      </c>
    </row>
    <row r="143">
      <c r="A143" s="24">
        <v>65.0</v>
      </c>
      <c r="B143" s="24" t="s">
        <v>351</v>
      </c>
      <c r="C143" s="25" t="s">
        <v>352</v>
      </c>
      <c r="D143" s="26" t="s">
        <v>28</v>
      </c>
      <c r="E143" s="26" t="s">
        <v>28</v>
      </c>
      <c r="F143" s="26" t="s">
        <v>28</v>
      </c>
      <c r="G143" s="26" t="s">
        <v>28</v>
      </c>
      <c r="H143" s="26" t="s">
        <v>28</v>
      </c>
      <c r="I143" s="26" t="s">
        <v>28</v>
      </c>
      <c r="J143" s="27" t="s">
        <v>22</v>
      </c>
      <c r="K143" s="27" t="s">
        <v>22</v>
      </c>
      <c r="L143" s="27" t="s">
        <v>22</v>
      </c>
      <c r="M143" s="26" t="s">
        <v>28</v>
      </c>
      <c r="N143" s="26" t="s">
        <v>28</v>
      </c>
      <c r="O143" s="26" t="s">
        <v>28</v>
      </c>
      <c r="P143" s="26" t="s">
        <v>28</v>
      </c>
      <c r="Q143" s="26" t="s">
        <v>28</v>
      </c>
      <c r="R143" s="26" t="s">
        <v>28</v>
      </c>
      <c r="S143" s="51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32">
        <f t="shared" si="8"/>
        <v>0</v>
      </c>
      <c r="BB143" s="32">
        <f t="shared" si="9"/>
        <v>3</v>
      </c>
      <c r="BC143" s="32">
        <f t="shared" si="10"/>
        <v>12</v>
      </c>
      <c r="BD143" s="32">
        <f t="shared" si="11"/>
        <v>15</v>
      </c>
      <c r="BE143" s="33">
        <f t="shared" si="12"/>
        <v>80</v>
      </c>
    </row>
    <row r="144">
      <c r="A144" s="24">
        <v>66.0</v>
      </c>
      <c r="B144" s="24" t="s">
        <v>353</v>
      </c>
      <c r="C144" s="25" t="s">
        <v>354</v>
      </c>
      <c r="D144" s="26" t="s">
        <v>28</v>
      </c>
      <c r="E144" s="26" t="s">
        <v>28</v>
      </c>
      <c r="F144" s="26" t="s">
        <v>28</v>
      </c>
      <c r="G144" s="26" t="s">
        <v>28</v>
      </c>
      <c r="H144" s="26" t="s">
        <v>28</v>
      </c>
      <c r="I144" s="26" t="s">
        <v>28</v>
      </c>
      <c r="J144" s="26" t="s">
        <v>28</v>
      </c>
      <c r="K144" s="26" t="s">
        <v>28</v>
      </c>
      <c r="L144" s="26" t="s">
        <v>28</v>
      </c>
      <c r="M144" s="26" t="s">
        <v>28</v>
      </c>
      <c r="N144" s="26" t="s">
        <v>28</v>
      </c>
      <c r="O144" s="26" t="s">
        <v>28</v>
      </c>
      <c r="P144" s="26" t="s">
        <v>28</v>
      </c>
      <c r="Q144" s="27" t="s">
        <v>22</v>
      </c>
      <c r="R144" s="27" t="s">
        <v>22</v>
      </c>
      <c r="S144" s="51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32">
        <f t="shared" si="8"/>
        <v>0</v>
      </c>
      <c r="BB144" s="32">
        <f t="shared" si="9"/>
        <v>2</v>
      </c>
      <c r="BC144" s="32">
        <f t="shared" si="10"/>
        <v>13</v>
      </c>
      <c r="BD144" s="32">
        <f t="shared" si="11"/>
        <v>15</v>
      </c>
      <c r="BE144" s="33">
        <f t="shared" si="12"/>
        <v>86.66666667</v>
      </c>
    </row>
    <row r="145">
      <c r="A145" s="24">
        <v>67.0</v>
      </c>
      <c r="B145" s="24" t="s">
        <v>357</v>
      </c>
      <c r="C145" s="25" t="s">
        <v>358</v>
      </c>
      <c r="D145" s="26" t="s">
        <v>28</v>
      </c>
      <c r="E145" s="26" t="s">
        <v>28</v>
      </c>
      <c r="F145" s="26" t="s">
        <v>28</v>
      </c>
      <c r="G145" s="26" t="s">
        <v>28</v>
      </c>
      <c r="H145" s="26" t="s">
        <v>28</v>
      </c>
      <c r="I145" s="27" t="s">
        <v>22</v>
      </c>
      <c r="J145" s="26" t="s">
        <v>28</v>
      </c>
      <c r="K145" s="26" t="s">
        <v>28</v>
      </c>
      <c r="L145" s="26" t="s">
        <v>28</v>
      </c>
      <c r="M145" s="26" t="s">
        <v>28</v>
      </c>
      <c r="N145" s="26" t="s">
        <v>28</v>
      </c>
      <c r="O145" s="26" t="s">
        <v>28</v>
      </c>
      <c r="P145" s="26" t="s">
        <v>28</v>
      </c>
      <c r="Q145" s="26" t="s">
        <v>28</v>
      </c>
      <c r="R145" s="26" t="s">
        <v>28</v>
      </c>
      <c r="S145" s="51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32">
        <f t="shared" si="8"/>
        <v>0</v>
      </c>
      <c r="BB145" s="32">
        <f t="shared" si="9"/>
        <v>1</v>
      </c>
      <c r="BC145" s="32">
        <f t="shared" si="10"/>
        <v>14</v>
      </c>
      <c r="BD145" s="32">
        <f t="shared" si="11"/>
        <v>15</v>
      </c>
      <c r="BE145" s="33">
        <f t="shared" si="12"/>
        <v>93.33333333</v>
      </c>
    </row>
    <row r="146">
      <c r="A146" s="24">
        <v>68.0</v>
      </c>
      <c r="B146" s="24" t="s">
        <v>359</v>
      </c>
      <c r="C146" s="25" t="s">
        <v>360</v>
      </c>
      <c r="D146" s="26" t="s">
        <v>28</v>
      </c>
      <c r="E146" s="26" t="s">
        <v>28</v>
      </c>
      <c r="F146" s="27" t="s">
        <v>22</v>
      </c>
      <c r="G146" s="26" t="s">
        <v>28</v>
      </c>
      <c r="H146" s="26" t="s">
        <v>28</v>
      </c>
      <c r="I146" s="26" t="s">
        <v>28</v>
      </c>
      <c r="J146" s="26" t="s">
        <v>28</v>
      </c>
      <c r="K146" s="26" t="s">
        <v>28</v>
      </c>
      <c r="L146" s="26" t="s">
        <v>28</v>
      </c>
      <c r="M146" s="27" t="s">
        <v>22</v>
      </c>
      <c r="N146" s="26" t="s">
        <v>28</v>
      </c>
      <c r="O146" s="26" t="s">
        <v>28</v>
      </c>
      <c r="P146" s="26" t="s">
        <v>28</v>
      </c>
      <c r="Q146" s="27" t="s">
        <v>22</v>
      </c>
      <c r="R146" s="26" t="s">
        <v>28</v>
      </c>
      <c r="S146" s="51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32">
        <f t="shared" si="8"/>
        <v>0</v>
      </c>
      <c r="BB146" s="32">
        <f t="shared" si="9"/>
        <v>3</v>
      </c>
      <c r="BC146" s="32">
        <f t="shared" si="10"/>
        <v>12</v>
      </c>
      <c r="BD146" s="32">
        <f t="shared" si="11"/>
        <v>15</v>
      </c>
      <c r="BE146" s="33">
        <f t="shared" si="12"/>
        <v>80</v>
      </c>
    </row>
    <row r="147">
      <c r="A147" s="24">
        <v>69.0</v>
      </c>
      <c r="B147" s="74" t="s">
        <v>361</v>
      </c>
      <c r="C147" s="75" t="s">
        <v>362</v>
      </c>
      <c r="D147" s="26" t="s">
        <v>28</v>
      </c>
      <c r="E147" s="26" t="s">
        <v>28</v>
      </c>
      <c r="F147" s="26" t="s">
        <v>28</v>
      </c>
      <c r="G147" s="26" t="s">
        <v>28</v>
      </c>
      <c r="H147" s="26" t="s">
        <v>28</v>
      </c>
      <c r="I147" s="26" t="s">
        <v>28</v>
      </c>
      <c r="J147" s="26" t="s">
        <v>28</v>
      </c>
      <c r="K147" s="26" t="s">
        <v>28</v>
      </c>
      <c r="L147" s="26" t="s">
        <v>28</v>
      </c>
      <c r="M147" s="26" t="s">
        <v>28</v>
      </c>
      <c r="N147" s="27" t="s">
        <v>22</v>
      </c>
      <c r="O147" s="26" t="s">
        <v>28</v>
      </c>
      <c r="P147" s="26" t="s">
        <v>28</v>
      </c>
      <c r="Q147" s="26" t="s">
        <v>28</v>
      </c>
      <c r="R147" s="26" t="s">
        <v>28</v>
      </c>
      <c r="S147" s="51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32">
        <f t="shared" si="8"/>
        <v>0</v>
      </c>
      <c r="BB147" s="32">
        <f t="shared" si="9"/>
        <v>1</v>
      </c>
      <c r="BC147" s="32">
        <f t="shared" si="10"/>
        <v>14</v>
      </c>
      <c r="BD147" s="32">
        <f t="shared" si="11"/>
        <v>15</v>
      </c>
      <c r="BE147" s="33">
        <f t="shared" si="12"/>
        <v>93.33333333</v>
      </c>
    </row>
    <row r="148">
      <c r="A148" s="24">
        <v>70.0</v>
      </c>
      <c r="B148" s="24" t="s">
        <v>365</v>
      </c>
      <c r="C148" s="25" t="s">
        <v>366</v>
      </c>
      <c r="D148" s="26" t="s">
        <v>28</v>
      </c>
      <c r="E148" s="26" t="s">
        <v>28</v>
      </c>
      <c r="F148" s="26" t="s">
        <v>28</v>
      </c>
      <c r="G148" s="26" t="s">
        <v>28</v>
      </c>
      <c r="H148" s="27" t="s">
        <v>22</v>
      </c>
      <c r="I148" s="27" t="s">
        <v>22</v>
      </c>
      <c r="J148" s="26" t="s">
        <v>28</v>
      </c>
      <c r="K148" s="27" t="s">
        <v>22</v>
      </c>
      <c r="L148" s="27" t="s">
        <v>22</v>
      </c>
      <c r="M148" s="26" t="s">
        <v>28</v>
      </c>
      <c r="N148" s="26" t="s">
        <v>28</v>
      </c>
      <c r="O148" s="27" t="s">
        <v>22</v>
      </c>
      <c r="P148" s="26" t="s">
        <v>28</v>
      </c>
      <c r="Q148" s="27" t="s">
        <v>22</v>
      </c>
      <c r="R148" s="27" t="s">
        <v>22</v>
      </c>
      <c r="S148" s="51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32">
        <f t="shared" si="8"/>
        <v>0</v>
      </c>
      <c r="BB148" s="32">
        <f t="shared" si="9"/>
        <v>7</v>
      </c>
      <c r="BC148" s="32">
        <f t="shared" si="10"/>
        <v>8</v>
      </c>
      <c r="BD148" s="32">
        <f t="shared" si="11"/>
        <v>15</v>
      </c>
      <c r="BE148" s="33">
        <f t="shared" si="12"/>
        <v>53.33333333</v>
      </c>
    </row>
    <row r="149">
      <c r="A149" s="55"/>
      <c r="B149" s="55"/>
      <c r="C149" s="56" t="s">
        <v>191</v>
      </c>
      <c r="D149" s="57">
        <f t="shared" ref="D149:AZ149" si="13">COUNTIF(D79:D148,"P")+COUNTIF(D79:D148,"L")</f>
        <v>60</v>
      </c>
      <c r="E149" s="57">
        <f t="shared" si="13"/>
        <v>64</v>
      </c>
      <c r="F149" s="57">
        <f t="shared" si="13"/>
        <v>64</v>
      </c>
      <c r="G149" s="57">
        <f t="shared" si="13"/>
        <v>67</v>
      </c>
      <c r="H149" s="57">
        <f t="shared" si="13"/>
        <v>56</v>
      </c>
      <c r="I149" s="57">
        <f t="shared" si="13"/>
        <v>44</v>
      </c>
      <c r="J149" s="57">
        <f t="shared" si="13"/>
        <v>58</v>
      </c>
      <c r="K149" s="57">
        <f t="shared" si="13"/>
        <v>55</v>
      </c>
      <c r="L149" s="57">
        <f t="shared" si="13"/>
        <v>56</v>
      </c>
      <c r="M149" s="57">
        <f t="shared" si="13"/>
        <v>47</v>
      </c>
      <c r="N149" s="57">
        <f t="shared" si="13"/>
        <v>57</v>
      </c>
      <c r="O149" s="57">
        <f t="shared" si="13"/>
        <v>51</v>
      </c>
      <c r="P149" s="57">
        <f t="shared" si="13"/>
        <v>55</v>
      </c>
      <c r="Q149" s="57">
        <f t="shared" si="13"/>
        <v>44</v>
      </c>
      <c r="R149" s="57">
        <f t="shared" si="13"/>
        <v>55</v>
      </c>
      <c r="S149" s="57">
        <f t="shared" si="13"/>
        <v>0</v>
      </c>
      <c r="T149" s="57">
        <f t="shared" si="13"/>
        <v>0</v>
      </c>
      <c r="U149" s="57">
        <f t="shared" si="13"/>
        <v>0</v>
      </c>
      <c r="V149" s="57">
        <f t="shared" si="13"/>
        <v>0</v>
      </c>
      <c r="W149" s="57">
        <f t="shared" si="13"/>
        <v>0</v>
      </c>
      <c r="X149" s="57">
        <f t="shared" si="13"/>
        <v>0</v>
      </c>
      <c r="Y149" s="57">
        <f t="shared" si="13"/>
        <v>0</v>
      </c>
      <c r="Z149" s="57">
        <f t="shared" si="13"/>
        <v>0</v>
      </c>
      <c r="AA149" s="57">
        <f t="shared" si="13"/>
        <v>0</v>
      </c>
      <c r="AB149" s="57">
        <f t="shared" si="13"/>
        <v>0</v>
      </c>
      <c r="AC149" s="57">
        <f t="shared" si="13"/>
        <v>0</v>
      </c>
      <c r="AD149" s="57">
        <f t="shared" si="13"/>
        <v>0</v>
      </c>
      <c r="AE149" s="57">
        <f t="shared" si="13"/>
        <v>0</v>
      </c>
      <c r="AF149" s="57">
        <f t="shared" si="13"/>
        <v>0</v>
      </c>
      <c r="AG149" s="57">
        <f t="shared" si="13"/>
        <v>0</v>
      </c>
      <c r="AH149" s="57">
        <f t="shared" si="13"/>
        <v>0</v>
      </c>
      <c r="AI149" s="57">
        <f t="shared" si="13"/>
        <v>0</v>
      </c>
      <c r="AJ149" s="57">
        <f t="shared" si="13"/>
        <v>0</v>
      </c>
      <c r="AK149" s="57">
        <f t="shared" si="13"/>
        <v>0</v>
      </c>
      <c r="AL149" s="57">
        <f t="shared" si="13"/>
        <v>0</v>
      </c>
      <c r="AM149" s="57">
        <f t="shared" si="13"/>
        <v>0</v>
      </c>
      <c r="AN149" s="57">
        <f t="shared" si="13"/>
        <v>0</v>
      </c>
      <c r="AO149" s="57">
        <f t="shared" si="13"/>
        <v>0</v>
      </c>
      <c r="AP149" s="57">
        <f t="shared" si="13"/>
        <v>0</v>
      </c>
      <c r="AQ149" s="57">
        <f t="shared" si="13"/>
        <v>0</v>
      </c>
      <c r="AR149" s="57">
        <f t="shared" si="13"/>
        <v>0</v>
      </c>
      <c r="AS149" s="57">
        <f t="shared" si="13"/>
        <v>0</v>
      </c>
      <c r="AT149" s="57">
        <f t="shared" si="13"/>
        <v>0</v>
      </c>
      <c r="AU149" s="57">
        <f t="shared" si="13"/>
        <v>0</v>
      </c>
      <c r="AV149" s="57">
        <f t="shared" si="13"/>
        <v>0</v>
      </c>
      <c r="AW149" s="57">
        <f t="shared" si="13"/>
        <v>0</v>
      </c>
      <c r="AX149" s="57">
        <f t="shared" si="13"/>
        <v>0</v>
      </c>
      <c r="AY149" s="57">
        <f t="shared" si="13"/>
        <v>0</v>
      </c>
      <c r="AZ149" s="57">
        <f t="shared" si="13"/>
        <v>0</v>
      </c>
      <c r="BA149" s="32">
        <f t="shared" si="8"/>
        <v>0</v>
      </c>
      <c r="BB149" s="32">
        <f t="shared" si="9"/>
        <v>0</v>
      </c>
      <c r="BC149" s="32">
        <f t="shared" si="10"/>
        <v>0</v>
      </c>
      <c r="BD149" s="32">
        <f t="shared" si="11"/>
        <v>0</v>
      </c>
      <c r="BE149" s="33" t="str">
        <f t="shared" si="12"/>
        <v>#DIV/0!</v>
      </c>
    </row>
    <row r="150">
      <c r="A150" s="83" t="s">
        <v>440</v>
      </c>
      <c r="B150" s="55"/>
      <c r="C150" s="59" t="s">
        <v>192</v>
      </c>
      <c r="D150" s="60">
        <v>70.0</v>
      </c>
      <c r="E150" s="60">
        <v>70.0</v>
      </c>
      <c r="F150" s="60">
        <v>70.0</v>
      </c>
      <c r="G150" s="60">
        <v>70.0</v>
      </c>
      <c r="H150" s="60">
        <v>70.0</v>
      </c>
      <c r="I150" s="60">
        <v>70.0</v>
      </c>
      <c r="J150" s="60">
        <v>70.0</v>
      </c>
      <c r="K150" s="60">
        <v>70.0</v>
      </c>
      <c r="L150" s="60">
        <v>70.0</v>
      </c>
      <c r="M150" s="60">
        <v>70.0</v>
      </c>
      <c r="N150" s="60">
        <v>70.0</v>
      </c>
      <c r="O150" s="60">
        <v>70.0</v>
      </c>
      <c r="P150" s="60">
        <v>70.0</v>
      </c>
      <c r="Q150" s="60">
        <v>70.0</v>
      </c>
      <c r="R150" s="60">
        <v>70.0</v>
      </c>
      <c r="S150" s="60">
        <v>70.0</v>
      </c>
      <c r="T150" s="60">
        <v>70.0</v>
      </c>
      <c r="U150" s="60">
        <v>70.0</v>
      </c>
      <c r="V150" s="60">
        <v>70.0</v>
      </c>
      <c r="W150" s="60">
        <v>70.0</v>
      </c>
      <c r="X150" s="60">
        <v>70.0</v>
      </c>
      <c r="Y150" s="60">
        <v>70.0</v>
      </c>
      <c r="Z150" s="60">
        <v>70.0</v>
      </c>
      <c r="AA150" s="60">
        <v>70.0</v>
      </c>
      <c r="AB150" s="60">
        <v>70.0</v>
      </c>
      <c r="AC150" s="60">
        <v>70.0</v>
      </c>
      <c r="AD150" s="60">
        <v>70.0</v>
      </c>
      <c r="AE150" s="60">
        <v>70.0</v>
      </c>
      <c r="AF150" s="60">
        <v>70.0</v>
      </c>
      <c r="AG150" s="60">
        <v>70.0</v>
      </c>
      <c r="AH150" s="60">
        <v>70.0</v>
      </c>
      <c r="AI150" s="60">
        <v>70.0</v>
      </c>
      <c r="AJ150" s="60">
        <v>70.0</v>
      </c>
      <c r="AK150" s="60">
        <v>70.0</v>
      </c>
      <c r="AL150" s="60">
        <v>70.0</v>
      </c>
      <c r="AM150" s="60">
        <v>70.0</v>
      </c>
      <c r="AN150" s="60">
        <v>70.0</v>
      </c>
      <c r="AO150" s="60">
        <v>70.0</v>
      </c>
      <c r="AP150" s="60">
        <v>70.0</v>
      </c>
      <c r="AQ150" s="60">
        <v>70.0</v>
      </c>
      <c r="AR150" s="60">
        <v>70.0</v>
      </c>
      <c r="AS150" s="60">
        <v>70.0</v>
      </c>
      <c r="AT150" s="60">
        <v>70.0</v>
      </c>
      <c r="AU150" s="60">
        <v>70.0</v>
      </c>
      <c r="AV150" s="60">
        <v>70.0</v>
      </c>
      <c r="AW150" s="60">
        <v>70.0</v>
      </c>
      <c r="AX150" s="60">
        <v>70.0</v>
      </c>
      <c r="AY150" s="60">
        <v>70.0</v>
      </c>
      <c r="AZ150" s="60">
        <v>70.0</v>
      </c>
      <c r="BA150" s="55"/>
      <c r="BB150" s="55"/>
      <c r="BC150" s="55"/>
      <c r="BD150" s="55"/>
      <c r="BE150" s="76"/>
    </row>
    <row r="151">
      <c r="A151" s="55"/>
      <c r="B151" s="55"/>
      <c r="C151" s="62" t="s">
        <v>193</v>
      </c>
      <c r="D151" s="63">
        <f t="shared" ref="D151:AZ151" si="14">SUM(D149/D150)*100</f>
        <v>85.71428571</v>
      </c>
      <c r="E151" s="63">
        <f t="shared" si="14"/>
        <v>91.42857143</v>
      </c>
      <c r="F151" s="63">
        <f t="shared" si="14"/>
        <v>91.42857143</v>
      </c>
      <c r="G151" s="63">
        <f t="shared" si="14"/>
        <v>95.71428571</v>
      </c>
      <c r="H151" s="63">
        <f t="shared" si="14"/>
        <v>80</v>
      </c>
      <c r="I151" s="63">
        <f t="shared" si="14"/>
        <v>62.85714286</v>
      </c>
      <c r="J151" s="63">
        <f t="shared" si="14"/>
        <v>82.85714286</v>
      </c>
      <c r="K151" s="63">
        <f t="shared" si="14"/>
        <v>78.57142857</v>
      </c>
      <c r="L151" s="63">
        <f t="shared" si="14"/>
        <v>80</v>
      </c>
      <c r="M151" s="63">
        <f t="shared" si="14"/>
        <v>67.14285714</v>
      </c>
      <c r="N151" s="63">
        <f t="shared" si="14"/>
        <v>81.42857143</v>
      </c>
      <c r="O151" s="63">
        <f t="shared" si="14"/>
        <v>72.85714286</v>
      </c>
      <c r="P151" s="63">
        <f t="shared" si="14"/>
        <v>78.57142857</v>
      </c>
      <c r="Q151" s="63">
        <f t="shared" si="14"/>
        <v>62.85714286</v>
      </c>
      <c r="R151" s="63">
        <f t="shared" si="14"/>
        <v>78.57142857</v>
      </c>
      <c r="S151" s="63">
        <f t="shared" si="14"/>
        <v>0</v>
      </c>
      <c r="T151" s="63">
        <f t="shared" si="14"/>
        <v>0</v>
      </c>
      <c r="U151" s="63">
        <f t="shared" si="14"/>
        <v>0</v>
      </c>
      <c r="V151" s="63">
        <f t="shared" si="14"/>
        <v>0</v>
      </c>
      <c r="W151" s="63">
        <f t="shared" si="14"/>
        <v>0</v>
      </c>
      <c r="X151" s="63">
        <f t="shared" si="14"/>
        <v>0</v>
      </c>
      <c r="Y151" s="63">
        <f t="shared" si="14"/>
        <v>0</v>
      </c>
      <c r="Z151" s="63">
        <f t="shared" si="14"/>
        <v>0</v>
      </c>
      <c r="AA151" s="63">
        <f t="shared" si="14"/>
        <v>0</v>
      </c>
      <c r="AB151" s="63">
        <f t="shared" si="14"/>
        <v>0</v>
      </c>
      <c r="AC151" s="63">
        <f t="shared" si="14"/>
        <v>0</v>
      </c>
      <c r="AD151" s="63">
        <f t="shared" si="14"/>
        <v>0</v>
      </c>
      <c r="AE151" s="63">
        <f t="shared" si="14"/>
        <v>0</v>
      </c>
      <c r="AF151" s="63">
        <f t="shared" si="14"/>
        <v>0</v>
      </c>
      <c r="AG151" s="63">
        <f t="shared" si="14"/>
        <v>0</v>
      </c>
      <c r="AH151" s="63">
        <f t="shared" si="14"/>
        <v>0</v>
      </c>
      <c r="AI151" s="63">
        <f t="shared" si="14"/>
        <v>0</v>
      </c>
      <c r="AJ151" s="63">
        <f t="shared" si="14"/>
        <v>0</v>
      </c>
      <c r="AK151" s="63">
        <f t="shared" si="14"/>
        <v>0</v>
      </c>
      <c r="AL151" s="63">
        <f t="shared" si="14"/>
        <v>0</v>
      </c>
      <c r="AM151" s="63">
        <f t="shared" si="14"/>
        <v>0</v>
      </c>
      <c r="AN151" s="63">
        <f t="shared" si="14"/>
        <v>0</v>
      </c>
      <c r="AO151" s="63">
        <f t="shared" si="14"/>
        <v>0</v>
      </c>
      <c r="AP151" s="63">
        <f t="shared" si="14"/>
        <v>0</v>
      </c>
      <c r="AQ151" s="63">
        <f t="shared" si="14"/>
        <v>0</v>
      </c>
      <c r="AR151" s="63">
        <f t="shared" si="14"/>
        <v>0</v>
      </c>
      <c r="AS151" s="63">
        <f t="shared" si="14"/>
        <v>0</v>
      </c>
      <c r="AT151" s="63">
        <f t="shared" si="14"/>
        <v>0</v>
      </c>
      <c r="AU151" s="63">
        <f t="shared" si="14"/>
        <v>0</v>
      </c>
      <c r="AV151" s="63">
        <f t="shared" si="14"/>
        <v>0</v>
      </c>
      <c r="AW151" s="63">
        <f t="shared" si="14"/>
        <v>0</v>
      </c>
      <c r="AX151" s="63">
        <f t="shared" si="14"/>
        <v>0</v>
      </c>
      <c r="AY151" s="63">
        <f t="shared" si="14"/>
        <v>0</v>
      </c>
      <c r="AZ151" s="63">
        <f t="shared" si="14"/>
        <v>0</v>
      </c>
      <c r="BA151" s="55"/>
      <c r="BB151" s="55"/>
      <c r="BC151" s="55"/>
      <c r="BD151" s="55"/>
      <c r="BE151" s="76"/>
    </row>
  </sheetData>
  <mergeCells count="10">
    <mergeCell ref="B76:B78"/>
    <mergeCell ref="C76:C78"/>
    <mergeCell ref="A1:BE1"/>
    <mergeCell ref="A2:A4"/>
    <mergeCell ref="B2:B4"/>
    <mergeCell ref="C2:C4"/>
    <mergeCell ref="D2:BE2"/>
    <mergeCell ref="A75:BE75"/>
    <mergeCell ref="A76:A78"/>
    <mergeCell ref="D76:BE76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17" width="3.38"/>
    <col customWidth="1" min="18" max="18" width="4.88"/>
    <col customWidth="1" min="19" max="57" width="3.38"/>
  </cols>
  <sheetData>
    <row r="1">
      <c r="A1" s="1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1</v>
      </c>
      <c r="B2" s="5" t="s">
        <v>2</v>
      </c>
      <c r="C2" s="6" t="s">
        <v>3</v>
      </c>
      <c r="D2" s="7" t="s">
        <v>442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79" t="s">
        <v>376</v>
      </c>
      <c r="E3" s="79" t="s">
        <v>410</v>
      </c>
      <c r="F3" s="79" t="s">
        <v>376</v>
      </c>
      <c r="G3" s="79" t="s">
        <v>410</v>
      </c>
      <c r="H3" s="79" t="s">
        <v>376</v>
      </c>
      <c r="I3" s="79" t="s">
        <v>410</v>
      </c>
      <c r="J3" s="79" t="s">
        <v>376</v>
      </c>
      <c r="K3" s="65" t="s">
        <v>410</v>
      </c>
      <c r="L3" s="79" t="s">
        <v>376</v>
      </c>
      <c r="M3" s="79" t="s">
        <v>410</v>
      </c>
      <c r="N3" s="79" t="s">
        <v>376</v>
      </c>
      <c r="O3" s="79" t="s">
        <v>410</v>
      </c>
      <c r="P3" s="65" t="s">
        <v>372</v>
      </c>
      <c r="Q3" s="79" t="s">
        <v>410</v>
      </c>
      <c r="R3" s="79" t="s">
        <v>443</v>
      </c>
      <c r="S3" s="10" t="s">
        <v>444</v>
      </c>
      <c r="T3" s="11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2"/>
      <c r="BA3" s="12"/>
      <c r="BB3" s="12"/>
      <c r="BC3" s="12"/>
      <c r="BD3" s="12"/>
      <c r="BE3" s="14"/>
    </row>
    <row r="4" ht="75.75" customHeight="1">
      <c r="A4" s="15"/>
      <c r="B4" s="15"/>
      <c r="C4" s="15"/>
      <c r="D4" s="65" t="s">
        <v>445</v>
      </c>
      <c r="E4" s="65" t="s">
        <v>429</v>
      </c>
      <c r="F4" s="65" t="s">
        <v>446</v>
      </c>
      <c r="G4" s="79" t="s">
        <v>447</v>
      </c>
      <c r="H4" s="79" t="s">
        <v>448</v>
      </c>
      <c r="I4" s="65" t="s">
        <v>449</v>
      </c>
      <c r="J4" s="65" t="s">
        <v>450</v>
      </c>
      <c r="K4" s="65" t="s">
        <v>451</v>
      </c>
      <c r="L4" s="65" t="s">
        <v>452</v>
      </c>
      <c r="M4" s="65" t="s">
        <v>453</v>
      </c>
      <c r="N4" s="65" t="s">
        <v>454</v>
      </c>
      <c r="O4" s="65" t="s">
        <v>455</v>
      </c>
      <c r="P4" s="65" t="s">
        <v>456</v>
      </c>
      <c r="Q4" s="87" t="s">
        <v>457</v>
      </c>
      <c r="R4" s="94" t="s">
        <v>458</v>
      </c>
      <c r="S4" s="80" t="s">
        <v>459</v>
      </c>
      <c r="T4" s="17"/>
      <c r="U4" s="13"/>
      <c r="V4" s="13"/>
      <c r="W4" s="13"/>
      <c r="X4" s="13"/>
      <c r="Y4" s="13"/>
      <c r="Z4" s="13"/>
      <c r="AA4" s="12"/>
      <c r="AB4" s="12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2"/>
      <c r="BA4" s="18" t="s">
        <v>21</v>
      </c>
      <c r="BB4" s="19" t="s">
        <v>22</v>
      </c>
      <c r="BC4" s="20" t="s">
        <v>23</v>
      </c>
      <c r="BD4" s="21" t="s">
        <v>24</v>
      </c>
      <c r="BE4" s="22" t="s">
        <v>25</v>
      </c>
    </row>
    <row r="5">
      <c r="A5" s="23">
        <v>1.0</v>
      </c>
      <c r="B5" s="24" t="s">
        <v>29</v>
      </c>
      <c r="C5" s="25" t="s">
        <v>30</v>
      </c>
      <c r="D5" s="26" t="s">
        <v>28</v>
      </c>
      <c r="E5" s="26" t="s">
        <v>28</v>
      </c>
      <c r="F5" s="26" t="s">
        <v>28</v>
      </c>
      <c r="G5" s="27" t="s">
        <v>22</v>
      </c>
      <c r="H5" s="27" t="s">
        <v>22</v>
      </c>
      <c r="I5" s="27" t="s">
        <v>22</v>
      </c>
      <c r="J5" s="26" t="s">
        <v>28</v>
      </c>
      <c r="K5" s="26" t="s">
        <v>28</v>
      </c>
      <c r="L5" s="26" t="s">
        <v>28</v>
      </c>
      <c r="M5" s="26" t="s">
        <v>28</v>
      </c>
      <c r="N5" s="26" t="s">
        <v>28</v>
      </c>
      <c r="O5" s="26" t="s">
        <v>28</v>
      </c>
      <c r="P5" s="26" t="s">
        <v>28</v>
      </c>
      <c r="Q5" s="26" t="s">
        <v>28</v>
      </c>
      <c r="R5" s="26" t="s">
        <v>28</v>
      </c>
      <c r="S5" s="26" t="s">
        <v>28</v>
      </c>
      <c r="T5" s="28"/>
      <c r="U5" s="29"/>
      <c r="V5" s="29"/>
      <c r="W5" s="29"/>
      <c r="X5" s="29"/>
      <c r="Y5" s="29"/>
      <c r="Z5" s="29"/>
      <c r="AA5" s="29"/>
      <c r="AB5" s="31"/>
      <c r="AC5" s="31"/>
      <c r="AD5" s="31"/>
      <c r="AE5" s="34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2">
        <f t="shared" ref="BA5:BA68" si="1">COUNTIF(D5:AZ5,"L")</f>
        <v>0</v>
      </c>
      <c r="BB5" s="32">
        <f t="shared" ref="BB5:BB68" si="2">COUNTIF(D5:AZ5,"A")</f>
        <v>3</v>
      </c>
      <c r="BC5" s="32">
        <f t="shared" ref="BC5:BC68" si="3">COUNTIF(D5:AZ5,"p")</f>
        <v>13</v>
      </c>
      <c r="BD5" s="32">
        <f t="shared" ref="BD5:BD68" si="4">SUM(BA5:BC5)</f>
        <v>16</v>
      </c>
      <c r="BE5" s="33">
        <f t="shared" ref="BE5:BE68" si="5">SUM(BA5,BC5)/BD5*100</f>
        <v>81.25</v>
      </c>
    </row>
    <row r="6">
      <c r="A6" s="23">
        <v>2.0</v>
      </c>
      <c r="B6" s="24" t="s">
        <v>31</v>
      </c>
      <c r="C6" s="25" t="s">
        <v>32</v>
      </c>
      <c r="D6" s="26" t="s">
        <v>28</v>
      </c>
      <c r="E6" s="26" t="s">
        <v>28</v>
      </c>
      <c r="F6" s="26" t="s">
        <v>28</v>
      </c>
      <c r="G6" s="26" t="s">
        <v>28</v>
      </c>
      <c r="H6" s="26" t="s">
        <v>28</v>
      </c>
      <c r="I6" s="26" t="s">
        <v>28</v>
      </c>
      <c r="J6" s="26" t="s">
        <v>28</v>
      </c>
      <c r="K6" s="26" t="s">
        <v>28</v>
      </c>
      <c r="L6" s="26" t="s">
        <v>28</v>
      </c>
      <c r="M6" s="26" t="s">
        <v>28</v>
      </c>
      <c r="N6" s="26" t="s">
        <v>28</v>
      </c>
      <c r="O6" s="26" t="s">
        <v>28</v>
      </c>
      <c r="P6" s="27" t="s">
        <v>22</v>
      </c>
      <c r="Q6" s="26" t="s">
        <v>28</v>
      </c>
      <c r="R6" s="26" t="s">
        <v>28</v>
      </c>
      <c r="S6" s="26" t="s">
        <v>28</v>
      </c>
      <c r="T6" s="28"/>
      <c r="U6" s="29"/>
      <c r="V6" s="29"/>
      <c r="W6" s="29"/>
      <c r="X6" s="29"/>
      <c r="Y6" s="29"/>
      <c r="Z6" s="29"/>
      <c r="AA6" s="29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2">
        <f t="shared" si="1"/>
        <v>0</v>
      </c>
      <c r="BB6" s="32">
        <f t="shared" si="2"/>
        <v>1</v>
      </c>
      <c r="BC6" s="32">
        <f t="shared" si="3"/>
        <v>15</v>
      </c>
      <c r="BD6" s="32">
        <f t="shared" si="4"/>
        <v>16</v>
      </c>
      <c r="BE6" s="33">
        <f t="shared" si="5"/>
        <v>93.75</v>
      </c>
    </row>
    <row r="7">
      <c r="A7" s="23">
        <v>3.0</v>
      </c>
      <c r="B7" s="24" t="s">
        <v>33</v>
      </c>
      <c r="C7" s="25" t="s">
        <v>34</v>
      </c>
      <c r="D7" s="26" t="s">
        <v>28</v>
      </c>
      <c r="E7" s="26" t="s">
        <v>28</v>
      </c>
      <c r="F7" s="26" t="s">
        <v>28</v>
      </c>
      <c r="G7" s="26" t="s">
        <v>28</v>
      </c>
      <c r="H7" s="26" t="s">
        <v>28</v>
      </c>
      <c r="I7" s="26" t="s">
        <v>28</v>
      </c>
      <c r="J7" s="27" t="s">
        <v>22</v>
      </c>
      <c r="K7" s="26" t="s">
        <v>28</v>
      </c>
      <c r="L7" s="26" t="s">
        <v>28</v>
      </c>
      <c r="M7" s="26" t="s">
        <v>28</v>
      </c>
      <c r="N7" s="27" t="s">
        <v>22</v>
      </c>
      <c r="O7" s="26" t="s">
        <v>28</v>
      </c>
      <c r="P7" s="26" t="s">
        <v>28</v>
      </c>
      <c r="Q7" s="26" t="s">
        <v>28</v>
      </c>
      <c r="R7" s="26" t="s">
        <v>28</v>
      </c>
      <c r="S7" s="26" t="s">
        <v>28</v>
      </c>
      <c r="T7" s="28"/>
      <c r="U7" s="29"/>
      <c r="V7" s="29"/>
      <c r="W7" s="29"/>
      <c r="X7" s="29"/>
      <c r="Y7" s="29"/>
      <c r="Z7" s="29"/>
      <c r="AA7" s="29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2">
        <f t="shared" si="1"/>
        <v>0</v>
      </c>
      <c r="BB7" s="32">
        <f t="shared" si="2"/>
        <v>2</v>
      </c>
      <c r="BC7" s="32">
        <f t="shared" si="3"/>
        <v>14</v>
      </c>
      <c r="BD7" s="32">
        <f t="shared" si="4"/>
        <v>16</v>
      </c>
      <c r="BE7" s="33">
        <f t="shared" si="5"/>
        <v>87.5</v>
      </c>
    </row>
    <row r="8">
      <c r="A8" s="23">
        <v>4.0</v>
      </c>
      <c r="B8" s="24" t="s">
        <v>35</v>
      </c>
      <c r="C8" s="25" t="s">
        <v>36</v>
      </c>
      <c r="D8" s="26" t="s">
        <v>28</v>
      </c>
      <c r="E8" s="26" t="s">
        <v>28</v>
      </c>
      <c r="F8" s="27" t="s">
        <v>22</v>
      </c>
      <c r="G8" s="26" t="s">
        <v>28</v>
      </c>
      <c r="H8" s="26" t="s">
        <v>28</v>
      </c>
      <c r="I8" s="26" t="s">
        <v>28</v>
      </c>
      <c r="J8" s="27" t="s">
        <v>22</v>
      </c>
      <c r="K8" s="26" t="s">
        <v>28</v>
      </c>
      <c r="L8" s="26" t="s">
        <v>28</v>
      </c>
      <c r="M8" s="26" t="s">
        <v>28</v>
      </c>
      <c r="N8" s="26" t="s">
        <v>28</v>
      </c>
      <c r="O8" s="26" t="s">
        <v>28</v>
      </c>
      <c r="P8" s="26" t="s">
        <v>28</v>
      </c>
      <c r="Q8" s="26" t="s">
        <v>28</v>
      </c>
      <c r="R8" s="26" t="s">
        <v>28</v>
      </c>
      <c r="S8" s="26" t="s">
        <v>28</v>
      </c>
      <c r="T8" s="29"/>
      <c r="U8" s="29"/>
      <c r="V8" s="29"/>
      <c r="W8" s="29"/>
      <c r="X8" s="29"/>
      <c r="Y8" s="29"/>
      <c r="Z8" s="29"/>
      <c r="AA8" s="29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2">
        <f t="shared" si="1"/>
        <v>0</v>
      </c>
      <c r="BB8" s="32">
        <f t="shared" si="2"/>
        <v>2</v>
      </c>
      <c r="BC8" s="32">
        <f t="shared" si="3"/>
        <v>14</v>
      </c>
      <c r="BD8" s="32">
        <f t="shared" si="4"/>
        <v>16</v>
      </c>
      <c r="BE8" s="33">
        <f t="shared" si="5"/>
        <v>87.5</v>
      </c>
    </row>
    <row r="9">
      <c r="A9" s="23">
        <v>5.0</v>
      </c>
      <c r="B9" s="24" t="s">
        <v>37</v>
      </c>
      <c r="C9" s="25" t="s">
        <v>391</v>
      </c>
      <c r="D9" s="26" t="s">
        <v>28</v>
      </c>
      <c r="E9" s="26" t="s">
        <v>28</v>
      </c>
      <c r="F9" s="26" t="s">
        <v>28</v>
      </c>
      <c r="G9" s="26" t="s">
        <v>28</v>
      </c>
      <c r="H9" s="27" t="s">
        <v>22</v>
      </c>
      <c r="I9" s="26" t="s">
        <v>28</v>
      </c>
      <c r="J9" s="26" t="s">
        <v>28</v>
      </c>
      <c r="K9" s="26" t="s">
        <v>28</v>
      </c>
      <c r="L9" s="27" t="s">
        <v>22</v>
      </c>
      <c r="M9" s="26" t="s">
        <v>28</v>
      </c>
      <c r="N9" s="27" t="s">
        <v>22</v>
      </c>
      <c r="O9" s="26" t="s">
        <v>28</v>
      </c>
      <c r="P9" s="27" t="s">
        <v>22</v>
      </c>
      <c r="Q9" s="26" t="s">
        <v>28</v>
      </c>
      <c r="R9" s="26" t="s">
        <v>28</v>
      </c>
      <c r="S9" s="26" t="s">
        <v>28</v>
      </c>
      <c r="T9" s="29"/>
      <c r="U9" s="29"/>
      <c r="V9" s="29"/>
      <c r="W9" s="29"/>
      <c r="X9" s="29"/>
      <c r="Y9" s="29"/>
      <c r="Z9" s="29"/>
      <c r="AA9" s="29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2">
        <f t="shared" si="1"/>
        <v>0</v>
      </c>
      <c r="BB9" s="32">
        <f t="shared" si="2"/>
        <v>4</v>
      </c>
      <c r="BC9" s="32">
        <f t="shared" si="3"/>
        <v>12</v>
      </c>
      <c r="BD9" s="32">
        <f t="shared" si="4"/>
        <v>16</v>
      </c>
      <c r="BE9" s="33">
        <f t="shared" si="5"/>
        <v>75</v>
      </c>
    </row>
    <row r="10">
      <c r="A10" s="23">
        <v>6.0</v>
      </c>
      <c r="B10" s="24" t="s">
        <v>39</v>
      </c>
      <c r="C10" s="25" t="s">
        <v>40</v>
      </c>
      <c r="D10" s="26" t="s">
        <v>28</v>
      </c>
      <c r="E10" s="26" t="s">
        <v>28</v>
      </c>
      <c r="F10" s="26" t="s">
        <v>28</v>
      </c>
      <c r="G10" s="26" t="s">
        <v>28</v>
      </c>
      <c r="H10" s="26" t="s">
        <v>28</v>
      </c>
      <c r="I10" s="26" t="s">
        <v>28</v>
      </c>
      <c r="J10" s="26" t="s">
        <v>28</v>
      </c>
      <c r="K10" s="26" t="s">
        <v>28</v>
      </c>
      <c r="L10" s="27" t="s">
        <v>22</v>
      </c>
      <c r="M10" s="26" t="s">
        <v>28</v>
      </c>
      <c r="N10" s="27" t="s">
        <v>22</v>
      </c>
      <c r="O10" s="26" t="s">
        <v>28</v>
      </c>
      <c r="P10" s="26" t="s">
        <v>28</v>
      </c>
      <c r="Q10" s="26" t="s">
        <v>28</v>
      </c>
      <c r="R10" s="26" t="s">
        <v>28</v>
      </c>
      <c r="S10" s="26" t="s">
        <v>28</v>
      </c>
      <c r="T10" s="28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2">
        <f t="shared" si="1"/>
        <v>0</v>
      </c>
      <c r="BB10" s="32">
        <f t="shared" si="2"/>
        <v>2</v>
      </c>
      <c r="BC10" s="32">
        <f t="shared" si="3"/>
        <v>14</v>
      </c>
      <c r="BD10" s="32">
        <f t="shared" si="4"/>
        <v>16</v>
      </c>
      <c r="BE10" s="33">
        <f t="shared" si="5"/>
        <v>87.5</v>
      </c>
    </row>
    <row r="11">
      <c r="A11" s="23">
        <v>7.0</v>
      </c>
      <c r="B11" s="24" t="s">
        <v>41</v>
      </c>
      <c r="C11" s="25" t="s">
        <v>42</v>
      </c>
      <c r="D11" s="27" t="s">
        <v>22</v>
      </c>
      <c r="E11" s="26" t="s">
        <v>28</v>
      </c>
      <c r="F11" s="26" t="s">
        <v>28</v>
      </c>
      <c r="G11" s="26" t="s">
        <v>28</v>
      </c>
      <c r="H11" s="26" t="s">
        <v>28</v>
      </c>
      <c r="I11" s="26" t="s">
        <v>28</v>
      </c>
      <c r="J11" s="26" t="s">
        <v>28</v>
      </c>
      <c r="K11" s="26" t="s">
        <v>28</v>
      </c>
      <c r="L11" s="26" t="s">
        <v>28</v>
      </c>
      <c r="M11" s="26" t="s">
        <v>28</v>
      </c>
      <c r="N11" s="26" t="s">
        <v>28</v>
      </c>
      <c r="O11" s="26" t="s">
        <v>28</v>
      </c>
      <c r="P11" s="26" t="s">
        <v>28</v>
      </c>
      <c r="Q11" s="26" t="s">
        <v>28</v>
      </c>
      <c r="R11" s="26" t="s">
        <v>28</v>
      </c>
      <c r="S11" s="26" t="s">
        <v>28</v>
      </c>
      <c r="T11" s="28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2">
        <f t="shared" si="1"/>
        <v>0</v>
      </c>
      <c r="BB11" s="32">
        <f t="shared" si="2"/>
        <v>1</v>
      </c>
      <c r="BC11" s="32">
        <f t="shared" si="3"/>
        <v>15</v>
      </c>
      <c r="BD11" s="32">
        <f t="shared" si="4"/>
        <v>16</v>
      </c>
      <c r="BE11" s="33">
        <f t="shared" si="5"/>
        <v>93.75</v>
      </c>
    </row>
    <row r="12">
      <c r="A12" s="49">
        <v>8.0</v>
      </c>
      <c r="B12" s="35" t="s">
        <v>43</v>
      </c>
      <c r="C12" s="36" t="s">
        <v>44</v>
      </c>
      <c r="D12" s="37" t="s">
        <v>28</v>
      </c>
      <c r="E12" s="37" t="s">
        <v>28</v>
      </c>
      <c r="F12" s="27" t="s">
        <v>22</v>
      </c>
      <c r="G12" s="37" t="s">
        <v>28</v>
      </c>
      <c r="H12" s="27" t="s">
        <v>22</v>
      </c>
      <c r="I12" s="37" t="s">
        <v>28</v>
      </c>
      <c r="J12" s="37" t="s">
        <v>28</v>
      </c>
      <c r="K12" s="37" t="s">
        <v>28</v>
      </c>
      <c r="L12" s="27" t="s">
        <v>22</v>
      </c>
      <c r="M12" s="37" t="s">
        <v>28</v>
      </c>
      <c r="N12" s="27" t="s">
        <v>22</v>
      </c>
      <c r="O12" s="37" t="s">
        <v>28</v>
      </c>
      <c r="P12" s="27" t="s">
        <v>22</v>
      </c>
      <c r="Q12" s="37" t="s">
        <v>28</v>
      </c>
      <c r="R12" s="37" t="s">
        <v>28</v>
      </c>
      <c r="S12" s="27" t="s">
        <v>22</v>
      </c>
      <c r="T12" s="38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1">
        <f t="shared" si="1"/>
        <v>0</v>
      </c>
      <c r="BB12" s="41">
        <f t="shared" si="2"/>
        <v>6</v>
      </c>
      <c r="BC12" s="41">
        <f t="shared" si="3"/>
        <v>10</v>
      </c>
      <c r="BD12" s="41">
        <f t="shared" si="4"/>
        <v>16</v>
      </c>
      <c r="BE12" s="42">
        <f t="shared" si="5"/>
        <v>62.5</v>
      </c>
    </row>
    <row r="13">
      <c r="A13" s="23">
        <v>9.0</v>
      </c>
      <c r="B13" s="24" t="s">
        <v>45</v>
      </c>
      <c r="C13" s="25" t="s">
        <v>46</v>
      </c>
      <c r="D13" s="26" t="s">
        <v>28</v>
      </c>
      <c r="E13" s="27" t="s">
        <v>22</v>
      </c>
      <c r="F13" s="26" t="s">
        <v>28</v>
      </c>
      <c r="G13" s="26" t="s">
        <v>28</v>
      </c>
      <c r="H13" s="26" t="s">
        <v>28</v>
      </c>
      <c r="I13" s="26" t="s">
        <v>28</v>
      </c>
      <c r="J13" s="27" t="s">
        <v>22</v>
      </c>
      <c r="K13" s="26" t="s">
        <v>28</v>
      </c>
      <c r="L13" s="26" t="s">
        <v>28</v>
      </c>
      <c r="M13" s="26" t="s">
        <v>28</v>
      </c>
      <c r="N13" s="27" t="s">
        <v>22</v>
      </c>
      <c r="O13" s="26" t="s">
        <v>28</v>
      </c>
      <c r="P13" s="26" t="s">
        <v>28</v>
      </c>
      <c r="Q13" s="26" t="s">
        <v>28</v>
      </c>
      <c r="R13" s="26" t="s">
        <v>28</v>
      </c>
      <c r="S13" s="26" t="s">
        <v>28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2">
        <f t="shared" si="1"/>
        <v>0</v>
      </c>
      <c r="BB13" s="32">
        <f t="shared" si="2"/>
        <v>3</v>
      </c>
      <c r="BC13" s="32">
        <f t="shared" si="3"/>
        <v>13</v>
      </c>
      <c r="BD13" s="32">
        <f t="shared" si="4"/>
        <v>16</v>
      </c>
      <c r="BE13" s="33">
        <f t="shared" si="5"/>
        <v>81.25</v>
      </c>
    </row>
    <row r="14">
      <c r="A14" s="23">
        <v>10.0</v>
      </c>
      <c r="B14" s="24" t="s">
        <v>47</v>
      </c>
      <c r="C14" s="25" t="s">
        <v>48</v>
      </c>
      <c r="D14" s="26" t="s">
        <v>28</v>
      </c>
      <c r="E14" s="26" t="s">
        <v>28</v>
      </c>
      <c r="F14" s="27" t="s">
        <v>22</v>
      </c>
      <c r="G14" s="26" t="s">
        <v>28</v>
      </c>
      <c r="H14" s="26" t="s">
        <v>28</v>
      </c>
      <c r="I14" s="26" t="s">
        <v>28</v>
      </c>
      <c r="J14" s="27" t="s">
        <v>22</v>
      </c>
      <c r="K14" s="26" t="s">
        <v>28</v>
      </c>
      <c r="L14" s="26" t="s">
        <v>28</v>
      </c>
      <c r="M14" s="26" t="s">
        <v>28</v>
      </c>
      <c r="N14" s="26" t="s">
        <v>28</v>
      </c>
      <c r="O14" s="26" t="s">
        <v>28</v>
      </c>
      <c r="P14" s="26" t="s">
        <v>28</v>
      </c>
      <c r="Q14" s="26" t="s">
        <v>28</v>
      </c>
      <c r="R14" s="26" t="s">
        <v>28</v>
      </c>
      <c r="S14" s="26" t="s">
        <v>28</v>
      </c>
      <c r="T14" s="28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2">
        <f t="shared" si="1"/>
        <v>0</v>
      </c>
      <c r="BB14" s="32">
        <f t="shared" si="2"/>
        <v>2</v>
      </c>
      <c r="BC14" s="32">
        <f t="shared" si="3"/>
        <v>14</v>
      </c>
      <c r="BD14" s="32">
        <f t="shared" si="4"/>
        <v>16</v>
      </c>
      <c r="BE14" s="33">
        <f t="shared" si="5"/>
        <v>87.5</v>
      </c>
    </row>
    <row r="15">
      <c r="A15" s="49">
        <v>11.0</v>
      </c>
      <c r="B15" s="35" t="s">
        <v>49</v>
      </c>
      <c r="C15" s="36" t="s">
        <v>50</v>
      </c>
      <c r="D15" s="37" t="s">
        <v>28</v>
      </c>
      <c r="E15" s="37" t="s">
        <v>28</v>
      </c>
      <c r="F15" s="37" t="s">
        <v>28</v>
      </c>
      <c r="G15" s="37" t="s">
        <v>28</v>
      </c>
      <c r="H15" s="37" t="s">
        <v>28</v>
      </c>
      <c r="I15" s="37" t="s">
        <v>28</v>
      </c>
      <c r="J15" s="27" t="s">
        <v>22</v>
      </c>
      <c r="K15" s="27" t="s">
        <v>22</v>
      </c>
      <c r="L15" s="27" t="s">
        <v>22</v>
      </c>
      <c r="M15" s="27" t="s">
        <v>22</v>
      </c>
      <c r="N15" s="27" t="s">
        <v>22</v>
      </c>
      <c r="O15" s="27" t="s">
        <v>22</v>
      </c>
      <c r="P15" s="27"/>
      <c r="Q15" s="27"/>
      <c r="R15" s="38"/>
      <c r="S15" s="38"/>
      <c r="T15" s="38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1">
        <f t="shared" si="1"/>
        <v>0</v>
      </c>
      <c r="BB15" s="41">
        <f t="shared" si="2"/>
        <v>6</v>
      </c>
      <c r="BC15" s="41">
        <f t="shared" si="3"/>
        <v>6</v>
      </c>
      <c r="BD15" s="41">
        <f t="shared" si="4"/>
        <v>12</v>
      </c>
      <c r="BE15" s="42">
        <f t="shared" si="5"/>
        <v>50</v>
      </c>
    </row>
    <row r="16">
      <c r="A16" s="23">
        <v>12.0</v>
      </c>
      <c r="B16" s="24" t="s">
        <v>51</v>
      </c>
      <c r="C16" s="25" t="s">
        <v>52</v>
      </c>
      <c r="D16" s="26" t="s">
        <v>28</v>
      </c>
      <c r="E16" s="26" t="s">
        <v>28</v>
      </c>
      <c r="F16" s="26" t="s">
        <v>28</v>
      </c>
      <c r="G16" s="27" t="s">
        <v>22</v>
      </c>
      <c r="H16" s="26" t="s">
        <v>28</v>
      </c>
      <c r="I16" s="26" t="s">
        <v>28</v>
      </c>
      <c r="J16" s="26" t="s">
        <v>28</v>
      </c>
      <c r="K16" s="26" t="s">
        <v>28</v>
      </c>
      <c r="L16" s="26" t="s">
        <v>28</v>
      </c>
      <c r="M16" s="26" t="s">
        <v>28</v>
      </c>
      <c r="N16" s="26" t="s">
        <v>28</v>
      </c>
      <c r="O16" s="26" t="s">
        <v>28</v>
      </c>
      <c r="P16" s="26" t="s">
        <v>28</v>
      </c>
      <c r="Q16" s="26" t="s">
        <v>28</v>
      </c>
      <c r="R16" s="26" t="s">
        <v>28</v>
      </c>
      <c r="S16" s="26" t="s">
        <v>28</v>
      </c>
      <c r="T16" s="30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2">
        <f t="shared" si="1"/>
        <v>0</v>
      </c>
      <c r="BB16" s="32">
        <f t="shared" si="2"/>
        <v>1</v>
      </c>
      <c r="BC16" s="32">
        <f t="shared" si="3"/>
        <v>15</v>
      </c>
      <c r="BD16" s="32">
        <f t="shared" si="4"/>
        <v>16</v>
      </c>
      <c r="BE16" s="33">
        <f t="shared" si="5"/>
        <v>93.75</v>
      </c>
    </row>
    <row r="17">
      <c r="A17" s="23">
        <v>13.0</v>
      </c>
      <c r="B17" s="24" t="s">
        <v>57</v>
      </c>
      <c r="C17" s="25" t="s">
        <v>58</v>
      </c>
      <c r="D17" s="26" t="s">
        <v>28</v>
      </c>
      <c r="E17" s="26" t="s">
        <v>28</v>
      </c>
      <c r="F17" s="26" t="s">
        <v>28</v>
      </c>
      <c r="G17" s="26" t="s">
        <v>28</v>
      </c>
      <c r="H17" s="26" t="s">
        <v>28</v>
      </c>
      <c r="I17" s="26" t="s">
        <v>28</v>
      </c>
      <c r="J17" s="26" t="s">
        <v>28</v>
      </c>
      <c r="K17" s="26" t="s">
        <v>28</v>
      </c>
      <c r="L17" s="26" t="s">
        <v>28</v>
      </c>
      <c r="M17" s="26" t="s">
        <v>28</v>
      </c>
      <c r="N17" s="26" t="s">
        <v>28</v>
      </c>
      <c r="O17" s="26" t="s">
        <v>28</v>
      </c>
      <c r="P17" s="26" t="s">
        <v>28</v>
      </c>
      <c r="Q17" s="26" t="s">
        <v>28</v>
      </c>
      <c r="R17" s="26" t="s">
        <v>28</v>
      </c>
      <c r="S17" s="26" t="s">
        <v>28</v>
      </c>
      <c r="T17" s="28"/>
      <c r="U17" s="29"/>
      <c r="V17" s="29"/>
      <c r="W17" s="29"/>
      <c r="X17" s="29"/>
      <c r="Y17" s="29"/>
      <c r="Z17" s="29"/>
      <c r="AA17" s="29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2">
        <f t="shared" si="1"/>
        <v>0</v>
      </c>
      <c r="BB17" s="32">
        <f t="shared" si="2"/>
        <v>0</v>
      </c>
      <c r="BC17" s="32">
        <f t="shared" si="3"/>
        <v>16</v>
      </c>
      <c r="BD17" s="32">
        <f t="shared" si="4"/>
        <v>16</v>
      </c>
      <c r="BE17" s="33">
        <f t="shared" si="5"/>
        <v>100</v>
      </c>
    </row>
    <row r="18">
      <c r="A18" s="23">
        <v>14.0</v>
      </c>
      <c r="B18" s="24" t="s">
        <v>59</v>
      </c>
      <c r="C18" s="25" t="s">
        <v>60</v>
      </c>
      <c r="D18" s="26" t="s">
        <v>28</v>
      </c>
      <c r="E18" s="26" t="s">
        <v>28</v>
      </c>
      <c r="F18" s="26" t="s">
        <v>28</v>
      </c>
      <c r="G18" s="26" t="s">
        <v>28</v>
      </c>
      <c r="H18" s="26" t="s">
        <v>28</v>
      </c>
      <c r="I18" s="26" t="s">
        <v>28</v>
      </c>
      <c r="J18" s="26" t="s">
        <v>28</v>
      </c>
      <c r="K18" s="26" t="s">
        <v>28</v>
      </c>
      <c r="L18" s="26" t="s">
        <v>28</v>
      </c>
      <c r="M18" s="26" t="s">
        <v>28</v>
      </c>
      <c r="N18" s="26" t="s">
        <v>28</v>
      </c>
      <c r="O18" s="26" t="s">
        <v>28</v>
      </c>
      <c r="P18" s="26" t="s">
        <v>28</v>
      </c>
      <c r="Q18" s="26" t="s">
        <v>28</v>
      </c>
      <c r="R18" s="26" t="s">
        <v>28</v>
      </c>
      <c r="S18" s="26" t="s">
        <v>28</v>
      </c>
      <c r="T18" s="28"/>
      <c r="U18" s="29"/>
      <c r="V18" s="29"/>
      <c r="W18" s="29"/>
      <c r="X18" s="29"/>
      <c r="Y18" s="29"/>
      <c r="Z18" s="29"/>
      <c r="AA18" s="29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2">
        <f t="shared" si="1"/>
        <v>0</v>
      </c>
      <c r="BB18" s="32">
        <f t="shared" si="2"/>
        <v>0</v>
      </c>
      <c r="BC18" s="32">
        <f t="shared" si="3"/>
        <v>16</v>
      </c>
      <c r="BD18" s="32">
        <f t="shared" si="4"/>
        <v>16</v>
      </c>
      <c r="BE18" s="33">
        <f t="shared" si="5"/>
        <v>100</v>
      </c>
    </row>
    <row r="19">
      <c r="A19" s="23">
        <v>15.0</v>
      </c>
      <c r="B19" s="24" t="s">
        <v>61</v>
      </c>
      <c r="C19" s="25" t="s">
        <v>62</v>
      </c>
      <c r="D19" s="26" t="s">
        <v>28</v>
      </c>
      <c r="E19" s="26" t="s">
        <v>28</v>
      </c>
      <c r="F19" s="26" t="s">
        <v>28</v>
      </c>
      <c r="G19" s="26" t="s">
        <v>28</v>
      </c>
      <c r="H19" s="26" t="s">
        <v>28</v>
      </c>
      <c r="I19" s="26" t="s">
        <v>28</v>
      </c>
      <c r="J19" s="26" t="s">
        <v>28</v>
      </c>
      <c r="K19" s="26" t="s">
        <v>28</v>
      </c>
      <c r="L19" s="26" t="s">
        <v>28</v>
      </c>
      <c r="M19" s="26" t="s">
        <v>28</v>
      </c>
      <c r="N19" s="26" t="s">
        <v>28</v>
      </c>
      <c r="O19" s="26" t="s">
        <v>28</v>
      </c>
      <c r="P19" s="26" t="s">
        <v>28</v>
      </c>
      <c r="Q19" s="26" t="s">
        <v>28</v>
      </c>
      <c r="R19" s="26" t="s">
        <v>28</v>
      </c>
      <c r="S19" s="26" t="s">
        <v>28</v>
      </c>
      <c r="T19" s="28"/>
      <c r="U19" s="29"/>
      <c r="V19" s="29"/>
      <c r="W19" s="29"/>
      <c r="X19" s="29"/>
      <c r="Y19" s="29"/>
      <c r="Z19" s="29"/>
      <c r="AA19" s="29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2">
        <f t="shared" si="1"/>
        <v>0</v>
      </c>
      <c r="BB19" s="32">
        <f t="shared" si="2"/>
        <v>0</v>
      </c>
      <c r="BC19" s="32">
        <f t="shared" si="3"/>
        <v>16</v>
      </c>
      <c r="BD19" s="32">
        <f t="shared" si="4"/>
        <v>16</v>
      </c>
      <c r="BE19" s="33">
        <f t="shared" si="5"/>
        <v>100</v>
      </c>
    </row>
    <row r="20">
      <c r="A20" s="95">
        <v>16.0</v>
      </c>
      <c r="B20" s="47" t="s">
        <v>63</v>
      </c>
      <c r="C20" s="85" t="s">
        <v>64</v>
      </c>
      <c r="D20" s="96"/>
      <c r="E20" s="96"/>
      <c r="F20" s="96"/>
      <c r="G20" s="96"/>
      <c r="H20" s="96"/>
      <c r="I20" s="96"/>
      <c r="J20" s="82"/>
      <c r="K20" s="82"/>
      <c r="L20" s="82"/>
      <c r="M20" s="82"/>
      <c r="N20" s="96"/>
      <c r="O20" s="96"/>
      <c r="P20" s="96"/>
      <c r="Q20" s="96"/>
      <c r="R20" s="43"/>
      <c r="S20" s="26" t="s">
        <v>28</v>
      </c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32">
        <f t="shared" si="1"/>
        <v>0</v>
      </c>
      <c r="BB20" s="32">
        <f t="shared" si="2"/>
        <v>0</v>
      </c>
      <c r="BC20" s="32">
        <f t="shared" si="3"/>
        <v>1</v>
      </c>
      <c r="BD20" s="32">
        <f t="shared" si="4"/>
        <v>1</v>
      </c>
      <c r="BE20" s="33">
        <f t="shared" si="5"/>
        <v>100</v>
      </c>
    </row>
    <row r="21">
      <c r="A21" s="23">
        <v>17.0</v>
      </c>
      <c r="B21" s="24" t="s">
        <v>65</v>
      </c>
      <c r="C21" s="25" t="s">
        <v>66</v>
      </c>
      <c r="D21" s="26" t="s">
        <v>28</v>
      </c>
      <c r="E21" s="26" t="s">
        <v>28</v>
      </c>
      <c r="F21" s="26" t="s">
        <v>28</v>
      </c>
      <c r="G21" s="26" t="s">
        <v>28</v>
      </c>
      <c r="H21" s="26" t="s">
        <v>28</v>
      </c>
      <c r="I21" s="26" t="s">
        <v>28</v>
      </c>
      <c r="J21" s="26" t="s">
        <v>28</v>
      </c>
      <c r="K21" s="26" t="s">
        <v>28</v>
      </c>
      <c r="L21" s="26" t="s">
        <v>28</v>
      </c>
      <c r="M21" s="26" t="s">
        <v>28</v>
      </c>
      <c r="N21" s="26" t="s">
        <v>28</v>
      </c>
      <c r="O21" s="26" t="s">
        <v>28</v>
      </c>
      <c r="P21" s="26" t="s">
        <v>28</v>
      </c>
      <c r="Q21" s="26" t="s">
        <v>28</v>
      </c>
      <c r="R21" s="26" t="s">
        <v>28</v>
      </c>
      <c r="S21" s="26" t="s">
        <v>28</v>
      </c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32">
        <f t="shared" si="1"/>
        <v>0</v>
      </c>
      <c r="BB21" s="32">
        <f t="shared" si="2"/>
        <v>0</v>
      </c>
      <c r="BC21" s="32">
        <f t="shared" si="3"/>
        <v>16</v>
      </c>
      <c r="BD21" s="32">
        <f t="shared" si="4"/>
        <v>16</v>
      </c>
      <c r="BE21" s="33">
        <f t="shared" si="5"/>
        <v>100</v>
      </c>
    </row>
    <row r="22">
      <c r="A22" s="23">
        <v>18.0</v>
      </c>
      <c r="B22" s="24" t="s">
        <v>67</v>
      </c>
      <c r="C22" s="25" t="s">
        <v>68</v>
      </c>
      <c r="D22" s="26" t="s">
        <v>28</v>
      </c>
      <c r="E22" s="26" t="s">
        <v>28</v>
      </c>
      <c r="F22" s="27" t="s">
        <v>22</v>
      </c>
      <c r="G22" s="26" t="s">
        <v>28</v>
      </c>
      <c r="H22" s="26" t="s">
        <v>28</v>
      </c>
      <c r="I22" s="26" t="s">
        <v>28</v>
      </c>
      <c r="J22" s="27" t="s">
        <v>22</v>
      </c>
      <c r="K22" s="26" t="s">
        <v>28</v>
      </c>
      <c r="L22" s="27" t="s">
        <v>22</v>
      </c>
      <c r="M22" s="26" t="s">
        <v>28</v>
      </c>
      <c r="N22" s="26" t="s">
        <v>28</v>
      </c>
      <c r="O22" s="26" t="s">
        <v>28</v>
      </c>
      <c r="P22" s="26" t="s">
        <v>28</v>
      </c>
      <c r="Q22" s="26" t="s">
        <v>28</v>
      </c>
      <c r="R22" s="26" t="s">
        <v>28</v>
      </c>
      <c r="S22" s="26" t="s">
        <v>28</v>
      </c>
      <c r="T22" s="28"/>
      <c r="U22" s="29"/>
      <c r="V22" s="29"/>
      <c r="W22" s="29"/>
      <c r="X22" s="29"/>
      <c r="Y22" s="29"/>
      <c r="Z22" s="29"/>
      <c r="AA22" s="29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2">
        <f t="shared" si="1"/>
        <v>0</v>
      </c>
      <c r="BB22" s="32">
        <f t="shared" si="2"/>
        <v>3</v>
      </c>
      <c r="BC22" s="32">
        <f t="shared" si="3"/>
        <v>13</v>
      </c>
      <c r="BD22" s="32">
        <f t="shared" si="4"/>
        <v>16</v>
      </c>
      <c r="BE22" s="33">
        <f t="shared" si="5"/>
        <v>81.25</v>
      </c>
    </row>
    <row r="23">
      <c r="A23" s="23">
        <v>19.0</v>
      </c>
      <c r="B23" s="24" t="s">
        <v>69</v>
      </c>
      <c r="C23" s="25" t="s">
        <v>70</v>
      </c>
      <c r="D23" s="26" t="s">
        <v>28</v>
      </c>
      <c r="E23" s="26" t="s">
        <v>28</v>
      </c>
      <c r="F23" s="27" t="s">
        <v>22</v>
      </c>
      <c r="G23" s="27" t="s">
        <v>22</v>
      </c>
      <c r="H23" s="27" t="s">
        <v>22</v>
      </c>
      <c r="I23" s="27" t="s">
        <v>22</v>
      </c>
      <c r="J23" s="27" t="s">
        <v>22</v>
      </c>
      <c r="K23" s="26" t="s">
        <v>28</v>
      </c>
      <c r="L23" s="26" t="s">
        <v>28</v>
      </c>
      <c r="M23" s="26" t="s">
        <v>28</v>
      </c>
      <c r="N23" s="26" t="s">
        <v>28</v>
      </c>
      <c r="O23" s="26" t="s">
        <v>28</v>
      </c>
      <c r="P23" s="26" t="s">
        <v>28</v>
      </c>
      <c r="Q23" s="26" t="s">
        <v>28</v>
      </c>
      <c r="R23" s="26" t="s">
        <v>28</v>
      </c>
      <c r="S23" s="26" t="s">
        <v>28</v>
      </c>
      <c r="T23" s="28"/>
      <c r="U23" s="29"/>
      <c r="V23" s="29"/>
      <c r="W23" s="29"/>
      <c r="X23" s="29"/>
      <c r="Y23" s="29"/>
      <c r="Z23" s="29"/>
      <c r="AA23" s="29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2">
        <f t="shared" si="1"/>
        <v>0</v>
      </c>
      <c r="BB23" s="32">
        <f t="shared" si="2"/>
        <v>5</v>
      </c>
      <c r="BC23" s="32">
        <f t="shared" si="3"/>
        <v>11</v>
      </c>
      <c r="BD23" s="32">
        <f t="shared" si="4"/>
        <v>16</v>
      </c>
      <c r="BE23" s="33">
        <f t="shared" si="5"/>
        <v>68.75</v>
      </c>
    </row>
    <row r="24">
      <c r="A24" s="23">
        <v>20.0</v>
      </c>
      <c r="B24" s="24" t="s">
        <v>71</v>
      </c>
      <c r="C24" s="25" t="s">
        <v>72</v>
      </c>
      <c r="D24" s="26" t="s">
        <v>28</v>
      </c>
      <c r="E24" s="26" t="s">
        <v>28</v>
      </c>
      <c r="F24" s="26" t="s">
        <v>28</v>
      </c>
      <c r="G24" s="26" t="s">
        <v>28</v>
      </c>
      <c r="H24" s="26" t="s">
        <v>28</v>
      </c>
      <c r="I24" s="26" t="s">
        <v>28</v>
      </c>
      <c r="J24" s="27" t="s">
        <v>22</v>
      </c>
      <c r="K24" s="26" t="s">
        <v>28</v>
      </c>
      <c r="L24" s="26" t="s">
        <v>28</v>
      </c>
      <c r="M24" s="26" t="s">
        <v>28</v>
      </c>
      <c r="N24" s="26" t="s">
        <v>28</v>
      </c>
      <c r="O24" s="26" t="s">
        <v>28</v>
      </c>
      <c r="P24" s="26" t="s">
        <v>28</v>
      </c>
      <c r="Q24" s="26" t="s">
        <v>28</v>
      </c>
      <c r="R24" s="26" t="s">
        <v>28</v>
      </c>
      <c r="S24" s="26" t="s">
        <v>28</v>
      </c>
      <c r="T24" s="28"/>
      <c r="U24" s="29"/>
      <c r="V24" s="29"/>
      <c r="W24" s="29"/>
      <c r="X24" s="29"/>
      <c r="Y24" s="29"/>
      <c r="Z24" s="29"/>
      <c r="AA24" s="29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2">
        <f t="shared" si="1"/>
        <v>0</v>
      </c>
      <c r="BB24" s="32">
        <f t="shared" si="2"/>
        <v>1</v>
      </c>
      <c r="BC24" s="32">
        <f t="shared" si="3"/>
        <v>15</v>
      </c>
      <c r="BD24" s="32">
        <f t="shared" si="4"/>
        <v>16</v>
      </c>
      <c r="BE24" s="33">
        <f t="shared" si="5"/>
        <v>93.75</v>
      </c>
    </row>
    <row r="25">
      <c r="A25" s="23">
        <v>21.0</v>
      </c>
      <c r="B25" s="47" t="s">
        <v>73</v>
      </c>
      <c r="C25" s="48" t="s">
        <v>74</v>
      </c>
      <c r="D25" s="26" t="s">
        <v>28</v>
      </c>
      <c r="E25" s="26" t="s">
        <v>28</v>
      </c>
      <c r="F25" s="27" t="s">
        <v>22</v>
      </c>
      <c r="G25" s="26" t="s">
        <v>28</v>
      </c>
      <c r="H25" s="26" t="s">
        <v>28</v>
      </c>
      <c r="I25" s="26" t="s">
        <v>28</v>
      </c>
      <c r="J25" s="27" t="s">
        <v>22</v>
      </c>
      <c r="K25" s="26" t="s">
        <v>28</v>
      </c>
      <c r="L25" s="26" t="s">
        <v>28</v>
      </c>
      <c r="M25" s="26" t="s">
        <v>28</v>
      </c>
      <c r="N25" s="27" t="s">
        <v>22</v>
      </c>
      <c r="O25" s="26" t="s">
        <v>28</v>
      </c>
      <c r="P25" s="27" t="s">
        <v>22</v>
      </c>
      <c r="Q25" s="26" t="s">
        <v>28</v>
      </c>
      <c r="R25" s="26" t="s">
        <v>28</v>
      </c>
      <c r="S25" s="26" t="s">
        <v>28</v>
      </c>
      <c r="T25" s="28"/>
      <c r="U25" s="29"/>
      <c r="V25" s="29"/>
      <c r="W25" s="29"/>
      <c r="X25" s="29"/>
      <c r="Y25" s="29"/>
      <c r="Z25" s="29"/>
      <c r="AA25" s="29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2">
        <f t="shared" si="1"/>
        <v>0</v>
      </c>
      <c r="BB25" s="32">
        <f t="shared" si="2"/>
        <v>4</v>
      </c>
      <c r="BC25" s="32">
        <f t="shared" si="3"/>
        <v>12</v>
      </c>
      <c r="BD25" s="32">
        <f t="shared" si="4"/>
        <v>16</v>
      </c>
      <c r="BE25" s="33">
        <f t="shared" si="5"/>
        <v>75</v>
      </c>
    </row>
    <row r="26">
      <c r="A26" s="23">
        <v>22.0</v>
      </c>
      <c r="B26" s="24" t="s">
        <v>75</v>
      </c>
      <c r="C26" s="25" t="s">
        <v>76</v>
      </c>
      <c r="D26" s="26" t="s">
        <v>28</v>
      </c>
      <c r="E26" s="26" t="s">
        <v>28</v>
      </c>
      <c r="F26" s="26" t="s">
        <v>28</v>
      </c>
      <c r="G26" s="27" t="s">
        <v>22</v>
      </c>
      <c r="H26" s="26" t="s">
        <v>28</v>
      </c>
      <c r="I26" s="26" t="s">
        <v>28</v>
      </c>
      <c r="J26" s="26" t="s">
        <v>28</v>
      </c>
      <c r="K26" s="27" t="s">
        <v>22</v>
      </c>
      <c r="L26" s="26" t="s">
        <v>28</v>
      </c>
      <c r="M26" s="27" t="s">
        <v>22</v>
      </c>
      <c r="N26" s="26" t="s">
        <v>28</v>
      </c>
      <c r="O26" s="26" t="s">
        <v>28</v>
      </c>
      <c r="P26" s="26" t="s">
        <v>28</v>
      </c>
      <c r="Q26" s="27" t="s">
        <v>22</v>
      </c>
      <c r="R26" s="26" t="s">
        <v>28</v>
      </c>
      <c r="S26" s="26" t="s">
        <v>28</v>
      </c>
      <c r="T26" s="28"/>
      <c r="U26" s="29"/>
      <c r="V26" s="29"/>
      <c r="W26" s="29"/>
      <c r="X26" s="29"/>
      <c r="Y26" s="29"/>
      <c r="Z26" s="29"/>
      <c r="AA26" s="29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2">
        <f t="shared" si="1"/>
        <v>0</v>
      </c>
      <c r="BB26" s="32">
        <f t="shared" si="2"/>
        <v>4</v>
      </c>
      <c r="BC26" s="32">
        <f t="shared" si="3"/>
        <v>12</v>
      </c>
      <c r="BD26" s="32">
        <f t="shared" si="4"/>
        <v>16</v>
      </c>
      <c r="BE26" s="33">
        <f t="shared" si="5"/>
        <v>75</v>
      </c>
    </row>
    <row r="27">
      <c r="A27" s="23">
        <v>23.0</v>
      </c>
      <c r="B27" s="24" t="s">
        <v>79</v>
      </c>
      <c r="C27" s="25" t="s">
        <v>80</v>
      </c>
      <c r="D27" s="26" t="s">
        <v>28</v>
      </c>
      <c r="E27" s="26" t="s">
        <v>28</v>
      </c>
      <c r="F27" s="26" t="s">
        <v>28</v>
      </c>
      <c r="G27" s="26" t="s">
        <v>28</v>
      </c>
      <c r="H27" s="26" t="s">
        <v>28</v>
      </c>
      <c r="I27" s="26" t="s">
        <v>28</v>
      </c>
      <c r="J27" s="27" t="s">
        <v>22</v>
      </c>
      <c r="K27" s="26" t="s">
        <v>28</v>
      </c>
      <c r="L27" s="27" t="s">
        <v>22</v>
      </c>
      <c r="M27" s="26" t="s">
        <v>28</v>
      </c>
      <c r="N27" s="26" t="s">
        <v>28</v>
      </c>
      <c r="O27" s="26" t="s">
        <v>28</v>
      </c>
      <c r="P27" s="26" t="s">
        <v>28</v>
      </c>
      <c r="Q27" s="26" t="s">
        <v>28</v>
      </c>
      <c r="R27" s="26" t="s">
        <v>28</v>
      </c>
      <c r="S27" s="26" t="s">
        <v>28</v>
      </c>
      <c r="T27" s="28"/>
      <c r="U27" s="29"/>
      <c r="V27" s="29"/>
      <c r="W27" s="29"/>
      <c r="X27" s="29"/>
      <c r="Y27" s="29"/>
      <c r="Z27" s="29"/>
      <c r="AA27" s="29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2">
        <f t="shared" si="1"/>
        <v>0</v>
      </c>
      <c r="BB27" s="32">
        <f t="shared" si="2"/>
        <v>2</v>
      </c>
      <c r="BC27" s="32">
        <f t="shared" si="3"/>
        <v>14</v>
      </c>
      <c r="BD27" s="32">
        <f t="shared" si="4"/>
        <v>16</v>
      </c>
      <c r="BE27" s="33">
        <f t="shared" si="5"/>
        <v>87.5</v>
      </c>
    </row>
    <row r="28">
      <c r="A28" s="23">
        <v>24.0</v>
      </c>
      <c r="B28" s="24" t="s">
        <v>81</v>
      </c>
      <c r="C28" s="25" t="s">
        <v>82</v>
      </c>
      <c r="D28" s="26" t="s">
        <v>28</v>
      </c>
      <c r="E28" s="26" t="s">
        <v>28</v>
      </c>
      <c r="F28" s="26" t="s">
        <v>28</v>
      </c>
      <c r="G28" s="27" t="s">
        <v>22</v>
      </c>
      <c r="H28" s="26" t="s">
        <v>28</v>
      </c>
      <c r="I28" s="26" t="s">
        <v>28</v>
      </c>
      <c r="J28" s="26" t="s">
        <v>28</v>
      </c>
      <c r="K28" s="26" t="s">
        <v>28</v>
      </c>
      <c r="L28" s="26" t="s">
        <v>28</v>
      </c>
      <c r="M28" s="26" t="s">
        <v>28</v>
      </c>
      <c r="N28" s="26" t="s">
        <v>28</v>
      </c>
      <c r="O28" s="27" t="s">
        <v>22</v>
      </c>
      <c r="P28" s="26" t="s">
        <v>28</v>
      </c>
      <c r="Q28" s="26" t="s">
        <v>28</v>
      </c>
      <c r="R28" s="26" t="s">
        <v>28</v>
      </c>
      <c r="S28" s="26" t="s">
        <v>28</v>
      </c>
      <c r="T28" s="28"/>
      <c r="U28" s="29"/>
      <c r="V28" s="29"/>
      <c r="W28" s="29"/>
      <c r="X28" s="29"/>
      <c r="Y28" s="29"/>
      <c r="Z28" s="29"/>
      <c r="AA28" s="29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2">
        <f t="shared" si="1"/>
        <v>0</v>
      </c>
      <c r="BB28" s="32">
        <f t="shared" si="2"/>
        <v>2</v>
      </c>
      <c r="BC28" s="32">
        <f t="shared" si="3"/>
        <v>14</v>
      </c>
      <c r="BD28" s="32">
        <f t="shared" si="4"/>
        <v>16</v>
      </c>
      <c r="BE28" s="33">
        <f t="shared" si="5"/>
        <v>87.5</v>
      </c>
    </row>
    <row r="29">
      <c r="A29" s="23">
        <v>25.0</v>
      </c>
      <c r="B29" s="24" t="s">
        <v>83</v>
      </c>
      <c r="C29" s="25" t="s">
        <v>84</v>
      </c>
      <c r="D29" s="26" t="s">
        <v>28</v>
      </c>
      <c r="E29" s="26" t="s">
        <v>28</v>
      </c>
      <c r="F29" s="26" t="s">
        <v>28</v>
      </c>
      <c r="G29" s="26" t="s">
        <v>28</v>
      </c>
      <c r="H29" s="27" t="s">
        <v>22</v>
      </c>
      <c r="I29" s="27" t="s">
        <v>22</v>
      </c>
      <c r="J29" s="26" t="s">
        <v>28</v>
      </c>
      <c r="K29" s="26" t="s">
        <v>28</v>
      </c>
      <c r="L29" s="27" t="s">
        <v>22</v>
      </c>
      <c r="M29" s="26" t="s">
        <v>28</v>
      </c>
      <c r="N29" s="27" t="s">
        <v>22</v>
      </c>
      <c r="O29" s="26" t="s">
        <v>28</v>
      </c>
      <c r="P29" s="26" t="s">
        <v>28</v>
      </c>
      <c r="Q29" s="26" t="s">
        <v>28</v>
      </c>
      <c r="R29" s="26" t="s">
        <v>28</v>
      </c>
      <c r="S29" s="26" t="s">
        <v>28</v>
      </c>
      <c r="T29" s="28"/>
      <c r="U29" s="29"/>
      <c r="V29" s="29"/>
      <c r="W29" s="29"/>
      <c r="X29" s="29"/>
      <c r="Y29" s="29"/>
      <c r="Z29" s="29"/>
      <c r="AA29" s="29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2">
        <f t="shared" si="1"/>
        <v>0</v>
      </c>
      <c r="BB29" s="32">
        <f t="shared" si="2"/>
        <v>4</v>
      </c>
      <c r="BC29" s="32">
        <f t="shared" si="3"/>
        <v>12</v>
      </c>
      <c r="BD29" s="32">
        <f t="shared" si="4"/>
        <v>16</v>
      </c>
      <c r="BE29" s="33">
        <f t="shared" si="5"/>
        <v>75</v>
      </c>
    </row>
    <row r="30">
      <c r="A30" s="23">
        <v>26.0</v>
      </c>
      <c r="B30" s="24" t="s">
        <v>85</v>
      </c>
      <c r="C30" s="25" t="s">
        <v>86</v>
      </c>
      <c r="D30" s="26" t="s">
        <v>28</v>
      </c>
      <c r="E30" s="26" t="s">
        <v>28</v>
      </c>
      <c r="F30" s="26" t="s">
        <v>28</v>
      </c>
      <c r="G30" s="26" t="s">
        <v>28</v>
      </c>
      <c r="H30" s="26" t="s">
        <v>28</v>
      </c>
      <c r="I30" s="26" t="s">
        <v>28</v>
      </c>
      <c r="J30" s="26" t="s">
        <v>28</v>
      </c>
      <c r="K30" s="26" t="s">
        <v>28</v>
      </c>
      <c r="L30" s="26" t="s">
        <v>28</v>
      </c>
      <c r="M30" s="26" t="s">
        <v>28</v>
      </c>
      <c r="N30" s="26" t="s">
        <v>28</v>
      </c>
      <c r="O30" s="26" t="s">
        <v>28</v>
      </c>
      <c r="P30" s="26" t="s">
        <v>28</v>
      </c>
      <c r="Q30" s="27" t="s">
        <v>22</v>
      </c>
      <c r="R30" s="26" t="s">
        <v>28</v>
      </c>
      <c r="S30" s="27" t="s">
        <v>22</v>
      </c>
      <c r="T30" s="28"/>
      <c r="U30" s="29"/>
      <c r="V30" s="29"/>
      <c r="W30" s="29"/>
      <c r="X30" s="29"/>
      <c r="Y30" s="29"/>
      <c r="Z30" s="29"/>
      <c r="AA30" s="29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2">
        <f t="shared" si="1"/>
        <v>0</v>
      </c>
      <c r="BB30" s="32">
        <f t="shared" si="2"/>
        <v>2</v>
      </c>
      <c r="BC30" s="32">
        <f t="shared" si="3"/>
        <v>14</v>
      </c>
      <c r="BD30" s="32">
        <f t="shared" si="4"/>
        <v>16</v>
      </c>
      <c r="BE30" s="33">
        <f t="shared" si="5"/>
        <v>87.5</v>
      </c>
    </row>
    <row r="31">
      <c r="A31" s="23">
        <v>27.0</v>
      </c>
      <c r="B31" s="24" t="s">
        <v>87</v>
      </c>
      <c r="C31" s="25" t="s">
        <v>88</v>
      </c>
      <c r="D31" s="26" t="s">
        <v>28</v>
      </c>
      <c r="E31" s="26" t="s">
        <v>28</v>
      </c>
      <c r="F31" s="26" t="s">
        <v>28</v>
      </c>
      <c r="G31" s="26" t="s">
        <v>28</v>
      </c>
      <c r="H31" s="26" t="s">
        <v>28</v>
      </c>
      <c r="I31" s="26" t="s">
        <v>28</v>
      </c>
      <c r="J31" s="26" t="s">
        <v>28</v>
      </c>
      <c r="K31" s="26" t="s">
        <v>28</v>
      </c>
      <c r="L31" s="26" t="s">
        <v>28</v>
      </c>
      <c r="M31" s="26" t="s">
        <v>28</v>
      </c>
      <c r="N31" s="26" t="s">
        <v>28</v>
      </c>
      <c r="O31" s="26" t="s">
        <v>28</v>
      </c>
      <c r="P31" s="26" t="s">
        <v>28</v>
      </c>
      <c r="Q31" s="26" t="s">
        <v>28</v>
      </c>
      <c r="R31" s="26" t="s">
        <v>28</v>
      </c>
      <c r="S31" s="26" t="s">
        <v>28</v>
      </c>
      <c r="T31" s="29"/>
      <c r="U31" s="29"/>
      <c r="V31" s="29"/>
      <c r="W31" s="29"/>
      <c r="X31" s="29"/>
      <c r="Y31" s="29"/>
      <c r="Z31" s="29"/>
      <c r="AA31" s="29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2">
        <f t="shared" si="1"/>
        <v>0</v>
      </c>
      <c r="BB31" s="32">
        <f t="shared" si="2"/>
        <v>0</v>
      </c>
      <c r="BC31" s="32">
        <f t="shared" si="3"/>
        <v>16</v>
      </c>
      <c r="BD31" s="32">
        <f t="shared" si="4"/>
        <v>16</v>
      </c>
      <c r="BE31" s="33">
        <f t="shared" si="5"/>
        <v>100</v>
      </c>
    </row>
    <row r="32">
      <c r="A32" s="23">
        <v>28.0</v>
      </c>
      <c r="B32" s="24" t="s">
        <v>91</v>
      </c>
      <c r="C32" s="25" t="s">
        <v>92</v>
      </c>
      <c r="D32" s="26" t="s">
        <v>28</v>
      </c>
      <c r="E32" s="26" t="s">
        <v>28</v>
      </c>
      <c r="F32" s="27" t="s">
        <v>22</v>
      </c>
      <c r="G32" s="26" t="s">
        <v>28</v>
      </c>
      <c r="H32" s="26" t="s">
        <v>28</v>
      </c>
      <c r="I32" s="26" t="s">
        <v>28</v>
      </c>
      <c r="J32" s="26" t="s">
        <v>28</v>
      </c>
      <c r="K32" s="26" t="s">
        <v>28</v>
      </c>
      <c r="L32" s="26" t="s">
        <v>28</v>
      </c>
      <c r="M32" s="26" t="s">
        <v>28</v>
      </c>
      <c r="N32" s="26" t="s">
        <v>28</v>
      </c>
      <c r="O32" s="26" t="s">
        <v>28</v>
      </c>
      <c r="P32" s="26" t="s">
        <v>28</v>
      </c>
      <c r="Q32" s="26" t="s">
        <v>28</v>
      </c>
      <c r="R32" s="26" t="s">
        <v>28</v>
      </c>
      <c r="S32" s="26" t="s">
        <v>28</v>
      </c>
      <c r="T32" s="28"/>
      <c r="U32" s="29"/>
      <c r="V32" s="29"/>
      <c r="W32" s="29"/>
      <c r="X32" s="29"/>
      <c r="Y32" s="29"/>
      <c r="Z32" s="29"/>
      <c r="AA32" s="29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2">
        <f t="shared" si="1"/>
        <v>0</v>
      </c>
      <c r="BB32" s="32">
        <f t="shared" si="2"/>
        <v>1</v>
      </c>
      <c r="BC32" s="32">
        <f t="shared" si="3"/>
        <v>15</v>
      </c>
      <c r="BD32" s="32">
        <f t="shared" si="4"/>
        <v>16</v>
      </c>
      <c r="BE32" s="33">
        <f t="shared" si="5"/>
        <v>93.75</v>
      </c>
    </row>
    <row r="33">
      <c r="A33" s="23">
        <v>29.0</v>
      </c>
      <c r="B33" s="24" t="s">
        <v>93</v>
      </c>
      <c r="C33" s="25" t="s">
        <v>94</v>
      </c>
      <c r="D33" s="26" t="s">
        <v>28</v>
      </c>
      <c r="E33" s="26" t="s">
        <v>28</v>
      </c>
      <c r="F33" s="26" t="s">
        <v>28</v>
      </c>
      <c r="G33" s="26" t="s">
        <v>28</v>
      </c>
      <c r="H33" s="26" t="s">
        <v>28</v>
      </c>
      <c r="I33" s="26" t="s">
        <v>28</v>
      </c>
      <c r="J33" s="26" t="s">
        <v>28</v>
      </c>
      <c r="K33" s="26" t="s">
        <v>28</v>
      </c>
      <c r="L33" s="26" t="s">
        <v>28</v>
      </c>
      <c r="M33" s="26" t="s">
        <v>28</v>
      </c>
      <c r="N33" s="26" t="s">
        <v>28</v>
      </c>
      <c r="O33" s="26" t="s">
        <v>28</v>
      </c>
      <c r="P33" s="26" t="s">
        <v>28</v>
      </c>
      <c r="Q33" s="26" t="s">
        <v>28</v>
      </c>
      <c r="R33" s="26" t="s">
        <v>28</v>
      </c>
      <c r="S33" s="26" t="s">
        <v>28</v>
      </c>
      <c r="T33" s="30"/>
      <c r="U33" s="29"/>
      <c r="V33" s="29"/>
      <c r="W33" s="29"/>
      <c r="X33" s="29"/>
      <c r="Y33" s="29"/>
      <c r="Z33" s="29"/>
      <c r="AA33" s="29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2">
        <f t="shared" si="1"/>
        <v>0</v>
      </c>
      <c r="BB33" s="32">
        <f t="shared" si="2"/>
        <v>0</v>
      </c>
      <c r="BC33" s="32">
        <f t="shared" si="3"/>
        <v>16</v>
      </c>
      <c r="BD33" s="32">
        <f t="shared" si="4"/>
        <v>16</v>
      </c>
      <c r="BE33" s="33">
        <f t="shared" si="5"/>
        <v>100</v>
      </c>
    </row>
    <row r="34">
      <c r="A34" s="23">
        <v>30.0</v>
      </c>
      <c r="B34" s="24" t="s">
        <v>95</v>
      </c>
      <c r="C34" s="25" t="s">
        <v>96</v>
      </c>
      <c r="D34" s="26" t="s">
        <v>28</v>
      </c>
      <c r="E34" s="26" t="s">
        <v>28</v>
      </c>
      <c r="F34" s="26" t="s">
        <v>28</v>
      </c>
      <c r="G34" s="26" t="s">
        <v>28</v>
      </c>
      <c r="H34" s="26" t="s">
        <v>28</v>
      </c>
      <c r="I34" s="26" t="s">
        <v>28</v>
      </c>
      <c r="J34" s="26" t="s">
        <v>28</v>
      </c>
      <c r="K34" s="26" t="s">
        <v>28</v>
      </c>
      <c r="L34" s="26" t="s">
        <v>28</v>
      </c>
      <c r="M34" s="26" t="s">
        <v>28</v>
      </c>
      <c r="N34" s="26" t="s">
        <v>28</v>
      </c>
      <c r="O34" s="26" t="s">
        <v>28</v>
      </c>
      <c r="P34" s="26" t="s">
        <v>28</v>
      </c>
      <c r="Q34" s="26" t="s">
        <v>28</v>
      </c>
      <c r="R34" s="26" t="s">
        <v>28</v>
      </c>
      <c r="S34" s="27" t="s">
        <v>22</v>
      </c>
      <c r="T34" s="28"/>
      <c r="U34" s="29"/>
      <c r="V34" s="29"/>
      <c r="W34" s="29"/>
      <c r="X34" s="29"/>
      <c r="Y34" s="29"/>
      <c r="Z34" s="29"/>
      <c r="AA34" s="29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2">
        <f t="shared" si="1"/>
        <v>0</v>
      </c>
      <c r="BB34" s="32">
        <f t="shared" si="2"/>
        <v>1</v>
      </c>
      <c r="BC34" s="32">
        <f t="shared" si="3"/>
        <v>15</v>
      </c>
      <c r="BD34" s="32">
        <f t="shared" si="4"/>
        <v>16</v>
      </c>
      <c r="BE34" s="33">
        <f t="shared" si="5"/>
        <v>93.75</v>
      </c>
    </row>
    <row r="35">
      <c r="A35" s="23">
        <v>31.0</v>
      </c>
      <c r="B35" s="24" t="s">
        <v>97</v>
      </c>
      <c r="C35" s="25" t="s">
        <v>98</v>
      </c>
      <c r="D35" s="26" t="s">
        <v>28</v>
      </c>
      <c r="E35" s="26" t="s">
        <v>28</v>
      </c>
      <c r="F35" s="27" t="s">
        <v>22</v>
      </c>
      <c r="G35" s="26" t="s">
        <v>28</v>
      </c>
      <c r="H35" s="26" t="s">
        <v>28</v>
      </c>
      <c r="I35" s="26" t="s">
        <v>28</v>
      </c>
      <c r="J35" s="26" t="s">
        <v>28</v>
      </c>
      <c r="K35" s="26" t="s">
        <v>28</v>
      </c>
      <c r="L35" s="26" t="s">
        <v>28</v>
      </c>
      <c r="M35" s="26" t="s">
        <v>28</v>
      </c>
      <c r="N35" s="26" t="s">
        <v>28</v>
      </c>
      <c r="O35" s="26" t="s">
        <v>28</v>
      </c>
      <c r="P35" s="26" t="s">
        <v>28</v>
      </c>
      <c r="Q35" s="26" t="s">
        <v>28</v>
      </c>
      <c r="R35" s="26" t="s">
        <v>28</v>
      </c>
      <c r="S35" s="27" t="s">
        <v>22</v>
      </c>
      <c r="T35" s="28"/>
      <c r="U35" s="29"/>
      <c r="V35" s="29"/>
      <c r="W35" s="29"/>
      <c r="X35" s="29"/>
      <c r="Y35" s="29"/>
      <c r="Z35" s="29"/>
      <c r="AA35" s="29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2">
        <f t="shared" si="1"/>
        <v>0</v>
      </c>
      <c r="BB35" s="32">
        <f t="shared" si="2"/>
        <v>2</v>
      </c>
      <c r="BC35" s="32">
        <f t="shared" si="3"/>
        <v>14</v>
      </c>
      <c r="BD35" s="32">
        <f t="shared" si="4"/>
        <v>16</v>
      </c>
      <c r="BE35" s="33">
        <f t="shared" si="5"/>
        <v>87.5</v>
      </c>
    </row>
    <row r="36">
      <c r="A36" s="23">
        <v>32.0</v>
      </c>
      <c r="B36" s="24" t="s">
        <v>101</v>
      </c>
      <c r="C36" s="25" t="s">
        <v>102</v>
      </c>
      <c r="D36" s="26" t="s">
        <v>28</v>
      </c>
      <c r="E36" s="26" t="s">
        <v>28</v>
      </c>
      <c r="F36" s="26" t="s">
        <v>28</v>
      </c>
      <c r="G36" s="26" t="s">
        <v>28</v>
      </c>
      <c r="H36" s="26" t="s">
        <v>28</v>
      </c>
      <c r="I36" s="26" t="s">
        <v>28</v>
      </c>
      <c r="J36" s="26" t="s">
        <v>28</v>
      </c>
      <c r="K36" s="26" t="s">
        <v>28</v>
      </c>
      <c r="L36" s="26" t="s">
        <v>28</v>
      </c>
      <c r="M36" s="26" t="s">
        <v>28</v>
      </c>
      <c r="N36" s="26" t="s">
        <v>28</v>
      </c>
      <c r="O36" s="26" t="s">
        <v>28</v>
      </c>
      <c r="P36" s="26" t="s">
        <v>28</v>
      </c>
      <c r="Q36" s="26" t="s">
        <v>28</v>
      </c>
      <c r="R36" s="26" t="s">
        <v>28</v>
      </c>
      <c r="S36" s="26" t="s">
        <v>28</v>
      </c>
      <c r="T36" s="28"/>
      <c r="U36" s="29"/>
      <c r="V36" s="29"/>
      <c r="W36" s="29"/>
      <c r="X36" s="29"/>
      <c r="Y36" s="29"/>
      <c r="Z36" s="29"/>
      <c r="AA36" s="29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2">
        <f t="shared" si="1"/>
        <v>0</v>
      </c>
      <c r="BB36" s="32">
        <f t="shared" si="2"/>
        <v>0</v>
      </c>
      <c r="BC36" s="32">
        <f t="shared" si="3"/>
        <v>16</v>
      </c>
      <c r="BD36" s="32">
        <f t="shared" si="4"/>
        <v>16</v>
      </c>
      <c r="BE36" s="33">
        <f t="shared" si="5"/>
        <v>100</v>
      </c>
    </row>
    <row r="37">
      <c r="A37" s="23">
        <v>33.0</v>
      </c>
      <c r="B37" s="24" t="s">
        <v>103</v>
      </c>
      <c r="C37" s="25" t="s">
        <v>104</v>
      </c>
      <c r="D37" s="26" t="s">
        <v>28</v>
      </c>
      <c r="E37" s="26" t="s">
        <v>28</v>
      </c>
      <c r="F37" s="26" t="s">
        <v>28</v>
      </c>
      <c r="G37" s="26" t="s">
        <v>28</v>
      </c>
      <c r="H37" s="26" t="s">
        <v>28</v>
      </c>
      <c r="I37" s="26" t="s">
        <v>28</v>
      </c>
      <c r="J37" s="26" t="s">
        <v>28</v>
      </c>
      <c r="K37" s="26" t="s">
        <v>28</v>
      </c>
      <c r="L37" s="26" t="s">
        <v>28</v>
      </c>
      <c r="M37" s="26" t="s">
        <v>28</v>
      </c>
      <c r="N37" s="26" t="s">
        <v>28</v>
      </c>
      <c r="O37" s="26" t="s">
        <v>28</v>
      </c>
      <c r="P37" s="26" t="s">
        <v>28</v>
      </c>
      <c r="Q37" s="26" t="s">
        <v>28</v>
      </c>
      <c r="R37" s="26" t="s">
        <v>28</v>
      </c>
      <c r="S37" s="26" t="s">
        <v>28</v>
      </c>
      <c r="T37" s="28"/>
      <c r="U37" s="29"/>
      <c r="V37" s="29"/>
      <c r="W37" s="29"/>
      <c r="X37" s="29"/>
      <c r="Y37" s="29"/>
      <c r="Z37" s="29"/>
      <c r="AA37" s="29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2">
        <f t="shared" si="1"/>
        <v>0</v>
      </c>
      <c r="BB37" s="32">
        <f t="shared" si="2"/>
        <v>0</v>
      </c>
      <c r="BC37" s="32">
        <f t="shared" si="3"/>
        <v>16</v>
      </c>
      <c r="BD37" s="32">
        <f t="shared" si="4"/>
        <v>16</v>
      </c>
      <c r="BE37" s="33">
        <f t="shared" si="5"/>
        <v>100</v>
      </c>
    </row>
    <row r="38">
      <c r="A38" s="23">
        <v>34.0</v>
      </c>
      <c r="B38" s="24" t="s">
        <v>109</v>
      </c>
      <c r="C38" s="25" t="s">
        <v>110</v>
      </c>
      <c r="D38" s="26" t="s">
        <v>28</v>
      </c>
      <c r="E38" s="26" t="s">
        <v>28</v>
      </c>
      <c r="F38" s="27" t="s">
        <v>22</v>
      </c>
      <c r="G38" s="26" t="s">
        <v>28</v>
      </c>
      <c r="H38" s="26" t="s">
        <v>28</v>
      </c>
      <c r="I38" s="26" t="s">
        <v>28</v>
      </c>
      <c r="J38" s="27" t="s">
        <v>22</v>
      </c>
      <c r="K38" s="26" t="s">
        <v>28</v>
      </c>
      <c r="L38" s="26" t="s">
        <v>28</v>
      </c>
      <c r="M38" s="26" t="s">
        <v>28</v>
      </c>
      <c r="N38" s="27" t="s">
        <v>22</v>
      </c>
      <c r="O38" s="27" t="s">
        <v>22</v>
      </c>
      <c r="P38" s="27" t="s">
        <v>22</v>
      </c>
      <c r="Q38" s="26" t="s">
        <v>28</v>
      </c>
      <c r="R38" s="26" t="s">
        <v>28</v>
      </c>
      <c r="S38" s="26" t="s">
        <v>28</v>
      </c>
      <c r="T38" s="29"/>
      <c r="U38" s="29"/>
      <c r="V38" s="29"/>
      <c r="W38" s="29"/>
      <c r="X38" s="29"/>
      <c r="Y38" s="29"/>
      <c r="Z38" s="29"/>
      <c r="AA38" s="29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2">
        <f t="shared" si="1"/>
        <v>0</v>
      </c>
      <c r="BB38" s="32">
        <f t="shared" si="2"/>
        <v>5</v>
      </c>
      <c r="BC38" s="32">
        <f t="shared" si="3"/>
        <v>11</v>
      </c>
      <c r="BD38" s="32">
        <f t="shared" si="4"/>
        <v>16</v>
      </c>
      <c r="BE38" s="33">
        <f t="shared" si="5"/>
        <v>68.75</v>
      </c>
    </row>
    <row r="39">
      <c r="A39" s="23">
        <v>35.0</v>
      </c>
      <c r="B39" s="24" t="s">
        <v>125</v>
      </c>
      <c r="C39" s="25" t="s">
        <v>126</v>
      </c>
      <c r="D39" s="27" t="s">
        <v>22</v>
      </c>
      <c r="E39" s="26" t="s">
        <v>28</v>
      </c>
      <c r="F39" s="27" t="s">
        <v>22</v>
      </c>
      <c r="G39" s="26" t="s">
        <v>28</v>
      </c>
      <c r="H39" s="26" t="s">
        <v>28</v>
      </c>
      <c r="I39" s="26" t="s">
        <v>28</v>
      </c>
      <c r="J39" s="27" t="s">
        <v>22</v>
      </c>
      <c r="K39" s="26" t="s">
        <v>28</v>
      </c>
      <c r="L39" s="26" t="s">
        <v>28</v>
      </c>
      <c r="M39" s="26" t="s">
        <v>28</v>
      </c>
      <c r="N39" s="27" t="s">
        <v>22</v>
      </c>
      <c r="O39" s="26" t="s">
        <v>28</v>
      </c>
      <c r="P39" s="26" t="s">
        <v>28</v>
      </c>
      <c r="Q39" s="26" t="s">
        <v>28</v>
      </c>
      <c r="R39" s="26" t="s">
        <v>28</v>
      </c>
      <c r="S39" s="26" t="s">
        <v>28</v>
      </c>
      <c r="T39" s="28"/>
      <c r="U39" s="29"/>
      <c r="V39" s="29"/>
      <c r="W39" s="29"/>
      <c r="X39" s="29"/>
      <c r="Y39" s="29"/>
      <c r="Z39" s="29"/>
      <c r="AA39" s="29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2">
        <f t="shared" si="1"/>
        <v>0</v>
      </c>
      <c r="BB39" s="32">
        <f t="shared" si="2"/>
        <v>4</v>
      </c>
      <c r="BC39" s="32">
        <f t="shared" si="3"/>
        <v>12</v>
      </c>
      <c r="BD39" s="32">
        <f t="shared" si="4"/>
        <v>16</v>
      </c>
      <c r="BE39" s="33">
        <f t="shared" si="5"/>
        <v>75</v>
      </c>
    </row>
    <row r="40">
      <c r="A40" s="23">
        <v>36.0</v>
      </c>
      <c r="B40" s="24" t="s">
        <v>127</v>
      </c>
      <c r="C40" s="25" t="s">
        <v>128</v>
      </c>
      <c r="D40" s="26" t="s">
        <v>28</v>
      </c>
      <c r="E40" s="26" t="s">
        <v>28</v>
      </c>
      <c r="F40" s="26" t="s">
        <v>28</v>
      </c>
      <c r="G40" s="26" t="s">
        <v>28</v>
      </c>
      <c r="H40" s="26" t="s">
        <v>28</v>
      </c>
      <c r="I40" s="26" t="s">
        <v>28</v>
      </c>
      <c r="J40" s="26" t="s">
        <v>28</v>
      </c>
      <c r="K40" s="26" t="s">
        <v>28</v>
      </c>
      <c r="L40" s="26" t="s">
        <v>28</v>
      </c>
      <c r="M40" s="26" t="s">
        <v>28</v>
      </c>
      <c r="N40" s="26" t="s">
        <v>28</v>
      </c>
      <c r="O40" s="26" t="s">
        <v>28</v>
      </c>
      <c r="P40" s="26" t="s">
        <v>28</v>
      </c>
      <c r="Q40" s="26" t="s">
        <v>28</v>
      </c>
      <c r="R40" s="26" t="s">
        <v>28</v>
      </c>
      <c r="S40" s="26" t="s">
        <v>28</v>
      </c>
      <c r="T40" s="28"/>
      <c r="U40" s="29"/>
      <c r="V40" s="29"/>
      <c r="W40" s="29"/>
      <c r="X40" s="29"/>
      <c r="Y40" s="29"/>
      <c r="Z40" s="29"/>
      <c r="AA40" s="29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2">
        <f t="shared" si="1"/>
        <v>0</v>
      </c>
      <c r="BB40" s="32">
        <f t="shared" si="2"/>
        <v>0</v>
      </c>
      <c r="BC40" s="32">
        <f t="shared" si="3"/>
        <v>16</v>
      </c>
      <c r="BD40" s="32">
        <f t="shared" si="4"/>
        <v>16</v>
      </c>
      <c r="BE40" s="33">
        <f t="shared" si="5"/>
        <v>100</v>
      </c>
    </row>
    <row r="41">
      <c r="A41" s="23">
        <v>37.0</v>
      </c>
      <c r="B41" s="24" t="s">
        <v>129</v>
      </c>
      <c r="C41" s="25" t="s">
        <v>130</v>
      </c>
      <c r="D41" s="26" t="s">
        <v>28</v>
      </c>
      <c r="E41" s="26" t="s">
        <v>28</v>
      </c>
      <c r="F41" s="27" t="s">
        <v>22</v>
      </c>
      <c r="G41" s="26" t="s">
        <v>28</v>
      </c>
      <c r="H41" s="26" t="s">
        <v>28</v>
      </c>
      <c r="I41" s="26" t="s">
        <v>28</v>
      </c>
      <c r="J41" s="27" t="s">
        <v>22</v>
      </c>
      <c r="K41" s="26" t="s">
        <v>28</v>
      </c>
      <c r="L41" s="27" t="s">
        <v>22</v>
      </c>
      <c r="M41" s="26" t="s">
        <v>28</v>
      </c>
      <c r="N41" s="27" t="s">
        <v>22</v>
      </c>
      <c r="O41" s="26" t="s">
        <v>28</v>
      </c>
      <c r="P41" s="27" t="s">
        <v>22</v>
      </c>
      <c r="Q41" s="26" t="s">
        <v>28</v>
      </c>
      <c r="R41" s="26" t="s">
        <v>28</v>
      </c>
      <c r="S41" s="27" t="s">
        <v>22</v>
      </c>
      <c r="T41" s="28"/>
      <c r="U41" s="29"/>
      <c r="V41" s="29"/>
      <c r="W41" s="29"/>
      <c r="X41" s="29"/>
      <c r="Y41" s="29"/>
      <c r="Z41" s="29"/>
      <c r="AA41" s="29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2">
        <f t="shared" si="1"/>
        <v>0</v>
      </c>
      <c r="BB41" s="32">
        <f t="shared" si="2"/>
        <v>6</v>
      </c>
      <c r="BC41" s="32">
        <f t="shared" si="3"/>
        <v>10</v>
      </c>
      <c r="BD41" s="32">
        <f t="shared" si="4"/>
        <v>16</v>
      </c>
      <c r="BE41" s="33">
        <f t="shared" si="5"/>
        <v>62.5</v>
      </c>
    </row>
    <row r="42">
      <c r="A42" s="23">
        <v>38.0</v>
      </c>
      <c r="B42" s="24" t="s">
        <v>131</v>
      </c>
      <c r="C42" s="25" t="s">
        <v>132</v>
      </c>
      <c r="D42" s="26" t="s">
        <v>28</v>
      </c>
      <c r="E42" s="26" t="s">
        <v>28</v>
      </c>
      <c r="F42" s="27" t="s">
        <v>22</v>
      </c>
      <c r="G42" s="26" t="s">
        <v>28</v>
      </c>
      <c r="H42" s="27" t="s">
        <v>22</v>
      </c>
      <c r="I42" s="26" t="s">
        <v>28</v>
      </c>
      <c r="J42" s="27" t="s">
        <v>22</v>
      </c>
      <c r="K42" s="27" t="s">
        <v>22</v>
      </c>
      <c r="L42" s="26" t="s">
        <v>28</v>
      </c>
      <c r="M42" s="26" t="s">
        <v>28</v>
      </c>
      <c r="N42" s="27" t="s">
        <v>22</v>
      </c>
      <c r="O42" s="27" t="s">
        <v>22</v>
      </c>
      <c r="P42" s="27" t="s">
        <v>22</v>
      </c>
      <c r="Q42" s="26" t="s">
        <v>28</v>
      </c>
      <c r="R42" s="27" t="s">
        <v>22</v>
      </c>
      <c r="S42" s="26" t="s">
        <v>28</v>
      </c>
      <c r="T42" s="28"/>
      <c r="U42" s="29"/>
      <c r="V42" s="29"/>
      <c r="W42" s="29"/>
      <c r="X42" s="29"/>
      <c r="Y42" s="29"/>
      <c r="Z42" s="29"/>
      <c r="AA42" s="29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2">
        <f t="shared" si="1"/>
        <v>0</v>
      </c>
      <c r="BB42" s="32">
        <f t="shared" si="2"/>
        <v>8</v>
      </c>
      <c r="BC42" s="32">
        <f t="shared" si="3"/>
        <v>8</v>
      </c>
      <c r="BD42" s="32">
        <f t="shared" si="4"/>
        <v>16</v>
      </c>
      <c r="BE42" s="33">
        <f t="shared" si="5"/>
        <v>50</v>
      </c>
    </row>
    <row r="43">
      <c r="A43" s="23">
        <v>39.0</v>
      </c>
      <c r="B43" s="24" t="s">
        <v>133</v>
      </c>
      <c r="C43" s="25" t="s">
        <v>134</v>
      </c>
      <c r="D43" s="26" t="s">
        <v>28</v>
      </c>
      <c r="E43" s="26" t="s">
        <v>28</v>
      </c>
      <c r="F43" s="26" t="s">
        <v>28</v>
      </c>
      <c r="G43" s="26" t="s">
        <v>28</v>
      </c>
      <c r="H43" s="26" t="s">
        <v>28</v>
      </c>
      <c r="I43" s="26" t="s">
        <v>28</v>
      </c>
      <c r="J43" s="26" t="s">
        <v>28</v>
      </c>
      <c r="K43" s="26" t="s">
        <v>28</v>
      </c>
      <c r="L43" s="26" t="s">
        <v>28</v>
      </c>
      <c r="M43" s="26" t="s">
        <v>28</v>
      </c>
      <c r="N43" s="26" t="s">
        <v>28</v>
      </c>
      <c r="O43" s="26" t="s">
        <v>28</v>
      </c>
      <c r="P43" s="27" t="s">
        <v>22</v>
      </c>
      <c r="Q43" s="26" t="s">
        <v>28</v>
      </c>
      <c r="R43" s="26" t="s">
        <v>28</v>
      </c>
      <c r="S43" s="26" t="s">
        <v>28</v>
      </c>
      <c r="T43" s="28"/>
      <c r="U43" s="29"/>
      <c r="V43" s="29"/>
      <c r="W43" s="29"/>
      <c r="X43" s="29"/>
      <c r="Y43" s="29"/>
      <c r="Z43" s="29"/>
      <c r="AA43" s="29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2">
        <f t="shared" si="1"/>
        <v>0</v>
      </c>
      <c r="BB43" s="32">
        <f t="shared" si="2"/>
        <v>1</v>
      </c>
      <c r="BC43" s="32">
        <f t="shared" si="3"/>
        <v>15</v>
      </c>
      <c r="BD43" s="32">
        <f t="shared" si="4"/>
        <v>16</v>
      </c>
      <c r="BE43" s="33">
        <f t="shared" si="5"/>
        <v>93.75</v>
      </c>
    </row>
    <row r="44">
      <c r="A44" s="23">
        <v>40.0</v>
      </c>
      <c r="B44" s="24" t="s">
        <v>135</v>
      </c>
      <c r="C44" s="25" t="s">
        <v>136</v>
      </c>
      <c r="D44" s="26" t="s">
        <v>28</v>
      </c>
      <c r="E44" s="26" t="s">
        <v>28</v>
      </c>
      <c r="F44" s="27" t="s">
        <v>22</v>
      </c>
      <c r="G44" s="26" t="s">
        <v>28</v>
      </c>
      <c r="H44" s="26" t="s">
        <v>28</v>
      </c>
      <c r="I44" s="26" t="s">
        <v>28</v>
      </c>
      <c r="J44" s="27" t="s">
        <v>22</v>
      </c>
      <c r="K44" s="26" t="s">
        <v>28</v>
      </c>
      <c r="L44" s="26" t="s">
        <v>28</v>
      </c>
      <c r="M44" s="26" t="s">
        <v>28</v>
      </c>
      <c r="N44" s="26" t="s">
        <v>28</v>
      </c>
      <c r="O44" s="26" t="s">
        <v>28</v>
      </c>
      <c r="P44" s="27" t="s">
        <v>22</v>
      </c>
      <c r="Q44" s="26" t="s">
        <v>28</v>
      </c>
      <c r="R44" s="26" t="s">
        <v>28</v>
      </c>
      <c r="S44" s="26" t="s">
        <v>28</v>
      </c>
      <c r="T44" s="28"/>
      <c r="U44" s="29"/>
      <c r="V44" s="29"/>
      <c r="W44" s="29"/>
      <c r="X44" s="29"/>
      <c r="Y44" s="29"/>
      <c r="Z44" s="29"/>
      <c r="AA44" s="29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2">
        <f t="shared" si="1"/>
        <v>0</v>
      </c>
      <c r="BB44" s="32">
        <f t="shared" si="2"/>
        <v>3</v>
      </c>
      <c r="BC44" s="32">
        <f t="shared" si="3"/>
        <v>13</v>
      </c>
      <c r="BD44" s="32">
        <f t="shared" si="4"/>
        <v>16</v>
      </c>
      <c r="BE44" s="33">
        <f t="shared" si="5"/>
        <v>81.25</v>
      </c>
    </row>
    <row r="45">
      <c r="A45" s="23">
        <v>41.0</v>
      </c>
      <c r="B45" s="24" t="s">
        <v>137</v>
      </c>
      <c r="C45" s="25" t="s">
        <v>138</v>
      </c>
      <c r="D45" s="26" t="s">
        <v>28</v>
      </c>
      <c r="E45" s="26" t="s">
        <v>28</v>
      </c>
      <c r="F45" s="26" t="s">
        <v>28</v>
      </c>
      <c r="G45" s="26" t="s">
        <v>28</v>
      </c>
      <c r="H45" s="26" t="s">
        <v>28</v>
      </c>
      <c r="I45" s="26" t="s">
        <v>28</v>
      </c>
      <c r="J45" s="27" t="s">
        <v>22</v>
      </c>
      <c r="K45" s="26" t="s">
        <v>28</v>
      </c>
      <c r="L45" s="26" t="s">
        <v>28</v>
      </c>
      <c r="M45" s="26" t="s">
        <v>28</v>
      </c>
      <c r="N45" s="26" t="s">
        <v>28</v>
      </c>
      <c r="O45" s="26" t="s">
        <v>28</v>
      </c>
      <c r="P45" s="26" t="s">
        <v>28</v>
      </c>
      <c r="Q45" s="26" t="s">
        <v>28</v>
      </c>
      <c r="R45" s="26" t="s">
        <v>28</v>
      </c>
      <c r="S45" s="26" t="s">
        <v>28</v>
      </c>
      <c r="T45" s="29"/>
      <c r="U45" s="29"/>
      <c r="V45" s="29"/>
      <c r="W45" s="29"/>
      <c r="X45" s="29"/>
      <c r="Y45" s="29"/>
      <c r="Z45" s="29"/>
      <c r="AA45" s="29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2">
        <f t="shared" si="1"/>
        <v>0</v>
      </c>
      <c r="BB45" s="32">
        <f t="shared" si="2"/>
        <v>1</v>
      </c>
      <c r="BC45" s="32">
        <f t="shared" si="3"/>
        <v>15</v>
      </c>
      <c r="BD45" s="32">
        <f t="shared" si="4"/>
        <v>16</v>
      </c>
      <c r="BE45" s="33">
        <f t="shared" si="5"/>
        <v>93.75</v>
      </c>
    </row>
    <row r="46">
      <c r="A46" s="23">
        <v>42.0</v>
      </c>
      <c r="B46" s="24" t="s">
        <v>139</v>
      </c>
      <c r="C46" s="25" t="s">
        <v>140</v>
      </c>
      <c r="D46" s="26" t="s">
        <v>28</v>
      </c>
      <c r="E46" s="26" t="s">
        <v>28</v>
      </c>
      <c r="F46" s="27" t="s">
        <v>22</v>
      </c>
      <c r="G46" s="26" t="s">
        <v>28</v>
      </c>
      <c r="H46" s="26" t="s">
        <v>28</v>
      </c>
      <c r="I46" s="26" t="s">
        <v>28</v>
      </c>
      <c r="J46" s="26" t="s">
        <v>28</v>
      </c>
      <c r="K46" s="26" t="s">
        <v>28</v>
      </c>
      <c r="L46" s="26" t="s">
        <v>28</v>
      </c>
      <c r="M46" s="26" t="s">
        <v>28</v>
      </c>
      <c r="N46" s="27" t="s">
        <v>22</v>
      </c>
      <c r="O46" s="26" t="s">
        <v>28</v>
      </c>
      <c r="P46" s="26" t="s">
        <v>28</v>
      </c>
      <c r="Q46" s="26" t="s">
        <v>28</v>
      </c>
      <c r="R46" s="26" t="s">
        <v>28</v>
      </c>
      <c r="S46" s="26" t="s">
        <v>28</v>
      </c>
      <c r="T46" s="29"/>
      <c r="U46" s="29"/>
      <c r="V46" s="29"/>
      <c r="W46" s="29"/>
      <c r="X46" s="29"/>
      <c r="Y46" s="29"/>
      <c r="Z46" s="29"/>
      <c r="AA46" s="29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2">
        <f t="shared" si="1"/>
        <v>0</v>
      </c>
      <c r="BB46" s="32">
        <f t="shared" si="2"/>
        <v>2</v>
      </c>
      <c r="BC46" s="32">
        <f t="shared" si="3"/>
        <v>14</v>
      </c>
      <c r="BD46" s="32">
        <f t="shared" si="4"/>
        <v>16</v>
      </c>
      <c r="BE46" s="33">
        <f t="shared" si="5"/>
        <v>87.5</v>
      </c>
    </row>
    <row r="47">
      <c r="A47" s="23">
        <v>43.0</v>
      </c>
      <c r="B47" s="24" t="s">
        <v>141</v>
      </c>
      <c r="C47" s="25" t="s">
        <v>142</v>
      </c>
      <c r="D47" s="26" t="s">
        <v>28</v>
      </c>
      <c r="E47" s="26" t="s">
        <v>28</v>
      </c>
      <c r="F47" s="26" t="s">
        <v>28</v>
      </c>
      <c r="G47" s="26" t="s">
        <v>28</v>
      </c>
      <c r="H47" s="26" t="s">
        <v>28</v>
      </c>
      <c r="I47" s="26" t="s">
        <v>28</v>
      </c>
      <c r="J47" s="26" t="s">
        <v>28</v>
      </c>
      <c r="K47" s="26" t="s">
        <v>28</v>
      </c>
      <c r="L47" s="26" t="s">
        <v>28</v>
      </c>
      <c r="M47" s="26" t="s">
        <v>28</v>
      </c>
      <c r="N47" s="27" t="s">
        <v>22</v>
      </c>
      <c r="O47" s="26" t="s">
        <v>28</v>
      </c>
      <c r="P47" s="26" t="s">
        <v>28</v>
      </c>
      <c r="Q47" s="26" t="s">
        <v>28</v>
      </c>
      <c r="R47" s="26" t="s">
        <v>28</v>
      </c>
      <c r="S47" s="26" t="s">
        <v>28</v>
      </c>
      <c r="T47" s="28"/>
      <c r="U47" s="29"/>
      <c r="V47" s="29"/>
      <c r="W47" s="29"/>
      <c r="X47" s="29"/>
      <c r="Y47" s="29"/>
      <c r="Z47" s="29"/>
      <c r="AA47" s="29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2">
        <f t="shared" si="1"/>
        <v>0</v>
      </c>
      <c r="BB47" s="32">
        <f t="shared" si="2"/>
        <v>1</v>
      </c>
      <c r="BC47" s="32">
        <f t="shared" si="3"/>
        <v>15</v>
      </c>
      <c r="BD47" s="32">
        <f t="shared" si="4"/>
        <v>16</v>
      </c>
      <c r="BE47" s="33">
        <f t="shared" si="5"/>
        <v>93.75</v>
      </c>
    </row>
    <row r="48">
      <c r="A48" s="23">
        <v>44.0</v>
      </c>
      <c r="B48" s="24" t="s">
        <v>143</v>
      </c>
      <c r="C48" s="25" t="s">
        <v>144</v>
      </c>
      <c r="D48" s="26" t="s">
        <v>28</v>
      </c>
      <c r="E48" s="27" t="s">
        <v>22</v>
      </c>
      <c r="F48" s="27" t="s">
        <v>22</v>
      </c>
      <c r="G48" s="26" t="s">
        <v>28</v>
      </c>
      <c r="H48" s="26" t="s">
        <v>28</v>
      </c>
      <c r="I48" s="27" t="s">
        <v>22</v>
      </c>
      <c r="J48" s="27" t="s">
        <v>22</v>
      </c>
      <c r="K48" s="27" t="s">
        <v>22</v>
      </c>
      <c r="L48" s="26" t="s">
        <v>28</v>
      </c>
      <c r="M48" s="26" t="s">
        <v>28</v>
      </c>
      <c r="N48" s="27" t="s">
        <v>22</v>
      </c>
      <c r="O48" s="26" t="s">
        <v>28</v>
      </c>
      <c r="P48" s="27" t="s">
        <v>22</v>
      </c>
      <c r="Q48" s="27" t="s">
        <v>22</v>
      </c>
      <c r="R48" s="26" t="s">
        <v>28</v>
      </c>
      <c r="S48" s="26" t="s">
        <v>28</v>
      </c>
      <c r="T48" s="28"/>
      <c r="U48" s="29"/>
      <c r="V48" s="29"/>
      <c r="W48" s="29"/>
      <c r="X48" s="29"/>
      <c r="Y48" s="29"/>
      <c r="Z48" s="29"/>
      <c r="AA48" s="29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2">
        <f t="shared" si="1"/>
        <v>0</v>
      </c>
      <c r="BB48" s="32">
        <f t="shared" si="2"/>
        <v>8</v>
      </c>
      <c r="BC48" s="32">
        <f t="shared" si="3"/>
        <v>8</v>
      </c>
      <c r="BD48" s="32">
        <f t="shared" si="4"/>
        <v>16</v>
      </c>
      <c r="BE48" s="33">
        <f t="shared" si="5"/>
        <v>50</v>
      </c>
    </row>
    <row r="49">
      <c r="A49" s="23">
        <v>45.0</v>
      </c>
      <c r="B49" s="24" t="s">
        <v>145</v>
      </c>
      <c r="C49" s="25" t="s">
        <v>146</v>
      </c>
      <c r="D49" s="26" t="s">
        <v>28</v>
      </c>
      <c r="E49" s="26" t="s">
        <v>28</v>
      </c>
      <c r="F49" s="27" t="s">
        <v>22</v>
      </c>
      <c r="G49" s="26" t="s">
        <v>28</v>
      </c>
      <c r="H49" s="26" t="s">
        <v>28</v>
      </c>
      <c r="I49" s="26" t="s">
        <v>28</v>
      </c>
      <c r="J49" s="26" t="s">
        <v>28</v>
      </c>
      <c r="K49" s="26" t="s">
        <v>28</v>
      </c>
      <c r="L49" s="26" t="s">
        <v>28</v>
      </c>
      <c r="M49" s="26" t="s">
        <v>28</v>
      </c>
      <c r="N49" s="26" t="s">
        <v>28</v>
      </c>
      <c r="O49" s="26" t="s">
        <v>28</v>
      </c>
      <c r="P49" s="26" t="s">
        <v>28</v>
      </c>
      <c r="Q49" s="26" t="s">
        <v>28</v>
      </c>
      <c r="R49" s="26" t="s">
        <v>28</v>
      </c>
      <c r="S49" s="26" t="s">
        <v>28</v>
      </c>
      <c r="T49" s="28"/>
      <c r="U49" s="29"/>
      <c r="V49" s="29"/>
      <c r="W49" s="29"/>
      <c r="X49" s="29"/>
      <c r="Y49" s="29"/>
      <c r="Z49" s="29"/>
      <c r="AA49" s="29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2">
        <f t="shared" si="1"/>
        <v>0</v>
      </c>
      <c r="BB49" s="32">
        <f t="shared" si="2"/>
        <v>1</v>
      </c>
      <c r="BC49" s="32">
        <f t="shared" si="3"/>
        <v>15</v>
      </c>
      <c r="BD49" s="32">
        <f t="shared" si="4"/>
        <v>16</v>
      </c>
      <c r="BE49" s="33">
        <f t="shared" si="5"/>
        <v>93.75</v>
      </c>
    </row>
    <row r="50">
      <c r="A50" s="23">
        <v>46.0</v>
      </c>
      <c r="B50" s="24" t="s">
        <v>149</v>
      </c>
      <c r="C50" s="25" t="s">
        <v>150</v>
      </c>
      <c r="D50" s="26" t="s">
        <v>28</v>
      </c>
      <c r="E50" s="26" t="s">
        <v>28</v>
      </c>
      <c r="F50" s="26" t="s">
        <v>28</v>
      </c>
      <c r="G50" s="26" t="s">
        <v>28</v>
      </c>
      <c r="H50" s="26" t="s">
        <v>28</v>
      </c>
      <c r="I50" s="26" t="s">
        <v>28</v>
      </c>
      <c r="J50" s="26" t="s">
        <v>28</v>
      </c>
      <c r="K50" s="26" t="s">
        <v>28</v>
      </c>
      <c r="L50" s="26" t="s">
        <v>28</v>
      </c>
      <c r="M50" s="26" t="s">
        <v>28</v>
      </c>
      <c r="N50" s="26" t="s">
        <v>28</v>
      </c>
      <c r="O50" s="26" t="s">
        <v>28</v>
      </c>
      <c r="P50" s="26" t="s">
        <v>28</v>
      </c>
      <c r="Q50" s="26" t="s">
        <v>28</v>
      </c>
      <c r="R50" s="26" t="s">
        <v>28</v>
      </c>
      <c r="S50" s="26" t="s">
        <v>28</v>
      </c>
      <c r="T50" s="30"/>
      <c r="U50" s="29"/>
      <c r="V50" s="29"/>
      <c r="W50" s="29"/>
      <c r="X50" s="29"/>
      <c r="Y50" s="29"/>
      <c r="Z50" s="29"/>
      <c r="AA50" s="29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2">
        <f t="shared" si="1"/>
        <v>0</v>
      </c>
      <c r="BB50" s="32">
        <f t="shared" si="2"/>
        <v>0</v>
      </c>
      <c r="BC50" s="32">
        <f t="shared" si="3"/>
        <v>16</v>
      </c>
      <c r="BD50" s="32">
        <f t="shared" si="4"/>
        <v>16</v>
      </c>
      <c r="BE50" s="33">
        <f t="shared" si="5"/>
        <v>100</v>
      </c>
    </row>
    <row r="51">
      <c r="A51" s="23">
        <v>47.0</v>
      </c>
      <c r="B51" s="24" t="s">
        <v>151</v>
      </c>
      <c r="C51" s="25" t="s">
        <v>392</v>
      </c>
      <c r="D51" s="26" t="s">
        <v>28</v>
      </c>
      <c r="E51" s="26" t="s">
        <v>28</v>
      </c>
      <c r="F51" s="26" t="s">
        <v>28</v>
      </c>
      <c r="G51" s="26" t="s">
        <v>28</v>
      </c>
      <c r="H51" s="26" t="s">
        <v>28</v>
      </c>
      <c r="I51" s="26" t="s">
        <v>28</v>
      </c>
      <c r="J51" s="26" t="s">
        <v>28</v>
      </c>
      <c r="K51" s="26" t="s">
        <v>28</v>
      </c>
      <c r="L51" s="26" t="s">
        <v>28</v>
      </c>
      <c r="M51" s="26" t="s">
        <v>28</v>
      </c>
      <c r="N51" s="26" t="s">
        <v>28</v>
      </c>
      <c r="O51" s="26" t="s">
        <v>28</v>
      </c>
      <c r="P51" s="26" t="s">
        <v>28</v>
      </c>
      <c r="Q51" s="26" t="s">
        <v>28</v>
      </c>
      <c r="R51" s="26" t="s">
        <v>28</v>
      </c>
      <c r="S51" s="26" t="s">
        <v>28</v>
      </c>
      <c r="T51" s="28"/>
      <c r="U51" s="29"/>
      <c r="V51" s="29"/>
      <c r="W51" s="29"/>
      <c r="X51" s="29"/>
      <c r="Y51" s="29"/>
      <c r="Z51" s="29"/>
      <c r="AA51" s="29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2">
        <f t="shared" si="1"/>
        <v>0</v>
      </c>
      <c r="BB51" s="32">
        <f t="shared" si="2"/>
        <v>0</v>
      </c>
      <c r="BC51" s="32">
        <f t="shared" si="3"/>
        <v>16</v>
      </c>
      <c r="BD51" s="32">
        <f t="shared" si="4"/>
        <v>16</v>
      </c>
      <c r="BE51" s="33">
        <f t="shared" si="5"/>
        <v>100</v>
      </c>
    </row>
    <row r="52">
      <c r="A52" s="23">
        <v>48.0</v>
      </c>
      <c r="B52" s="24" t="s">
        <v>153</v>
      </c>
      <c r="C52" s="25" t="s">
        <v>154</v>
      </c>
      <c r="D52" s="26" t="s">
        <v>28</v>
      </c>
      <c r="E52" s="26" t="s">
        <v>28</v>
      </c>
      <c r="F52" s="26" t="s">
        <v>28</v>
      </c>
      <c r="G52" s="26" t="s">
        <v>28</v>
      </c>
      <c r="H52" s="26" t="s">
        <v>28</v>
      </c>
      <c r="I52" s="26" t="s">
        <v>28</v>
      </c>
      <c r="J52" s="26" t="s">
        <v>28</v>
      </c>
      <c r="K52" s="26" t="s">
        <v>28</v>
      </c>
      <c r="L52" s="26" t="s">
        <v>28</v>
      </c>
      <c r="M52" s="26" t="s">
        <v>28</v>
      </c>
      <c r="N52" s="27" t="s">
        <v>22</v>
      </c>
      <c r="O52" s="26" t="s">
        <v>28</v>
      </c>
      <c r="P52" s="26" t="s">
        <v>28</v>
      </c>
      <c r="Q52" s="26" t="s">
        <v>28</v>
      </c>
      <c r="R52" s="26" t="s">
        <v>28</v>
      </c>
      <c r="S52" s="26" t="s">
        <v>28</v>
      </c>
      <c r="T52" s="29"/>
      <c r="U52" s="29"/>
      <c r="V52" s="29"/>
      <c r="W52" s="29"/>
      <c r="X52" s="29"/>
      <c r="Y52" s="29"/>
      <c r="Z52" s="29"/>
      <c r="AA52" s="29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2">
        <f t="shared" si="1"/>
        <v>0</v>
      </c>
      <c r="BB52" s="32">
        <f t="shared" si="2"/>
        <v>1</v>
      </c>
      <c r="BC52" s="32">
        <f t="shared" si="3"/>
        <v>15</v>
      </c>
      <c r="BD52" s="32">
        <f t="shared" si="4"/>
        <v>16</v>
      </c>
      <c r="BE52" s="33">
        <f t="shared" si="5"/>
        <v>93.75</v>
      </c>
    </row>
    <row r="53">
      <c r="A53" s="23">
        <v>49.0</v>
      </c>
      <c r="B53" s="24" t="s">
        <v>155</v>
      </c>
      <c r="C53" s="25" t="s">
        <v>156</v>
      </c>
      <c r="D53" s="26" t="s">
        <v>28</v>
      </c>
      <c r="E53" s="26" t="s">
        <v>28</v>
      </c>
      <c r="F53" s="26" t="s">
        <v>28</v>
      </c>
      <c r="G53" s="26" t="s">
        <v>28</v>
      </c>
      <c r="H53" s="26" t="s">
        <v>28</v>
      </c>
      <c r="I53" s="26" t="s">
        <v>28</v>
      </c>
      <c r="J53" s="26" t="s">
        <v>28</v>
      </c>
      <c r="K53" s="26" t="s">
        <v>28</v>
      </c>
      <c r="L53" s="26" t="s">
        <v>28</v>
      </c>
      <c r="M53" s="26" t="s">
        <v>28</v>
      </c>
      <c r="N53" s="27" t="s">
        <v>22</v>
      </c>
      <c r="O53" s="26" t="s">
        <v>28</v>
      </c>
      <c r="P53" s="27" t="s">
        <v>22</v>
      </c>
      <c r="Q53" s="26" t="s">
        <v>28</v>
      </c>
      <c r="R53" s="26" t="s">
        <v>28</v>
      </c>
      <c r="S53" s="26" t="s">
        <v>28</v>
      </c>
      <c r="T53" s="29"/>
      <c r="U53" s="29"/>
      <c r="V53" s="29"/>
      <c r="W53" s="29"/>
      <c r="X53" s="29"/>
      <c r="Y53" s="29"/>
      <c r="Z53" s="29"/>
      <c r="AA53" s="29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2">
        <f t="shared" si="1"/>
        <v>0</v>
      </c>
      <c r="BB53" s="32">
        <f t="shared" si="2"/>
        <v>2</v>
      </c>
      <c r="BC53" s="32">
        <f t="shared" si="3"/>
        <v>14</v>
      </c>
      <c r="BD53" s="32">
        <f t="shared" si="4"/>
        <v>16</v>
      </c>
      <c r="BE53" s="33">
        <f t="shared" si="5"/>
        <v>87.5</v>
      </c>
    </row>
    <row r="54">
      <c r="A54" s="23">
        <v>50.0</v>
      </c>
      <c r="B54" s="24" t="s">
        <v>157</v>
      </c>
      <c r="C54" s="25" t="s">
        <v>158</v>
      </c>
      <c r="D54" s="26" t="s">
        <v>28</v>
      </c>
      <c r="E54" s="26" t="s">
        <v>28</v>
      </c>
      <c r="F54" s="26" t="s">
        <v>28</v>
      </c>
      <c r="G54" s="27" t="s">
        <v>22</v>
      </c>
      <c r="H54" s="26" t="s">
        <v>28</v>
      </c>
      <c r="I54" s="26" t="s">
        <v>28</v>
      </c>
      <c r="J54" s="26" t="s">
        <v>28</v>
      </c>
      <c r="K54" s="26" t="s">
        <v>28</v>
      </c>
      <c r="L54" s="26" t="s">
        <v>28</v>
      </c>
      <c r="M54" s="26" t="s">
        <v>28</v>
      </c>
      <c r="N54" s="26" t="s">
        <v>28</v>
      </c>
      <c r="O54" s="26" t="s">
        <v>28</v>
      </c>
      <c r="P54" s="26" t="s">
        <v>28</v>
      </c>
      <c r="Q54" s="26" t="s">
        <v>28</v>
      </c>
      <c r="R54" s="26" t="s">
        <v>28</v>
      </c>
      <c r="S54" s="26" t="s">
        <v>28</v>
      </c>
      <c r="T54" s="28"/>
      <c r="U54" s="29"/>
      <c r="V54" s="29"/>
      <c r="W54" s="29"/>
      <c r="X54" s="29"/>
      <c r="Y54" s="29"/>
      <c r="Z54" s="29"/>
      <c r="AA54" s="29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2">
        <f t="shared" si="1"/>
        <v>0</v>
      </c>
      <c r="BB54" s="32">
        <f t="shared" si="2"/>
        <v>1</v>
      </c>
      <c r="BC54" s="32">
        <f t="shared" si="3"/>
        <v>15</v>
      </c>
      <c r="BD54" s="32">
        <f t="shared" si="4"/>
        <v>16</v>
      </c>
      <c r="BE54" s="33">
        <f t="shared" si="5"/>
        <v>93.75</v>
      </c>
    </row>
    <row r="55">
      <c r="A55" s="23">
        <v>51.0</v>
      </c>
      <c r="B55" s="24" t="s">
        <v>161</v>
      </c>
      <c r="C55" s="25" t="s">
        <v>162</v>
      </c>
      <c r="D55" s="26" t="s">
        <v>28</v>
      </c>
      <c r="E55" s="26" t="s">
        <v>28</v>
      </c>
      <c r="F55" s="26" t="s">
        <v>28</v>
      </c>
      <c r="G55" s="26" t="s">
        <v>28</v>
      </c>
      <c r="H55" s="26" t="s">
        <v>28</v>
      </c>
      <c r="I55" s="26" t="s">
        <v>28</v>
      </c>
      <c r="J55" s="26" t="s">
        <v>28</v>
      </c>
      <c r="K55" s="27" t="s">
        <v>22</v>
      </c>
      <c r="L55" s="26" t="s">
        <v>28</v>
      </c>
      <c r="M55" s="26" t="s">
        <v>28</v>
      </c>
      <c r="N55" s="26" t="s">
        <v>28</v>
      </c>
      <c r="O55" s="26" t="s">
        <v>28</v>
      </c>
      <c r="P55" s="26" t="s">
        <v>28</v>
      </c>
      <c r="Q55" s="26" t="s">
        <v>28</v>
      </c>
      <c r="R55" s="26" t="s">
        <v>28</v>
      </c>
      <c r="S55" s="26" t="s">
        <v>28</v>
      </c>
      <c r="T55" s="28"/>
      <c r="U55" s="29"/>
      <c r="V55" s="29"/>
      <c r="W55" s="29"/>
      <c r="X55" s="29"/>
      <c r="Y55" s="29"/>
      <c r="Z55" s="29"/>
      <c r="AA55" s="29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2">
        <f t="shared" si="1"/>
        <v>0</v>
      </c>
      <c r="BB55" s="32">
        <f t="shared" si="2"/>
        <v>1</v>
      </c>
      <c r="BC55" s="32">
        <f t="shared" si="3"/>
        <v>15</v>
      </c>
      <c r="BD55" s="32">
        <f t="shared" si="4"/>
        <v>16</v>
      </c>
      <c r="BE55" s="33">
        <f t="shared" si="5"/>
        <v>93.75</v>
      </c>
    </row>
    <row r="56">
      <c r="A56" s="23">
        <v>52.0</v>
      </c>
      <c r="B56" s="24" t="s">
        <v>163</v>
      </c>
      <c r="C56" s="25" t="s">
        <v>164</v>
      </c>
      <c r="D56" s="26" t="s">
        <v>28</v>
      </c>
      <c r="E56" s="26" t="s">
        <v>28</v>
      </c>
      <c r="F56" s="26" t="s">
        <v>28</v>
      </c>
      <c r="G56" s="26" t="s">
        <v>28</v>
      </c>
      <c r="H56" s="26" t="s">
        <v>28</v>
      </c>
      <c r="I56" s="26" t="s">
        <v>28</v>
      </c>
      <c r="J56" s="27" t="s">
        <v>22</v>
      </c>
      <c r="K56" s="26" t="s">
        <v>28</v>
      </c>
      <c r="L56" s="26" t="s">
        <v>28</v>
      </c>
      <c r="M56" s="27" t="s">
        <v>22</v>
      </c>
      <c r="N56" s="26" t="s">
        <v>28</v>
      </c>
      <c r="O56" s="26" t="s">
        <v>28</v>
      </c>
      <c r="P56" s="26" t="s">
        <v>28</v>
      </c>
      <c r="Q56" s="26" t="s">
        <v>28</v>
      </c>
      <c r="R56" s="26" t="s">
        <v>28</v>
      </c>
      <c r="S56" s="26" t="s">
        <v>28</v>
      </c>
      <c r="T56" s="28"/>
      <c r="U56" s="29"/>
      <c r="V56" s="29"/>
      <c r="W56" s="29"/>
      <c r="X56" s="29"/>
      <c r="Y56" s="29"/>
      <c r="Z56" s="29"/>
      <c r="AA56" s="29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2">
        <f t="shared" si="1"/>
        <v>0</v>
      </c>
      <c r="BB56" s="32">
        <f t="shared" si="2"/>
        <v>2</v>
      </c>
      <c r="BC56" s="32">
        <f t="shared" si="3"/>
        <v>14</v>
      </c>
      <c r="BD56" s="32">
        <f t="shared" si="4"/>
        <v>16</v>
      </c>
      <c r="BE56" s="33">
        <f t="shared" si="5"/>
        <v>87.5</v>
      </c>
    </row>
    <row r="57">
      <c r="A57" s="23">
        <v>53.0</v>
      </c>
      <c r="B57" s="24" t="s">
        <v>165</v>
      </c>
      <c r="C57" s="25" t="s">
        <v>166</v>
      </c>
      <c r="D57" s="26" t="s">
        <v>28</v>
      </c>
      <c r="E57" s="26" t="s">
        <v>28</v>
      </c>
      <c r="F57" s="26" t="s">
        <v>28</v>
      </c>
      <c r="G57" s="26" t="s">
        <v>28</v>
      </c>
      <c r="H57" s="26" t="s">
        <v>28</v>
      </c>
      <c r="I57" s="26" t="s">
        <v>28</v>
      </c>
      <c r="J57" s="27" t="s">
        <v>22</v>
      </c>
      <c r="K57" s="27" t="s">
        <v>22</v>
      </c>
      <c r="L57" s="26" t="s">
        <v>28</v>
      </c>
      <c r="M57" s="26" t="s">
        <v>28</v>
      </c>
      <c r="N57" s="26" t="s">
        <v>28</v>
      </c>
      <c r="O57" s="26" t="s">
        <v>28</v>
      </c>
      <c r="P57" s="26" t="s">
        <v>28</v>
      </c>
      <c r="Q57" s="26" t="s">
        <v>28</v>
      </c>
      <c r="R57" s="26" t="s">
        <v>28</v>
      </c>
      <c r="S57" s="27" t="s">
        <v>22</v>
      </c>
      <c r="T57" s="28"/>
      <c r="U57" s="29"/>
      <c r="V57" s="29"/>
      <c r="W57" s="29"/>
      <c r="X57" s="29"/>
      <c r="Y57" s="29"/>
      <c r="Z57" s="29"/>
      <c r="AA57" s="29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2">
        <f t="shared" si="1"/>
        <v>0</v>
      </c>
      <c r="BB57" s="32">
        <f t="shared" si="2"/>
        <v>3</v>
      </c>
      <c r="BC57" s="32">
        <f t="shared" si="3"/>
        <v>13</v>
      </c>
      <c r="BD57" s="32">
        <f t="shared" si="4"/>
        <v>16</v>
      </c>
      <c r="BE57" s="33">
        <f t="shared" si="5"/>
        <v>81.25</v>
      </c>
    </row>
    <row r="58">
      <c r="A58" s="23">
        <v>54.0</v>
      </c>
      <c r="B58" s="24" t="s">
        <v>167</v>
      </c>
      <c r="C58" s="25" t="s">
        <v>168</v>
      </c>
      <c r="D58" s="26" t="s">
        <v>28</v>
      </c>
      <c r="E58" s="26" t="s">
        <v>28</v>
      </c>
      <c r="F58" s="26" t="s">
        <v>28</v>
      </c>
      <c r="G58" s="26" t="s">
        <v>28</v>
      </c>
      <c r="H58" s="27" t="s">
        <v>22</v>
      </c>
      <c r="I58" s="26" t="s">
        <v>28</v>
      </c>
      <c r="J58" s="27" t="s">
        <v>22</v>
      </c>
      <c r="K58" s="26" t="s">
        <v>28</v>
      </c>
      <c r="L58" s="26" t="s">
        <v>28</v>
      </c>
      <c r="M58" s="26" t="s">
        <v>28</v>
      </c>
      <c r="N58" s="27" t="s">
        <v>22</v>
      </c>
      <c r="O58" s="26" t="s">
        <v>28</v>
      </c>
      <c r="P58" s="26" t="s">
        <v>28</v>
      </c>
      <c r="Q58" s="27" t="s">
        <v>22</v>
      </c>
      <c r="R58" s="26" t="s">
        <v>28</v>
      </c>
      <c r="S58" s="26" t="s">
        <v>28</v>
      </c>
      <c r="T58" s="28"/>
      <c r="U58" s="29"/>
      <c r="V58" s="29"/>
      <c r="W58" s="29"/>
      <c r="X58" s="29"/>
      <c r="Y58" s="29"/>
      <c r="Z58" s="29"/>
      <c r="AA58" s="29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2">
        <f t="shared" si="1"/>
        <v>0</v>
      </c>
      <c r="BB58" s="32">
        <f t="shared" si="2"/>
        <v>4</v>
      </c>
      <c r="BC58" s="32">
        <f t="shared" si="3"/>
        <v>12</v>
      </c>
      <c r="BD58" s="32">
        <f t="shared" si="4"/>
        <v>16</v>
      </c>
      <c r="BE58" s="33">
        <f t="shared" si="5"/>
        <v>75</v>
      </c>
    </row>
    <row r="59">
      <c r="A59" s="23">
        <v>55.0</v>
      </c>
      <c r="B59" s="24" t="s">
        <v>169</v>
      </c>
      <c r="C59" s="25" t="s">
        <v>170</v>
      </c>
      <c r="D59" s="26" t="s">
        <v>28</v>
      </c>
      <c r="E59" s="26" t="s">
        <v>28</v>
      </c>
      <c r="F59" s="26" t="s">
        <v>28</v>
      </c>
      <c r="G59" s="26" t="s">
        <v>28</v>
      </c>
      <c r="H59" s="26" t="s">
        <v>28</v>
      </c>
      <c r="I59" s="26" t="s">
        <v>28</v>
      </c>
      <c r="J59" s="27" t="s">
        <v>22</v>
      </c>
      <c r="K59" s="26" t="s">
        <v>28</v>
      </c>
      <c r="L59" s="26" t="s">
        <v>28</v>
      </c>
      <c r="M59" s="26" t="s">
        <v>28</v>
      </c>
      <c r="N59" s="26" t="s">
        <v>28</v>
      </c>
      <c r="O59" s="26" t="s">
        <v>28</v>
      </c>
      <c r="P59" s="26" t="s">
        <v>28</v>
      </c>
      <c r="Q59" s="26" t="s">
        <v>28</v>
      </c>
      <c r="R59" s="26" t="s">
        <v>28</v>
      </c>
      <c r="S59" s="27" t="s">
        <v>22</v>
      </c>
      <c r="T59" s="51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32">
        <f t="shared" si="1"/>
        <v>0</v>
      </c>
      <c r="BB59" s="32">
        <f t="shared" si="2"/>
        <v>2</v>
      </c>
      <c r="BC59" s="32">
        <f t="shared" si="3"/>
        <v>14</v>
      </c>
      <c r="BD59" s="32">
        <f t="shared" si="4"/>
        <v>16</v>
      </c>
      <c r="BE59" s="33">
        <f t="shared" si="5"/>
        <v>87.5</v>
      </c>
    </row>
    <row r="60">
      <c r="A60" s="23">
        <v>56.0</v>
      </c>
      <c r="B60" s="47" t="s">
        <v>171</v>
      </c>
      <c r="C60" s="25" t="s">
        <v>172</v>
      </c>
      <c r="D60" s="26" t="s">
        <v>28</v>
      </c>
      <c r="E60" s="26" t="s">
        <v>28</v>
      </c>
      <c r="F60" s="26" t="s">
        <v>28</v>
      </c>
      <c r="G60" s="26" t="s">
        <v>28</v>
      </c>
      <c r="H60" s="26" t="s">
        <v>28</v>
      </c>
      <c r="I60" s="26" t="s">
        <v>28</v>
      </c>
      <c r="J60" s="26" t="s">
        <v>28</v>
      </c>
      <c r="K60" s="26" t="s">
        <v>28</v>
      </c>
      <c r="L60" s="27" t="s">
        <v>22</v>
      </c>
      <c r="M60" s="26" t="s">
        <v>28</v>
      </c>
      <c r="N60" s="26" t="s">
        <v>28</v>
      </c>
      <c r="O60" s="26" t="s">
        <v>28</v>
      </c>
      <c r="P60" s="26" t="s">
        <v>28</v>
      </c>
      <c r="Q60" s="26" t="s">
        <v>28</v>
      </c>
      <c r="R60" s="26" t="s">
        <v>28</v>
      </c>
      <c r="S60" s="26" t="s">
        <v>28</v>
      </c>
      <c r="T60" s="51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32">
        <f t="shared" si="1"/>
        <v>0</v>
      </c>
      <c r="BB60" s="32">
        <f t="shared" si="2"/>
        <v>1</v>
      </c>
      <c r="BC60" s="32">
        <f t="shared" si="3"/>
        <v>15</v>
      </c>
      <c r="BD60" s="32">
        <f t="shared" si="4"/>
        <v>16</v>
      </c>
      <c r="BE60" s="33">
        <f t="shared" si="5"/>
        <v>93.75</v>
      </c>
    </row>
    <row r="61">
      <c r="A61" s="23">
        <v>57.0</v>
      </c>
      <c r="B61" s="24" t="s">
        <v>173</v>
      </c>
      <c r="C61" s="25" t="s">
        <v>174</v>
      </c>
      <c r="D61" s="26" t="s">
        <v>28</v>
      </c>
      <c r="E61" s="26" t="s">
        <v>28</v>
      </c>
      <c r="F61" s="26" t="s">
        <v>28</v>
      </c>
      <c r="G61" s="26" t="s">
        <v>28</v>
      </c>
      <c r="H61" s="26" t="s">
        <v>28</v>
      </c>
      <c r="I61" s="26" t="s">
        <v>28</v>
      </c>
      <c r="J61" s="26" t="s">
        <v>28</v>
      </c>
      <c r="K61" s="26" t="s">
        <v>28</v>
      </c>
      <c r="L61" s="26" t="s">
        <v>28</v>
      </c>
      <c r="M61" s="26" t="s">
        <v>28</v>
      </c>
      <c r="N61" s="26" t="s">
        <v>28</v>
      </c>
      <c r="O61" s="26" t="s">
        <v>28</v>
      </c>
      <c r="P61" s="26" t="s">
        <v>28</v>
      </c>
      <c r="Q61" s="26" t="s">
        <v>28</v>
      </c>
      <c r="R61" s="26" t="s">
        <v>28</v>
      </c>
      <c r="S61" s="26" t="s">
        <v>28</v>
      </c>
      <c r="T61" s="51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32">
        <f t="shared" si="1"/>
        <v>0</v>
      </c>
      <c r="BB61" s="32">
        <f t="shared" si="2"/>
        <v>0</v>
      </c>
      <c r="BC61" s="32">
        <f t="shared" si="3"/>
        <v>16</v>
      </c>
      <c r="BD61" s="32">
        <f t="shared" si="4"/>
        <v>16</v>
      </c>
      <c r="BE61" s="33">
        <f t="shared" si="5"/>
        <v>100</v>
      </c>
    </row>
    <row r="62">
      <c r="A62" s="49">
        <v>58.0</v>
      </c>
      <c r="B62" s="35" t="s">
        <v>177</v>
      </c>
      <c r="C62" s="36" t="s">
        <v>178</v>
      </c>
      <c r="D62" s="37" t="s">
        <v>28</v>
      </c>
      <c r="E62" s="37" t="s">
        <v>28</v>
      </c>
      <c r="F62" s="37" t="s">
        <v>28</v>
      </c>
      <c r="G62" s="27" t="s">
        <v>22</v>
      </c>
      <c r="H62" s="37" t="s">
        <v>28</v>
      </c>
      <c r="I62" s="37" t="s">
        <v>28</v>
      </c>
      <c r="J62" s="37" t="s">
        <v>28</v>
      </c>
      <c r="K62" s="37" t="s">
        <v>28</v>
      </c>
      <c r="L62" s="37" t="s">
        <v>28</v>
      </c>
      <c r="M62" s="37" t="s">
        <v>28</v>
      </c>
      <c r="N62" s="27" t="s">
        <v>22</v>
      </c>
      <c r="O62" s="37" t="s">
        <v>28</v>
      </c>
      <c r="P62" s="37" t="s">
        <v>28</v>
      </c>
      <c r="Q62" s="37" t="s">
        <v>28</v>
      </c>
      <c r="R62" s="37" t="s">
        <v>28</v>
      </c>
      <c r="S62" s="27" t="s">
        <v>22</v>
      </c>
      <c r="T62" s="53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41">
        <f t="shared" si="1"/>
        <v>0</v>
      </c>
      <c r="BB62" s="41">
        <f t="shared" si="2"/>
        <v>3</v>
      </c>
      <c r="BC62" s="41">
        <f t="shared" si="3"/>
        <v>13</v>
      </c>
      <c r="BD62" s="41">
        <f t="shared" si="4"/>
        <v>16</v>
      </c>
      <c r="BE62" s="42">
        <f t="shared" si="5"/>
        <v>81.25</v>
      </c>
    </row>
    <row r="63">
      <c r="A63" s="23">
        <v>59.0</v>
      </c>
      <c r="B63" s="24" t="s">
        <v>179</v>
      </c>
      <c r="C63" s="25" t="s">
        <v>180</v>
      </c>
      <c r="D63" s="26" t="s">
        <v>28</v>
      </c>
      <c r="E63" s="26" t="s">
        <v>28</v>
      </c>
      <c r="F63" s="27" t="s">
        <v>22</v>
      </c>
      <c r="G63" s="27" t="s">
        <v>22</v>
      </c>
      <c r="H63" s="26" t="s">
        <v>28</v>
      </c>
      <c r="I63" s="26" t="s">
        <v>28</v>
      </c>
      <c r="J63" s="27" t="s">
        <v>22</v>
      </c>
      <c r="K63" s="26" t="s">
        <v>28</v>
      </c>
      <c r="L63" s="26" t="s">
        <v>28</v>
      </c>
      <c r="M63" s="26" t="s">
        <v>28</v>
      </c>
      <c r="N63" s="27" t="s">
        <v>22</v>
      </c>
      <c r="O63" s="27" t="s">
        <v>22</v>
      </c>
      <c r="P63" s="26" t="s">
        <v>28</v>
      </c>
      <c r="Q63" s="26" t="s">
        <v>28</v>
      </c>
      <c r="R63" s="26" t="s">
        <v>28</v>
      </c>
      <c r="S63" s="26" t="s">
        <v>28</v>
      </c>
      <c r="T63" s="51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32">
        <f t="shared" si="1"/>
        <v>0</v>
      </c>
      <c r="BB63" s="32">
        <f t="shared" si="2"/>
        <v>5</v>
      </c>
      <c r="BC63" s="32">
        <f t="shared" si="3"/>
        <v>11</v>
      </c>
      <c r="BD63" s="32">
        <f t="shared" si="4"/>
        <v>16</v>
      </c>
      <c r="BE63" s="33">
        <f t="shared" si="5"/>
        <v>68.75</v>
      </c>
    </row>
    <row r="64">
      <c r="A64" s="23">
        <v>60.0</v>
      </c>
      <c r="B64" s="24" t="s">
        <v>181</v>
      </c>
      <c r="C64" s="25" t="s">
        <v>182</v>
      </c>
      <c r="D64" s="26" t="s">
        <v>28</v>
      </c>
      <c r="E64" s="26" t="s">
        <v>28</v>
      </c>
      <c r="F64" s="26" t="s">
        <v>28</v>
      </c>
      <c r="G64" s="26" t="s">
        <v>28</v>
      </c>
      <c r="H64" s="26" t="s">
        <v>28</v>
      </c>
      <c r="I64" s="27" t="s">
        <v>22</v>
      </c>
      <c r="J64" s="26" t="s">
        <v>28</v>
      </c>
      <c r="K64" s="26" t="s">
        <v>28</v>
      </c>
      <c r="L64" s="26" t="s">
        <v>28</v>
      </c>
      <c r="M64" s="26" t="s">
        <v>28</v>
      </c>
      <c r="N64" s="26" t="s">
        <v>28</v>
      </c>
      <c r="O64" s="26" t="s">
        <v>28</v>
      </c>
      <c r="P64" s="27" t="s">
        <v>22</v>
      </c>
      <c r="Q64" s="26" t="s">
        <v>28</v>
      </c>
      <c r="R64" s="26" t="s">
        <v>28</v>
      </c>
      <c r="S64" s="26" t="s">
        <v>28</v>
      </c>
      <c r="T64" s="51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32">
        <f t="shared" si="1"/>
        <v>0</v>
      </c>
      <c r="BB64" s="32">
        <f t="shared" si="2"/>
        <v>2</v>
      </c>
      <c r="BC64" s="32">
        <f t="shared" si="3"/>
        <v>14</v>
      </c>
      <c r="BD64" s="32">
        <f t="shared" si="4"/>
        <v>16</v>
      </c>
      <c r="BE64" s="33">
        <f t="shared" si="5"/>
        <v>87.5</v>
      </c>
    </row>
    <row r="65">
      <c r="A65" s="23">
        <v>61.0</v>
      </c>
      <c r="B65" s="47" t="s">
        <v>183</v>
      </c>
      <c r="C65" s="25" t="s">
        <v>184</v>
      </c>
      <c r="D65" s="27" t="s">
        <v>22</v>
      </c>
      <c r="E65" s="26" t="s">
        <v>28</v>
      </c>
      <c r="F65" s="27" t="s">
        <v>22</v>
      </c>
      <c r="G65" s="26" t="s">
        <v>28</v>
      </c>
      <c r="H65" s="26" t="s">
        <v>28</v>
      </c>
      <c r="I65" s="26" t="s">
        <v>28</v>
      </c>
      <c r="J65" s="26" t="s">
        <v>28</v>
      </c>
      <c r="K65" s="26" t="s">
        <v>28</v>
      </c>
      <c r="L65" s="26" t="s">
        <v>28</v>
      </c>
      <c r="M65" s="26" t="s">
        <v>28</v>
      </c>
      <c r="N65" s="27" t="s">
        <v>22</v>
      </c>
      <c r="O65" s="26" t="s">
        <v>28</v>
      </c>
      <c r="P65" s="26" t="s">
        <v>28</v>
      </c>
      <c r="Q65" s="26" t="s">
        <v>28</v>
      </c>
      <c r="R65" s="26" t="s">
        <v>28</v>
      </c>
      <c r="S65" s="27" t="s">
        <v>22</v>
      </c>
      <c r="T65" s="51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32">
        <f t="shared" si="1"/>
        <v>0</v>
      </c>
      <c r="BB65" s="32">
        <f t="shared" si="2"/>
        <v>4</v>
      </c>
      <c r="BC65" s="32">
        <f t="shared" si="3"/>
        <v>12</v>
      </c>
      <c r="BD65" s="32">
        <f t="shared" si="4"/>
        <v>16</v>
      </c>
      <c r="BE65" s="33">
        <f t="shared" si="5"/>
        <v>75</v>
      </c>
    </row>
    <row r="66">
      <c r="A66" s="23">
        <v>62.0</v>
      </c>
      <c r="B66" s="24" t="s">
        <v>187</v>
      </c>
      <c r="C66" s="25" t="s">
        <v>188</v>
      </c>
      <c r="D66" s="26" t="s">
        <v>28</v>
      </c>
      <c r="E66" s="26" t="s">
        <v>28</v>
      </c>
      <c r="F66" s="27" t="s">
        <v>22</v>
      </c>
      <c r="G66" s="26" t="s">
        <v>28</v>
      </c>
      <c r="H66" s="26" t="s">
        <v>28</v>
      </c>
      <c r="I66" s="26" t="s">
        <v>28</v>
      </c>
      <c r="J66" s="27" t="s">
        <v>22</v>
      </c>
      <c r="K66" s="27" t="s">
        <v>22</v>
      </c>
      <c r="L66" s="26" t="s">
        <v>28</v>
      </c>
      <c r="M66" s="26" t="s">
        <v>28</v>
      </c>
      <c r="N66" s="27" t="s">
        <v>22</v>
      </c>
      <c r="O66" s="26" t="s">
        <v>28</v>
      </c>
      <c r="P66" s="27" t="s">
        <v>22</v>
      </c>
      <c r="Q66" s="26" t="s">
        <v>28</v>
      </c>
      <c r="R66" s="26" t="s">
        <v>28</v>
      </c>
      <c r="S66" s="26" t="s">
        <v>28</v>
      </c>
      <c r="T66" s="51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32">
        <f t="shared" si="1"/>
        <v>0</v>
      </c>
      <c r="BB66" s="32">
        <f t="shared" si="2"/>
        <v>5</v>
      </c>
      <c r="BC66" s="32">
        <f t="shared" si="3"/>
        <v>11</v>
      </c>
      <c r="BD66" s="32">
        <f t="shared" si="4"/>
        <v>16</v>
      </c>
      <c r="BE66" s="33">
        <f t="shared" si="5"/>
        <v>68.75</v>
      </c>
    </row>
    <row r="67">
      <c r="A67" s="23">
        <v>63.0</v>
      </c>
      <c r="B67" s="24" t="s">
        <v>189</v>
      </c>
      <c r="C67" s="25" t="s">
        <v>190</v>
      </c>
      <c r="D67" s="26" t="s">
        <v>28</v>
      </c>
      <c r="E67" s="26" t="s">
        <v>28</v>
      </c>
      <c r="F67" s="27" t="s">
        <v>22</v>
      </c>
      <c r="G67" s="26" t="s">
        <v>28</v>
      </c>
      <c r="H67" s="26" t="s">
        <v>28</v>
      </c>
      <c r="I67" s="26" t="s">
        <v>28</v>
      </c>
      <c r="J67" s="26" t="s">
        <v>28</v>
      </c>
      <c r="K67" s="26" t="s">
        <v>28</v>
      </c>
      <c r="L67" s="26" t="s">
        <v>28</v>
      </c>
      <c r="M67" s="26" t="s">
        <v>28</v>
      </c>
      <c r="N67" s="26" t="s">
        <v>28</v>
      </c>
      <c r="O67" s="26" t="s">
        <v>28</v>
      </c>
      <c r="P67" s="26" t="s">
        <v>28</v>
      </c>
      <c r="Q67" s="26" t="s">
        <v>28</v>
      </c>
      <c r="R67" s="26" t="s">
        <v>28</v>
      </c>
      <c r="S67" s="26" t="s">
        <v>28</v>
      </c>
      <c r="T67" s="51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32">
        <f t="shared" si="1"/>
        <v>0</v>
      </c>
      <c r="BB67" s="32">
        <f t="shared" si="2"/>
        <v>1</v>
      </c>
      <c r="BC67" s="32">
        <f t="shared" si="3"/>
        <v>15</v>
      </c>
      <c r="BD67" s="32">
        <f t="shared" si="4"/>
        <v>16</v>
      </c>
      <c r="BE67" s="33">
        <f t="shared" si="5"/>
        <v>93.75</v>
      </c>
    </row>
    <row r="68">
      <c r="A68" s="55"/>
      <c r="B68" s="55"/>
      <c r="C68" s="56" t="s">
        <v>191</v>
      </c>
      <c r="D68" s="57">
        <f t="shared" ref="D68:AZ68" si="6">COUNTIF(D5:D67,"P")+COUNTIF(D5:D67,"L")</f>
        <v>59</v>
      </c>
      <c r="E68" s="57">
        <f t="shared" si="6"/>
        <v>60</v>
      </c>
      <c r="F68" s="57">
        <f t="shared" si="6"/>
        <v>42</v>
      </c>
      <c r="G68" s="57">
        <f t="shared" si="6"/>
        <v>54</v>
      </c>
      <c r="H68" s="57">
        <f t="shared" si="6"/>
        <v>55</v>
      </c>
      <c r="I68" s="57">
        <f t="shared" si="6"/>
        <v>57</v>
      </c>
      <c r="J68" s="57">
        <f t="shared" si="6"/>
        <v>39</v>
      </c>
      <c r="K68" s="57">
        <f t="shared" si="6"/>
        <v>55</v>
      </c>
      <c r="L68" s="57">
        <f t="shared" si="6"/>
        <v>53</v>
      </c>
      <c r="M68" s="57">
        <f t="shared" si="6"/>
        <v>59</v>
      </c>
      <c r="N68" s="57">
        <f t="shared" si="6"/>
        <v>40</v>
      </c>
      <c r="O68" s="57">
        <f t="shared" si="6"/>
        <v>57</v>
      </c>
      <c r="P68" s="57">
        <f t="shared" si="6"/>
        <v>48</v>
      </c>
      <c r="Q68" s="57">
        <f t="shared" si="6"/>
        <v>57</v>
      </c>
      <c r="R68" s="57">
        <f t="shared" si="6"/>
        <v>60</v>
      </c>
      <c r="S68" s="57">
        <f t="shared" si="6"/>
        <v>53</v>
      </c>
      <c r="T68" s="57">
        <f t="shared" si="6"/>
        <v>0</v>
      </c>
      <c r="U68" s="57">
        <f t="shared" si="6"/>
        <v>0</v>
      </c>
      <c r="V68" s="57">
        <f t="shared" si="6"/>
        <v>0</v>
      </c>
      <c r="W68" s="57">
        <f t="shared" si="6"/>
        <v>0</v>
      </c>
      <c r="X68" s="57">
        <f t="shared" si="6"/>
        <v>0</v>
      </c>
      <c r="Y68" s="57">
        <f t="shared" si="6"/>
        <v>0</v>
      </c>
      <c r="Z68" s="57">
        <f t="shared" si="6"/>
        <v>0</v>
      </c>
      <c r="AA68" s="57">
        <f t="shared" si="6"/>
        <v>0</v>
      </c>
      <c r="AB68" s="57">
        <f t="shared" si="6"/>
        <v>0</v>
      </c>
      <c r="AC68" s="57">
        <f t="shared" si="6"/>
        <v>0</v>
      </c>
      <c r="AD68" s="57">
        <f t="shared" si="6"/>
        <v>0</v>
      </c>
      <c r="AE68" s="57">
        <f t="shared" si="6"/>
        <v>0</v>
      </c>
      <c r="AF68" s="57">
        <f t="shared" si="6"/>
        <v>0</v>
      </c>
      <c r="AG68" s="57">
        <f t="shared" si="6"/>
        <v>0</v>
      </c>
      <c r="AH68" s="57">
        <f t="shared" si="6"/>
        <v>0</v>
      </c>
      <c r="AI68" s="57">
        <f t="shared" si="6"/>
        <v>0</v>
      </c>
      <c r="AJ68" s="57">
        <f t="shared" si="6"/>
        <v>0</v>
      </c>
      <c r="AK68" s="57">
        <f t="shared" si="6"/>
        <v>0</v>
      </c>
      <c r="AL68" s="57">
        <f t="shared" si="6"/>
        <v>0</v>
      </c>
      <c r="AM68" s="57">
        <f t="shared" si="6"/>
        <v>0</v>
      </c>
      <c r="AN68" s="57">
        <f t="shared" si="6"/>
        <v>0</v>
      </c>
      <c r="AO68" s="57">
        <f t="shared" si="6"/>
        <v>0</v>
      </c>
      <c r="AP68" s="57">
        <f t="shared" si="6"/>
        <v>0</v>
      </c>
      <c r="AQ68" s="57">
        <f t="shared" si="6"/>
        <v>0</v>
      </c>
      <c r="AR68" s="57">
        <f t="shared" si="6"/>
        <v>0</v>
      </c>
      <c r="AS68" s="57">
        <f t="shared" si="6"/>
        <v>0</v>
      </c>
      <c r="AT68" s="57">
        <f t="shared" si="6"/>
        <v>0</v>
      </c>
      <c r="AU68" s="57">
        <f t="shared" si="6"/>
        <v>0</v>
      </c>
      <c r="AV68" s="57">
        <f t="shared" si="6"/>
        <v>0</v>
      </c>
      <c r="AW68" s="57">
        <f t="shared" si="6"/>
        <v>0</v>
      </c>
      <c r="AX68" s="57">
        <f t="shared" si="6"/>
        <v>0</v>
      </c>
      <c r="AY68" s="57">
        <f t="shared" si="6"/>
        <v>0</v>
      </c>
      <c r="AZ68" s="57">
        <f t="shared" si="6"/>
        <v>0</v>
      </c>
      <c r="BA68" s="32">
        <f t="shared" si="1"/>
        <v>0</v>
      </c>
      <c r="BB68" s="32">
        <f t="shared" si="2"/>
        <v>0</v>
      </c>
      <c r="BC68" s="32">
        <f t="shared" si="3"/>
        <v>0</v>
      </c>
      <c r="BD68" s="32">
        <f t="shared" si="4"/>
        <v>0</v>
      </c>
      <c r="BE68" s="33" t="str">
        <f t="shared" si="5"/>
        <v>#DIV/0!</v>
      </c>
    </row>
    <row r="69">
      <c r="A69" s="83" t="s">
        <v>460</v>
      </c>
      <c r="B69" s="55"/>
      <c r="C69" s="59" t="s">
        <v>192</v>
      </c>
      <c r="D69" s="60">
        <v>62.0</v>
      </c>
      <c r="E69" s="60">
        <v>62.0</v>
      </c>
      <c r="F69" s="60">
        <v>62.0</v>
      </c>
      <c r="G69" s="60">
        <v>62.0</v>
      </c>
      <c r="H69" s="60">
        <v>62.0</v>
      </c>
      <c r="I69" s="60">
        <v>62.0</v>
      </c>
      <c r="J69" s="60">
        <v>62.0</v>
      </c>
      <c r="K69" s="60">
        <v>62.0</v>
      </c>
      <c r="L69" s="60">
        <v>62.0</v>
      </c>
      <c r="M69" s="60">
        <v>62.0</v>
      </c>
      <c r="N69" s="60">
        <v>62.0</v>
      </c>
      <c r="O69" s="60">
        <v>62.0</v>
      </c>
      <c r="P69" s="60">
        <v>62.0</v>
      </c>
      <c r="Q69" s="60">
        <v>62.0</v>
      </c>
      <c r="R69" s="60">
        <v>62.0</v>
      </c>
      <c r="S69" s="60">
        <v>62.0</v>
      </c>
      <c r="T69" s="60">
        <v>62.0</v>
      </c>
      <c r="U69" s="60">
        <v>62.0</v>
      </c>
      <c r="V69" s="60">
        <v>62.0</v>
      </c>
      <c r="W69" s="60">
        <v>62.0</v>
      </c>
      <c r="X69" s="60">
        <v>62.0</v>
      </c>
      <c r="Y69" s="60">
        <v>62.0</v>
      </c>
      <c r="Z69" s="60">
        <v>62.0</v>
      </c>
      <c r="AA69" s="60">
        <v>62.0</v>
      </c>
      <c r="AB69" s="60">
        <v>62.0</v>
      </c>
      <c r="AC69" s="60">
        <v>62.0</v>
      </c>
      <c r="AD69" s="60">
        <v>62.0</v>
      </c>
      <c r="AE69" s="60">
        <v>62.0</v>
      </c>
      <c r="AF69" s="60">
        <v>62.0</v>
      </c>
      <c r="AG69" s="60">
        <v>62.0</v>
      </c>
      <c r="AH69" s="60">
        <v>62.0</v>
      </c>
      <c r="AI69" s="60">
        <v>62.0</v>
      </c>
      <c r="AJ69" s="60">
        <v>62.0</v>
      </c>
      <c r="AK69" s="60">
        <v>62.0</v>
      </c>
      <c r="AL69" s="60">
        <v>62.0</v>
      </c>
      <c r="AM69" s="60">
        <v>62.0</v>
      </c>
      <c r="AN69" s="60">
        <v>62.0</v>
      </c>
      <c r="AO69" s="60">
        <v>62.0</v>
      </c>
      <c r="AP69" s="60">
        <v>62.0</v>
      </c>
      <c r="AQ69" s="60">
        <v>62.0</v>
      </c>
      <c r="AR69" s="60">
        <v>62.0</v>
      </c>
      <c r="AS69" s="60">
        <v>62.0</v>
      </c>
      <c r="AT69" s="60">
        <v>62.0</v>
      </c>
      <c r="AU69" s="60">
        <v>62.0</v>
      </c>
      <c r="AV69" s="60">
        <v>62.0</v>
      </c>
      <c r="AW69" s="60">
        <v>62.0</v>
      </c>
      <c r="AX69" s="60">
        <v>62.0</v>
      </c>
      <c r="AY69" s="60">
        <v>62.0</v>
      </c>
      <c r="AZ69" s="60">
        <v>62.0</v>
      </c>
      <c r="BA69" s="34"/>
      <c r="BB69" s="34"/>
      <c r="BC69" s="34"/>
      <c r="BD69" s="34"/>
      <c r="BE69" s="61"/>
    </row>
    <row r="70">
      <c r="A70" s="55"/>
      <c r="B70" s="55"/>
      <c r="C70" s="62" t="s">
        <v>193</v>
      </c>
      <c r="D70" s="63">
        <f t="shared" ref="D70:AZ70" si="7">SUM(D68/D69)*100</f>
        <v>95.16129032</v>
      </c>
      <c r="E70" s="63">
        <f t="shared" si="7"/>
        <v>96.77419355</v>
      </c>
      <c r="F70" s="63">
        <f t="shared" si="7"/>
        <v>67.74193548</v>
      </c>
      <c r="G70" s="63">
        <f t="shared" si="7"/>
        <v>87.09677419</v>
      </c>
      <c r="H70" s="63">
        <f t="shared" si="7"/>
        <v>88.70967742</v>
      </c>
      <c r="I70" s="63">
        <f t="shared" si="7"/>
        <v>91.93548387</v>
      </c>
      <c r="J70" s="63">
        <f t="shared" si="7"/>
        <v>62.90322581</v>
      </c>
      <c r="K70" s="63">
        <f t="shared" si="7"/>
        <v>88.70967742</v>
      </c>
      <c r="L70" s="63">
        <f t="shared" si="7"/>
        <v>85.48387097</v>
      </c>
      <c r="M70" s="63">
        <f t="shared" si="7"/>
        <v>95.16129032</v>
      </c>
      <c r="N70" s="63">
        <f t="shared" si="7"/>
        <v>64.51612903</v>
      </c>
      <c r="O70" s="63">
        <f t="shared" si="7"/>
        <v>91.93548387</v>
      </c>
      <c r="P70" s="63">
        <f t="shared" si="7"/>
        <v>77.41935484</v>
      </c>
      <c r="Q70" s="63">
        <f t="shared" si="7"/>
        <v>91.93548387</v>
      </c>
      <c r="R70" s="63">
        <f t="shared" si="7"/>
        <v>96.77419355</v>
      </c>
      <c r="S70" s="63">
        <f t="shared" si="7"/>
        <v>85.48387097</v>
      </c>
      <c r="T70" s="63">
        <f t="shared" si="7"/>
        <v>0</v>
      </c>
      <c r="U70" s="63">
        <f t="shared" si="7"/>
        <v>0</v>
      </c>
      <c r="V70" s="63">
        <f t="shared" si="7"/>
        <v>0</v>
      </c>
      <c r="W70" s="63">
        <f t="shared" si="7"/>
        <v>0</v>
      </c>
      <c r="X70" s="63">
        <f t="shared" si="7"/>
        <v>0</v>
      </c>
      <c r="Y70" s="63">
        <f t="shared" si="7"/>
        <v>0</v>
      </c>
      <c r="Z70" s="63">
        <f t="shared" si="7"/>
        <v>0</v>
      </c>
      <c r="AA70" s="63">
        <f t="shared" si="7"/>
        <v>0</v>
      </c>
      <c r="AB70" s="63">
        <f t="shared" si="7"/>
        <v>0</v>
      </c>
      <c r="AC70" s="63">
        <f t="shared" si="7"/>
        <v>0</v>
      </c>
      <c r="AD70" s="63">
        <f t="shared" si="7"/>
        <v>0</v>
      </c>
      <c r="AE70" s="63">
        <f t="shared" si="7"/>
        <v>0</v>
      </c>
      <c r="AF70" s="63">
        <f t="shared" si="7"/>
        <v>0</v>
      </c>
      <c r="AG70" s="63">
        <f t="shared" si="7"/>
        <v>0</v>
      </c>
      <c r="AH70" s="63">
        <f t="shared" si="7"/>
        <v>0</v>
      </c>
      <c r="AI70" s="63">
        <f t="shared" si="7"/>
        <v>0</v>
      </c>
      <c r="AJ70" s="63">
        <f t="shared" si="7"/>
        <v>0</v>
      </c>
      <c r="AK70" s="63">
        <f t="shared" si="7"/>
        <v>0</v>
      </c>
      <c r="AL70" s="63">
        <f t="shared" si="7"/>
        <v>0</v>
      </c>
      <c r="AM70" s="63">
        <f t="shared" si="7"/>
        <v>0</v>
      </c>
      <c r="AN70" s="63">
        <f t="shared" si="7"/>
        <v>0</v>
      </c>
      <c r="AO70" s="63">
        <f t="shared" si="7"/>
        <v>0</v>
      </c>
      <c r="AP70" s="63">
        <f t="shared" si="7"/>
        <v>0</v>
      </c>
      <c r="AQ70" s="63">
        <f t="shared" si="7"/>
        <v>0</v>
      </c>
      <c r="AR70" s="63">
        <f t="shared" si="7"/>
        <v>0</v>
      </c>
      <c r="AS70" s="63">
        <f t="shared" si="7"/>
        <v>0</v>
      </c>
      <c r="AT70" s="63">
        <f t="shared" si="7"/>
        <v>0</v>
      </c>
      <c r="AU70" s="63">
        <f t="shared" si="7"/>
        <v>0</v>
      </c>
      <c r="AV70" s="63">
        <f t="shared" si="7"/>
        <v>0</v>
      </c>
      <c r="AW70" s="63">
        <f t="shared" si="7"/>
        <v>0</v>
      </c>
      <c r="AX70" s="63">
        <f t="shared" si="7"/>
        <v>0</v>
      </c>
      <c r="AY70" s="63">
        <f t="shared" si="7"/>
        <v>0</v>
      </c>
      <c r="AZ70" s="63">
        <f t="shared" si="7"/>
        <v>0</v>
      </c>
      <c r="BA70" s="34"/>
      <c r="BB70" s="34"/>
      <c r="BC70" s="34"/>
      <c r="BD70" s="34"/>
      <c r="BE70" s="61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</row>
    <row r="75">
      <c r="A75" s="1" t="s">
        <v>461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3"/>
    </row>
    <row r="76">
      <c r="A76" s="4" t="s">
        <v>1</v>
      </c>
      <c r="B76" s="5" t="s">
        <v>2</v>
      </c>
      <c r="C76" s="6" t="s">
        <v>3</v>
      </c>
      <c r="D76" s="7" t="s">
        <v>442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3"/>
    </row>
    <row r="77" ht="62.25" customHeight="1">
      <c r="A77" s="8"/>
      <c r="B77" s="8"/>
      <c r="C77" s="8"/>
      <c r="D77" s="79" t="s">
        <v>376</v>
      </c>
      <c r="E77" s="79" t="s">
        <v>410</v>
      </c>
      <c r="F77" s="79" t="s">
        <v>376</v>
      </c>
      <c r="G77" s="79" t="s">
        <v>410</v>
      </c>
      <c r="H77" s="79" t="s">
        <v>376</v>
      </c>
      <c r="I77" s="79" t="s">
        <v>410</v>
      </c>
      <c r="J77" s="79" t="s">
        <v>376</v>
      </c>
      <c r="K77" s="65" t="s">
        <v>410</v>
      </c>
      <c r="L77" s="79" t="s">
        <v>376</v>
      </c>
      <c r="M77" s="65" t="s">
        <v>410</v>
      </c>
      <c r="N77" s="65" t="s">
        <v>376</v>
      </c>
      <c r="O77" s="65" t="s">
        <v>410</v>
      </c>
      <c r="P77" s="65" t="s">
        <v>372</v>
      </c>
      <c r="Q77" s="65" t="s">
        <v>410</v>
      </c>
      <c r="R77" s="79" t="s">
        <v>443</v>
      </c>
      <c r="S77" s="10" t="s">
        <v>444</v>
      </c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9"/>
      <c r="AY77" s="69"/>
      <c r="AZ77" s="68"/>
      <c r="BA77" s="18" t="s">
        <v>21</v>
      </c>
      <c r="BB77" s="19" t="s">
        <v>22</v>
      </c>
      <c r="BC77" s="20" t="s">
        <v>23</v>
      </c>
      <c r="BD77" s="21" t="s">
        <v>24</v>
      </c>
      <c r="BE77" s="22" t="s">
        <v>25</v>
      </c>
    </row>
    <row r="78" ht="57.75" customHeight="1">
      <c r="A78" s="15"/>
      <c r="B78" s="15"/>
      <c r="C78" s="15"/>
      <c r="D78" s="79" t="s">
        <v>445</v>
      </c>
      <c r="E78" s="65" t="s">
        <v>462</v>
      </c>
      <c r="F78" s="66" t="s">
        <v>446</v>
      </c>
      <c r="G78" s="79" t="s">
        <v>463</v>
      </c>
      <c r="H78" s="66" t="s">
        <v>448</v>
      </c>
      <c r="I78" s="66" t="s">
        <v>464</v>
      </c>
      <c r="J78" s="66" t="s">
        <v>450</v>
      </c>
      <c r="K78" s="65" t="s">
        <v>465</v>
      </c>
      <c r="L78" s="66" t="s">
        <v>452</v>
      </c>
      <c r="M78" s="66" t="s">
        <v>466</v>
      </c>
      <c r="N78" s="66" t="s">
        <v>467</v>
      </c>
      <c r="O78" s="66" t="s">
        <v>468</v>
      </c>
      <c r="P78" s="66" t="s">
        <v>456</v>
      </c>
      <c r="Q78" s="84" t="s">
        <v>469</v>
      </c>
      <c r="R78" s="94" t="s">
        <v>470</v>
      </c>
      <c r="S78" s="80" t="s">
        <v>459</v>
      </c>
      <c r="T78" s="69"/>
      <c r="U78" s="69"/>
      <c r="V78" s="69"/>
      <c r="W78" s="69"/>
      <c r="X78" s="69"/>
      <c r="Y78" s="69"/>
      <c r="Z78" s="69"/>
      <c r="AA78" s="68"/>
      <c r="AB78" s="68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8"/>
      <c r="BA78" s="32">
        <f t="shared" ref="BA78:BA147" si="8">COUNTIF(D78:AZ78,"L")</f>
        <v>0</v>
      </c>
      <c r="BB78" s="32">
        <f t="shared" ref="BB78:BB147" si="9">COUNTIF(D78:AZ78,"A")</f>
        <v>0</v>
      </c>
      <c r="BC78" s="32">
        <f t="shared" ref="BC78:BC147" si="10">COUNTIF(D78:AZ78,"p")</f>
        <v>0</v>
      </c>
      <c r="BD78" s="32">
        <f t="shared" ref="BD78:BD147" si="11">SUM(BA78:BC78)</f>
        <v>0</v>
      </c>
      <c r="BE78" s="33" t="str">
        <f t="shared" ref="BE78:BE147" si="12">SUM(BA78,BC78)/BD78*100</f>
        <v>#DIV/0!</v>
      </c>
    </row>
    <row r="79">
      <c r="A79" s="24">
        <v>1.0</v>
      </c>
      <c r="B79" s="24" t="s">
        <v>207</v>
      </c>
      <c r="C79" s="25" t="s">
        <v>208</v>
      </c>
      <c r="D79" s="26" t="s">
        <v>28</v>
      </c>
      <c r="E79" s="26" t="s">
        <v>28</v>
      </c>
      <c r="F79" s="27" t="s">
        <v>22</v>
      </c>
      <c r="G79" s="26" t="s">
        <v>28</v>
      </c>
      <c r="H79" s="26" t="s">
        <v>28</v>
      </c>
      <c r="I79" s="26" t="s">
        <v>28</v>
      </c>
      <c r="J79" s="26" t="s">
        <v>28</v>
      </c>
      <c r="K79" s="26" t="s">
        <v>28</v>
      </c>
      <c r="L79" s="26" t="s">
        <v>28</v>
      </c>
      <c r="M79" s="27" t="s">
        <v>22</v>
      </c>
      <c r="N79" s="26" t="s">
        <v>28</v>
      </c>
      <c r="O79" s="26" t="s">
        <v>28</v>
      </c>
      <c r="P79" s="26" t="s">
        <v>28</v>
      </c>
      <c r="Q79" s="26" t="s">
        <v>28</v>
      </c>
      <c r="R79" s="26" t="s">
        <v>28</v>
      </c>
      <c r="S79" s="26" t="s">
        <v>28</v>
      </c>
      <c r="T79" s="45"/>
      <c r="U79" s="45"/>
      <c r="V79" s="45"/>
      <c r="W79" s="45"/>
      <c r="X79" s="45"/>
      <c r="Y79" s="45"/>
      <c r="Z79" s="45"/>
      <c r="AA79" s="45"/>
      <c r="AB79" s="71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32">
        <f t="shared" si="8"/>
        <v>0</v>
      </c>
      <c r="BB79" s="32">
        <f t="shared" si="9"/>
        <v>2</v>
      </c>
      <c r="BC79" s="32">
        <f t="shared" si="10"/>
        <v>14</v>
      </c>
      <c r="BD79" s="32">
        <f t="shared" si="11"/>
        <v>16</v>
      </c>
      <c r="BE79" s="33">
        <f t="shared" si="12"/>
        <v>87.5</v>
      </c>
    </row>
    <row r="80">
      <c r="A80" s="24">
        <v>2.0</v>
      </c>
      <c r="B80" s="24" t="s">
        <v>209</v>
      </c>
      <c r="C80" s="25" t="s">
        <v>210</v>
      </c>
      <c r="D80" s="26" t="s">
        <v>28</v>
      </c>
      <c r="E80" s="26" t="s">
        <v>28</v>
      </c>
      <c r="F80" s="26" t="s">
        <v>28</v>
      </c>
      <c r="G80" s="26" t="s">
        <v>28</v>
      </c>
      <c r="H80" s="26" t="s">
        <v>28</v>
      </c>
      <c r="I80" s="26" t="s">
        <v>28</v>
      </c>
      <c r="J80" s="26" t="s">
        <v>28</v>
      </c>
      <c r="K80" s="26" t="s">
        <v>28</v>
      </c>
      <c r="L80" s="26" t="s">
        <v>28</v>
      </c>
      <c r="M80" s="26" t="s">
        <v>28</v>
      </c>
      <c r="N80" s="26" t="s">
        <v>28</v>
      </c>
      <c r="O80" s="26" t="s">
        <v>28</v>
      </c>
      <c r="P80" s="26" t="s">
        <v>28</v>
      </c>
      <c r="Q80" s="26" t="s">
        <v>28</v>
      </c>
      <c r="R80" s="26" t="s">
        <v>28</v>
      </c>
      <c r="S80" s="26" t="s">
        <v>28</v>
      </c>
      <c r="T80" s="45"/>
      <c r="U80" s="45"/>
      <c r="V80" s="45"/>
      <c r="W80" s="45"/>
      <c r="X80" s="45"/>
      <c r="Y80" s="45"/>
      <c r="Z80" s="45"/>
      <c r="AA80" s="45"/>
      <c r="AB80" s="46"/>
      <c r="AC80" s="46"/>
      <c r="AD80" s="46"/>
      <c r="AE80" s="55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32">
        <f t="shared" si="8"/>
        <v>0</v>
      </c>
      <c r="BB80" s="32">
        <f t="shared" si="9"/>
        <v>0</v>
      </c>
      <c r="BC80" s="32">
        <f t="shared" si="10"/>
        <v>16</v>
      </c>
      <c r="BD80" s="32">
        <f t="shared" si="11"/>
        <v>16</v>
      </c>
      <c r="BE80" s="33">
        <f t="shared" si="12"/>
        <v>100</v>
      </c>
    </row>
    <row r="81">
      <c r="A81" s="24">
        <v>3.0</v>
      </c>
      <c r="B81" s="24" t="s">
        <v>211</v>
      </c>
      <c r="C81" s="25" t="s">
        <v>212</v>
      </c>
      <c r="D81" s="27" t="s">
        <v>22</v>
      </c>
      <c r="E81" s="26" t="s">
        <v>28</v>
      </c>
      <c r="F81" s="27" t="s">
        <v>22</v>
      </c>
      <c r="G81" s="26" t="s">
        <v>28</v>
      </c>
      <c r="H81" s="26" t="s">
        <v>28</v>
      </c>
      <c r="I81" s="26" t="s">
        <v>28</v>
      </c>
      <c r="J81" s="27" t="s">
        <v>22</v>
      </c>
      <c r="K81" s="26" t="s">
        <v>28</v>
      </c>
      <c r="L81" s="26" t="s">
        <v>28</v>
      </c>
      <c r="M81" s="26" t="s">
        <v>28</v>
      </c>
      <c r="N81" s="26" t="s">
        <v>28</v>
      </c>
      <c r="O81" s="26" t="s">
        <v>28</v>
      </c>
      <c r="P81" s="26" t="s">
        <v>28</v>
      </c>
      <c r="Q81" s="26" t="s">
        <v>28</v>
      </c>
      <c r="R81" s="26" t="s">
        <v>28</v>
      </c>
      <c r="S81" s="26" t="s">
        <v>28</v>
      </c>
      <c r="T81" s="28"/>
      <c r="U81" s="29"/>
      <c r="V81" s="29"/>
      <c r="W81" s="29"/>
      <c r="X81" s="29"/>
      <c r="Y81" s="29"/>
      <c r="Z81" s="29"/>
      <c r="AA81" s="29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2">
        <f t="shared" si="8"/>
        <v>0</v>
      </c>
      <c r="BB81" s="32">
        <f t="shared" si="9"/>
        <v>3</v>
      </c>
      <c r="BC81" s="32">
        <f t="shared" si="10"/>
        <v>13</v>
      </c>
      <c r="BD81" s="32">
        <f t="shared" si="11"/>
        <v>16</v>
      </c>
      <c r="BE81" s="33">
        <f t="shared" si="12"/>
        <v>81.25</v>
      </c>
    </row>
    <row r="82">
      <c r="A82" s="24">
        <v>4.0</v>
      </c>
      <c r="B82" s="24" t="s">
        <v>213</v>
      </c>
      <c r="C82" s="25" t="s">
        <v>214</v>
      </c>
      <c r="D82" s="27" t="s">
        <v>22</v>
      </c>
      <c r="E82" s="26" t="s">
        <v>28</v>
      </c>
      <c r="F82" s="27" t="s">
        <v>22</v>
      </c>
      <c r="G82" s="26" t="s">
        <v>28</v>
      </c>
      <c r="H82" s="26" t="s">
        <v>28</v>
      </c>
      <c r="I82" s="26" t="s">
        <v>28</v>
      </c>
      <c r="J82" s="27" t="s">
        <v>22</v>
      </c>
      <c r="K82" s="26" t="s">
        <v>28</v>
      </c>
      <c r="L82" s="26" t="s">
        <v>28</v>
      </c>
      <c r="M82" s="26" t="s">
        <v>28</v>
      </c>
      <c r="N82" s="26" t="s">
        <v>28</v>
      </c>
      <c r="O82" s="26" t="s">
        <v>28</v>
      </c>
      <c r="P82" s="26" t="s">
        <v>28</v>
      </c>
      <c r="Q82" s="26" t="s">
        <v>28</v>
      </c>
      <c r="R82" s="26" t="s">
        <v>28</v>
      </c>
      <c r="S82" s="26" t="s">
        <v>28</v>
      </c>
      <c r="T82" s="30"/>
      <c r="U82" s="29"/>
      <c r="V82" s="29"/>
      <c r="W82" s="29"/>
      <c r="X82" s="29"/>
      <c r="Y82" s="29"/>
      <c r="Z82" s="29"/>
      <c r="AA82" s="29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2">
        <f t="shared" si="8"/>
        <v>0</v>
      </c>
      <c r="BB82" s="32">
        <f t="shared" si="9"/>
        <v>3</v>
      </c>
      <c r="BC82" s="32">
        <f t="shared" si="10"/>
        <v>13</v>
      </c>
      <c r="BD82" s="32">
        <f t="shared" si="11"/>
        <v>16</v>
      </c>
      <c r="BE82" s="33">
        <f t="shared" si="12"/>
        <v>81.25</v>
      </c>
    </row>
    <row r="83">
      <c r="A83" s="24">
        <v>5.0</v>
      </c>
      <c r="B83" s="24" t="s">
        <v>215</v>
      </c>
      <c r="C83" s="25" t="s">
        <v>216</v>
      </c>
      <c r="D83" s="26" t="s">
        <v>28</v>
      </c>
      <c r="E83" s="26" t="s">
        <v>28</v>
      </c>
      <c r="F83" s="27" t="s">
        <v>22</v>
      </c>
      <c r="G83" s="26" t="s">
        <v>28</v>
      </c>
      <c r="H83" s="26" t="s">
        <v>28</v>
      </c>
      <c r="I83" s="26" t="s">
        <v>28</v>
      </c>
      <c r="J83" s="26" t="s">
        <v>28</v>
      </c>
      <c r="K83" s="27" t="s">
        <v>22</v>
      </c>
      <c r="L83" s="27" t="s">
        <v>22</v>
      </c>
      <c r="M83" s="26" t="s">
        <v>28</v>
      </c>
      <c r="N83" s="26" t="s">
        <v>28</v>
      </c>
      <c r="O83" s="26" t="s">
        <v>28</v>
      </c>
      <c r="P83" s="26" t="s">
        <v>28</v>
      </c>
      <c r="Q83" s="26" t="s">
        <v>28</v>
      </c>
      <c r="R83" s="26" t="s">
        <v>28</v>
      </c>
      <c r="S83" s="27" t="s">
        <v>22</v>
      </c>
      <c r="T83" s="45"/>
      <c r="U83" s="45"/>
      <c r="V83" s="45"/>
      <c r="W83" s="45"/>
      <c r="X83" s="45"/>
      <c r="Y83" s="45"/>
      <c r="Z83" s="45"/>
      <c r="AA83" s="45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32">
        <f t="shared" si="8"/>
        <v>0</v>
      </c>
      <c r="BB83" s="32">
        <f t="shared" si="9"/>
        <v>4</v>
      </c>
      <c r="BC83" s="32">
        <f t="shared" si="10"/>
        <v>12</v>
      </c>
      <c r="BD83" s="32">
        <f t="shared" si="11"/>
        <v>16</v>
      </c>
      <c r="BE83" s="33">
        <f t="shared" si="12"/>
        <v>75</v>
      </c>
    </row>
    <row r="84">
      <c r="A84" s="24">
        <v>6.0</v>
      </c>
      <c r="B84" s="24" t="s">
        <v>217</v>
      </c>
      <c r="C84" s="25" t="s">
        <v>218</v>
      </c>
      <c r="D84" s="26" t="s">
        <v>28</v>
      </c>
      <c r="E84" s="26" t="s">
        <v>28</v>
      </c>
      <c r="F84" s="26" t="s">
        <v>28</v>
      </c>
      <c r="G84" s="26" t="s">
        <v>28</v>
      </c>
      <c r="H84" s="26" t="s">
        <v>28</v>
      </c>
      <c r="I84" s="26" t="s">
        <v>28</v>
      </c>
      <c r="J84" s="26" t="s">
        <v>28</v>
      </c>
      <c r="K84" s="26" t="s">
        <v>28</v>
      </c>
      <c r="L84" s="26" t="s">
        <v>28</v>
      </c>
      <c r="M84" s="26" t="s">
        <v>28</v>
      </c>
      <c r="N84" s="26" t="s">
        <v>28</v>
      </c>
      <c r="O84" s="26" t="s">
        <v>28</v>
      </c>
      <c r="P84" s="26" t="s">
        <v>28</v>
      </c>
      <c r="Q84" s="26" t="s">
        <v>28</v>
      </c>
      <c r="R84" s="26" t="s">
        <v>28</v>
      </c>
      <c r="S84" s="26" t="s">
        <v>28</v>
      </c>
      <c r="T84" s="45"/>
      <c r="U84" s="45"/>
      <c r="V84" s="45"/>
      <c r="W84" s="45"/>
      <c r="X84" s="45"/>
      <c r="Y84" s="45"/>
      <c r="Z84" s="45"/>
      <c r="AA84" s="45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32">
        <f t="shared" si="8"/>
        <v>0</v>
      </c>
      <c r="BB84" s="32">
        <f t="shared" si="9"/>
        <v>0</v>
      </c>
      <c r="BC84" s="32">
        <f t="shared" si="10"/>
        <v>16</v>
      </c>
      <c r="BD84" s="32">
        <f t="shared" si="11"/>
        <v>16</v>
      </c>
      <c r="BE84" s="33">
        <f t="shared" si="12"/>
        <v>100</v>
      </c>
    </row>
    <row r="85">
      <c r="A85" s="35">
        <v>7.0</v>
      </c>
      <c r="B85" s="35" t="s">
        <v>219</v>
      </c>
      <c r="C85" s="36" t="s">
        <v>220</v>
      </c>
      <c r="D85" s="37"/>
      <c r="E85" s="27"/>
      <c r="F85" s="37"/>
      <c r="G85" s="37"/>
      <c r="H85" s="27"/>
      <c r="I85" s="27"/>
      <c r="J85" s="37"/>
      <c r="K85" s="27"/>
      <c r="L85" s="27"/>
      <c r="M85" s="27"/>
      <c r="N85" s="27"/>
      <c r="O85" s="27"/>
      <c r="P85" s="27"/>
      <c r="Q85" s="27"/>
      <c r="R85" s="38"/>
      <c r="S85" s="86"/>
      <c r="T85" s="39"/>
      <c r="U85" s="39"/>
      <c r="V85" s="39"/>
      <c r="W85" s="39"/>
      <c r="X85" s="39"/>
      <c r="Y85" s="39"/>
      <c r="Z85" s="39"/>
      <c r="AA85" s="39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1">
        <f t="shared" si="8"/>
        <v>0</v>
      </c>
      <c r="BB85" s="41">
        <f t="shared" si="9"/>
        <v>0</v>
      </c>
      <c r="BC85" s="41">
        <f t="shared" si="10"/>
        <v>0</v>
      </c>
      <c r="BD85" s="41">
        <f t="shared" si="11"/>
        <v>0</v>
      </c>
      <c r="BE85" s="42" t="str">
        <f t="shared" si="12"/>
        <v>#DIV/0!</v>
      </c>
    </row>
    <row r="86">
      <c r="A86" s="24">
        <v>8.0</v>
      </c>
      <c r="B86" s="24" t="s">
        <v>221</v>
      </c>
      <c r="C86" s="25" t="s">
        <v>222</v>
      </c>
      <c r="D86" s="27" t="s">
        <v>22</v>
      </c>
      <c r="E86" s="26" t="s">
        <v>28</v>
      </c>
      <c r="F86" s="26" t="s">
        <v>28</v>
      </c>
      <c r="G86" s="27" t="s">
        <v>22</v>
      </c>
      <c r="H86" s="26" t="s">
        <v>28</v>
      </c>
      <c r="I86" s="26" t="s">
        <v>28</v>
      </c>
      <c r="J86" s="26" t="s">
        <v>28</v>
      </c>
      <c r="K86" s="26" t="s">
        <v>28</v>
      </c>
      <c r="L86" s="26" t="s">
        <v>28</v>
      </c>
      <c r="M86" s="26" t="s">
        <v>28</v>
      </c>
      <c r="N86" s="26" t="s">
        <v>28</v>
      </c>
      <c r="O86" s="26" t="s">
        <v>28</v>
      </c>
      <c r="P86" s="26" t="s">
        <v>28</v>
      </c>
      <c r="Q86" s="26" t="s">
        <v>28</v>
      </c>
      <c r="R86" s="26" t="s">
        <v>28</v>
      </c>
      <c r="S86" s="26" t="s">
        <v>28</v>
      </c>
      <c r="T86" s="45"/>
      <c r="U86" s="45"/>
      <c r="V86" s="45"/>
      <c r="W86" s="45"/>
      <c r="X86" s="45"/>
      <c r="Y86" s="45"/>
      <c r="Z86" s="45"/>
      <c r="AA86" s="45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32">
        <f t="shared" si="8"/>
        <v>0</v>
      </c>
      <c r="BB86" s="32">
        <f t="shared" si="9"/>
        <v>2</v>
      </c>
      <c r="BC86" s="32">
        <f t="shared" si="10"/>
        <v>14</v>
      </c>
      <c r="BD86" s="32">
        <f t="shared" si="11"/>
        <v>16</v>
      </c>
      <c r="BE86" s="33">
        <f t="shared" si="12"/>
        <v>87.5</v>
      </c>
    </row>
    <row r="87">
      <c r="A87" s="24">
        <v>9.0</v>
      </c>
      <c r="B87" s="24" t="s">
        <v>223</v>
      </c>
      <c r="C87" s="25" t="s">
        <v>224</v>
      </c>
      <c r="D87" s="26" t="s">
        <v>28</v>
      </c>
      <c r="E87" s="26" t="s">
        <v>28</v>
      </c>
      <c r="F87" s="26" t="s">
        <v>28</v>
      </c>
      <c r="G87" s="26" t="s">
        <v>28</v>
      </c>
      <c r="H87" s="26" t="s">
        <v>28</v>
      </c>
      <c r="I87" s="26" t="s">
        <v>28</v>
      </c>
      <c r="J87" s="27" t="s">
        <v>22</v>
      </c>
      <c r="K87" s="26" t="s">
        <v>28</v>
      </c>
      <c r="L87" s="26" t="s">
        <v>28</v>
      </c>
      <c r="M87" s="26" t="s">
        <v>28</v>
      </c>
      <c r="N87" s="26" t="s">
        <v>28</v>
      </c>
      <c r="O87" s="26" t="s">
        <v>28</v>
      </c>
      <c r="P87" s="26" t="s">
        <v>28</v>
      </c>
      <c r="Q87" s="26" t="s">
        <v>28</v>
      </c>
      <c r="R87" s="26" t="s">
        <v>28</v>
      </c>
      <c r="S87" s="26" t="s">
        <v>28</v>
      </c>
      <c r="T87" s="45"/>
      <c r="U87" s="45"/>
      <c r="V87" s="45"/>
      <c r="W87" s="45"/>
      <c r="X87" s="45"/>
      <c r="Y87" s="45"/>
      <c r="Z87" s="45"/>
      <c r="AA87" s="45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32">
        <f t="shared" si="8"/>
        <v>0</v>
      </c>
      <c r="BB87" s="32">
        <f t="shared" si="9"/>
        <v>1</v>
      </c>
      <c r="BC87" s="32">
        <f t="shared" si="10"/>
        <v>15</v>
      </c>
      <c r="BD87" s="32">
        <f t="shared" si="11"/>
        <v>16</v>
      </c>
      <c r="BE87" s="33">
        <f t="shared" si="12"/>
        <v>93.75</v>
      </c>
    </row>
    <row r="88">
      <c r="A88" s="24">
        <v>10.0</v>
      </c>
      <c r="B88" s="24" t="s">
        <v>225</v>
      </c>
      <c r="C88" s="25" t="s">
        <v>226</v>
      </c>
      <c r="D88" s="26" t="s">
        <v>28</v>
      </c>
      <c r="E88" s="26" t="s">
        <v>28</v>
      </c>
      <c r="F88" s="26" t="s">
        <v>28</v>
      </c>
      <c r="G88" s="26" t="s">
        <v>28</v>
      </c>
      <c r="H88" s="26" t="s">
        <v>28</v>
      </c>
      <c r="I88" s="26" t="s">
        <v>28</v>
      </c>
      <c r="J88" s="26" t="s">
        <v>28</v>
      </c>
      <c r="K88" s="26" t="s">
        <v>28</v>
      </c>
      <c r="L88" s="27" t="s">
        <v>22</v>
      </c>
      <c r="M88" s="26" t="s">
        <v>28</v>
      </c>
      <c r="N88" s="26" t="s">
        <v>28</v>
      </c>
      <c r="O88" s="26" t="s">
        <v>28</v>
      </c>
      <c r="P88" s="26" t="s">
        <v>28</v>
      </c>
      <c r="Q88" s="26" t="s">
        <v>28</v>
      </c>
      <c r="R88" s="26" t="s">
        <v>28</v>
      </c>
      <c r="S88" s="26" t="s">
        <v>28</v>
      </c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32">
        <f t="shared" si="8"/>
        <v>0</v>
      </c>
      <c r="BB88" s="32">
        <f t="shared" si="9"/>
        <v>1</v>
      </c>
      <c r="BC88" s="32">
        <f t="shared" si="10"/>
        <v>15</v>
      </c>
      <c r="BD88" s="32">
        <f t="shared" si="11"/>
        <v>16</v>
      </c>
      <c r="BE88" s="33">
        <f t="shared" si="12"/>
        <v>93.75</v>
      </c>
    </row>
    <row r="89">
      <c r="A89" s="24">
        <v>11.0</v>
      </c>
      <c r="B89" s="24" t="s">
        <v>227</v>
      </c>
      <c r="C89" s="25" t="s">
        <v>228</v>
      </c>
      <c r="D89" s="26" t="s">
        <v>28</v>
      </c>
      <c r="E89" s="26" t="s">
        <v>28</v>
      </c>
      <c r="F89" s="27" t="s">
        <v>22</v>
      </c>
      <c r="G89" s="26" t="s">
        <v>28</v>
      </c>
      <c r="H89" s="26" t="s">
        <v>28</v>
      </c>
      <c r="I89" s="26" t="s">
        <v>28</v>
      </c>
      <c r="J89" s="26" t="s">
        <v>28</v>
      </c>
      <c r="K89" s="26" t="s">
        <v>28</v>
      </c>
      <c r="L89" s="26" t="s">
        <v>28</v>
      </c>
      <c r="M89" s="26" t="s">
        <v>28</v>
      </c>
      <c r="N89" s="26" t="s">
        <v>28</v>
      </c>
      <c r="O89" s="26" t="s">
        <v>28</v>
      </c>
      <c r="P89" s="26" t="s">
        <v>28</v>
      </c>
      <c r="Q89" s="26" t="s">
        <v>28</v>
      </c>
      <c r="R89" s="26" t="s">
        <v>28</v>
      </c>
      <c r="S89" s="27" t="s">
        <v>22</v>
      </c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32">
        <f t="shared" si="8"/>
        <v>0</v>
      </c>
      <c r="BB89" s="32">
        <f t="shared" si="9"/>
        <v>2</v>
      </c>
      <c r="BC89" s="32">
        <f t="shared" si="10"/>
        <v>14</v>
      </c>
      <c r="BD89" s="32">
        <f t="shared" si="11"/>
        <v>16</v>
      </c>
      <c r="BE89" s="33">
        <f t="shared" si="12"/>
        <v>87.5</v>
      </c>
    </row>
    <row r="90">
      <c r="A90" s="47">
        <v>12.0</v>
      </c>
      <c r="B90" s="47" t="s">
        <v>229</v>
      </c>
      <c r="C90" s="85" t="s">
        <v>230</v>
      </c>
      <c r="D90" s="27" t="s">
        <v>22</v>
      </c>
      <c r="E90" s="27" t="s">
        <v>22</v>
      </c>
      <c r="F90" s="27" t="s">
        <v>22</v>
      </c>
      <c r="G90" s="27" t="s">
        <v>22</v>
      </c>
      <c r="H90" s="26" t="s">
        <v>28</v>
      </c>
      <c r="I90" s="26" t="s">
        <v>28</v>
      </c>
      <c r="J90" s="26" t="s">
        <v>28</v>
      </c>
      <c r="K90" s="26" t="s">
        <v>28</v>
      </c>
      <c r="L90" s="26" t="s">
        <v>28</v>
      </c>
      <c r="M90" s="26" t="s">
        <v>28</v>
      </c>
      <c r="N90" s="26" t="s">
        <v>28</v>
      </c>
      <c r="O90" s="26" t="s">
        <v>28</v>
      </c>
      <c r="P90" s="26" t="s">
        <v>28</v>
      </c>
      <c r="Q90" s="26" t="s">
        <v>28</v>
      </c>
      <c r="R90" s="26" t="s">
        <v>28</v>
      </c>
      <c r="S90" s="26" t="s">
        <v>28</v>
      </c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32">
        <f t="shared" si="8"/>
        <v>0</v>
      </c>
      <c r="BB90" s="32">
        <f t="shared" si="9"/>
        <v>4</v>
      </c>
      <c r="BC90" s="32">
        <f t="shared" si="10"/>
        <v>12</v>
      </c>
      <c r="BD90" s="32">
        <f t="shared" si="11"/>
        <v>16</v>
      </c>
      <c r="BE90" s="33">
        <f t="shared" si="12"/>
        <v>75</v>
      </c>
    </row>
    <row r="91">
      <c r="A91" s="24">
        <v>13.0</v>
      </c>
      <c r="B91" s="24" t="s">
        <v>231</v>
      </c>
      <c r="C91" s="25" t="s">
        <v>232</v>
      </c>
      <c r="D91" s="26" t="s">
        <v>28</v>
      </c>
      <c r="E91" s="26" t="s">
        <v>28</v>
      </c>
      <c r="F91" s="26" t="s">
        <v>28</v>
      </c>
      <c r="G91" s="26" t="s">
        <v>28</v>
      </c>
      <c r="H91" s="26" t="s">
        <v>28</v>
      </c>
      <c r="I91" s="26" t="s">
        <v>28</v>
      </c>
      <c r="J91" s="27" t="s">
        <v>22</v>
      </c>
      <c r="K91" s="26" t="s">
        <v>28</v>
      </c>
      <c r="L91" s="26" t="s">
        <v>28</v>
      </c>
      <c r="M91" s="26" t="s">
        <v>28</v>
      </c>
      <c r="N91" s="26" t="s">
        <v>28</v>
      </c>
      <c r="O91" s="27" t="s">
        <v>22</v>
      </c>
      <c r="P91" s="26" t="s">
        <v>28</v>
      </c>
      <c r="Q91" s="26" t="s">
        <v>28</v>
      </c>
      <c r="R91" s="26" t="s">
        <v>28</v>
      </c>
      <c r="S91" s="26" t="s">
        <v>28</v>
      </c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32">
        <f t="shared" si="8"/>
        <v>0</v>
      </c>
      <c r="BB91" s="32">
        <f t="shared" si="9"/>
        <v>2</v>
      </c>
      <c r="BC91" s="32">
        <f t="shared" si="10"/>
        <v>14</v>
      </c>
      <c r="BD91" s="32">
        <f t="shared" si="11"/>
        <v>16</v>
      </c>
      <c r="BE91" s="33">
        <f t="shared" si="12"/>
        <v>87.5</v>
      </c>
    </row>
    <row r="92">
      <c r="A92" s="24">
        <v>14.0</v>
      </c>
      <c r="B92" s="72" t="s">
        <v>233</v>
      </c>
      <c r="C92" s="73" t="s">
        <v>234</v>
      </c>
      <c r="D92" s="26" t="s">
        <v>28</v>
      </c>
      <c r="E92" s="26" t="s">
        <v>28</v>
      </c>
      <c r="F92" s="27" t="s">
        <v>22</v>
      </c>
      <c r="G92" s="26" t="s">
        <v>28</v>
      </c>
      <c r="H92" s="26" t="s">
        <v>28</v>
      </c>
      <c r="I92" s="26" t="s">
        <v>28</v>
      </c>
      <c r="J92" s="27" t="s">
        <v>22</v>
      </c>
      <c r="K92" s="26" t="s">
        <v>28</v>
      </c>
      <c r="L92" s="27" t="s">
        <v>22</v>
      </c>
      <c r="M92" s="26" t="s">
        <v>28</v>
      </c>
      <c r="N92" s="27" t="s">
        <v>22</v>
      </c>
      <c r="O92" s="26" t="s">
        <v>28</v>
      </c>
      <c r="P92" s="27" t="s">
        <v>22</v>
      </c>
      <c r="Q92" s="26" t="s">
        <v>28</v>
      </c>
      <c r="R92" s="26" t="s">
        <v>28</v>
      </c>
      <c r="S92" s="27" t="s">
        <v>22</v>
      </c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32">
        <f t="shared" si="8"/>
        <v>0</v>
      </c>
      <c r="BB92" s="32">
        <f t="shared" si="9"/>
        <v>6</v>
      </c>
      <c r="BC92" s="32">
        <f t="shared" si="10"/>
        <v>10</v>
      </c>
      <c r="BD92" s="32">
        <f t="shared" si="11"/>
        <v>16</v>
      </c>
      <c r="BE92" s="33">
        <f t="shared" si="12"/>
        <v>62.5</v>
      </c>
    </row>
    <row r="93">
      <c r="A93" s="24">
        <v>15.0</v>
      </c>
      <c r="B93" s="24" t="s">
        <v>235</v>
      </c>
      <c r="C93" s="25" t="s">
        <v>236</v>
      </c>
      <c r="D93" s="26" t="s">
        <v>28</v>
      </c>
      <c r="E93" s="26" t="s">
        <v>28</v>
      </c>
      <c r="F93" s="26" t="s">
        <v>28</v>
      </c>
      <c r="G93" s="27" t="s">
        <v>22</v>
      </c>
      <c r="H93" s="26" t="s">
        <v>28</v>
      </c>
      <c r="I93" s="27" t="s">
        <v>22</v>
      </c>
      <c r="J93" s="27" t="s">
        <v>22</v>
      </c>
      <c r="K93" s="26" t="s">
        <v>28</v>
      </c>
      <c r="L93" s="26" t="s">
        <v>28</v>
      </c>
      <c r="M93" s="26" t="s">
        <v>28</v>
      </c>
      <c r="N93" s="26" t="s">
        <v>28</v>
      </c>
      <c r="O93" s="26" t="s">
        <v>28</v>
      </c>
      <c r="P93" s="26" t="s">
        <v>28</v>
      </c>
      <c r="Q93" s="26" t="s">
        <v>28</v>
      </c>
      <c r="R93" s="26" t="s">
        <v>28</v>
      </c>
      <c r="S93" s="26" t="s">
        <v>28</v>
      </c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32">
        <f t="shared" si="8"/>
        <v>0</v>
      </c>
      <c r="BB93" s="32">
        <f t="shared" si="9"/>
        <v>3</v>
      </c>
      <c r="BC93" s="32">
        <f t="shared" si="10"/>
        <v>13</v>
      </c>
      <c r="BD93" s="32">
        <f t="shared" si="11"/>
        <v>16</v>
      </c>
      <c r="BE93" s="33">
        <f t="shared" si="12"/>
        <v>81.25</v>
      </c>
    </row>
    <row r="94">
      <c r="A94" s="24">
        <v>16.0</v>
      </c>
      <c r="B94" s="24" t="s">
        <v>237</v>
      </c>
      <c r="C94" s="25" t="s">
        <v>238</v>
      </c>
      <c r="D94" s="26" t="s">
        <v>28</v>
      </c>
      <c r="E94" s="26" t="s">
        <v>28</v>
      </c>
      <c r="F94" s="26" t="s">
        <v>28</v>
      </c>
      <c r="G94" s="26" t="s">
        <v>28</v>
      </c>
      <c r="H94" s="26" t="s">
        <v>28</v>
      </c>
      <c r="I94" s="26" t="s">
        <v>28</v>
      </c>
      <c r="J94" s="27" t="s">
        <v>22</v>
      </c>
      <c r="K94" s="26" t="s">
        <v>28</v>
      </c>
      <c r="L94" s="27" t="s">
        <v>22</v>
      </c>
      <c r="M94" s="26" t="s">
        <v>28</v>
      </c>
      <c r="N94" s="26" t="s">
        <v>28</v>
      </c>
      <c r="O94" s="26" t="s">
        <v>28</v>
      </c>
      <c r="P94" s="27" t="s">
        <v>22</v>
      </c>
      <c r="Q94" s="26" t="s">
        <v>28</v>
      </c>
      <c r="R94" s="26" t="s">
        <v>28</v>
      </c>
      <c r="S94" s="26" t="s">
        <v>28</v>
      </c>
      <c r="T94" s="45"/>
      <c r="U94" s="45"/>
      <c r="V94" s="45"/>
      <c r="W94" s="45"/>
      <c r="X94" s="45"/>
      <c r="Y94" s="45"/>
      <c r="Z94" s="45"/>
      <c r="AA94" s="45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32">
        <f t="shared" si="8"/>
        <v>0</v>
      </c>
      <c r="BB94" s="32">
        <f t="shared" si="9"/>
        <v>3</v>
      </c>
      <c r="BC94" s="32">
        <f t="shared" si="10"/>
        <v>13</v>
      </c>
      <c r="BD94" s="32">
        <f t="shared" si="11"/>
        <v>16</v>
      </c>
      <c r="BE94" s="33">
        <f t="shared" si="12"/>
        <v>81.25</v>
      </c>
    </row>
    <row r="95">
      <c r="A95" s="24">
        <v>17.0</v>
      </c>
      <c r="B95" s="24" t="s">
        <v>239</v>
      </c>
      <c r="C95" s="25" t="s">
        <v>240</v>
      </c>
      <c r="D95" s="26" t="s">
        <v>28</v>
      </c>
      <c r="E95" s="26" t="s">
        <v>28</v>
      </c>
      <c r="F95" s="26" t="s">
        <v>28</v>
      </c>
      <c r="G95" s="26" t="s">
        <v>28</v>
      </c>
      <c r="H95" s="26" t="s">
        <v>28</v>
      </c>
      <c r="I95" s="26" t="s">
        <v>28</v>
      </c>
      <c r="J95" s="27" t="s">
        <v>22</v>
      </c>
      <c r="K95" s="26" t="s">
        <v>28</v>
      </c>
      <c r="L95" s="27" t="s">
        <v>22</v>
      </c>
      <c r="M95" s="26" t="s">
        <v>28</v>
      </c>
      <c r="N95" s="26" t="s">
        <v>28</v>
      </c>
      <c r="O95" s="26" t="s">
        <v>28</v>
      </c>
      <c r="P95" s="27" t="s">
        <v>22</v>
      </c>
      <c r="Q95" s="26" t="s">
        <v>28</v>
      </c>
      <c r="R95" s="26" t="s">
        <v>28</v>
      </c>
      <c r="S95" s="27" t="s">
        <v>22</v>
      </c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32">
        <f t="shared" si="8"/>
        <v>0</v>
      </c>
      <c r="BB95" s="32">
        <f t="shared" si="9"/>
        <v>4</v>
      </c>
      <c r="BC95" s="32">
        <f t="shared" si="10"/>
        <v>12</v>
      </c>
      <c r="BD95" s="32">
        <f t="shared" si="11"/>
        <v>16</v>
      </c>
      <c r="BE95" s="33">
        <f t="shared" si="12"/>
        <v>75</v>
      </c>
    </row>
    <row r="96">
      <c r="A96" s="24">
        <v>18.0</v>
      </c>
      <c r="B96" s="47" t="s">
        <v>241</v>
      </c>
      <c r="C96" s="85" t="s">
        <v>242</v>
      </c>
      <c r="D96" s="27" t="s">
        <v>22</v>
      </c>
      <c r="E96" s="27" t="s">
        <v>22</v>
      </c>
      <c r="F96" s="27" t="s">
        <v>22</v>
      </c>
      <c r="G96" s="27" t="s">
        <v>22</v>
      </c>
      <c r="H96" s="26" t="s">
        <v>28</v>
      </c>
      <c r="I96" s="26" t="s">
        <v>28</v>
      </c>
      <c r="J96" s="27" t="s">
        <v>22</v>
      </c>
      <c r="K96" s="27" t="s">
        <v>22</v>
      </c>
      <c r="L96" s="27" t="s">
        <v>22</v>
      </c>
      <c r="M96" s="27" t="s">
        <v>22</v>
      </c>
      <c r="N96" s="26" t="s">
        <v>28</v>
      </c>
      <c r="O96" s="27" t="s">
        <v>22</v>
      </c>
      <c r="P96" s="27" t="s">
        <v>22</v>
      </c>
      <c r="Q96" s="26" t="s">
        <v>28</v>
      </c>
      <c r="R96" s="26" t="s">
        <v>28</v>
      </c>
      <c r="S96" s="27" t="s">
        <v>22</v>
      </c>
      <c r="T96" s="45"/>
      <c r="U96" s="45"/>
      <c r="V96" s="45"/>
      <c r="W96" s="45"/>
      <c r="X96" s="45"/>
      <c r="Y96" s="45"/>
      <c r="Z96" s="45"/>
      <c r="AA96" s="45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32">
        <f t="shared" si="8"/>
        <v>0</v>
      </c>
      <c r="BB96" s="32">
        <f t="shared" si="9"/>
        <v>11</v>
      </c>
      <c r="BC96" s="32">
        <f t="shared" si="10"/>
        <v>5</v>
      </c>
      <c r="BD96" s="32">
        <f t="shared" si="11"/>
        <v>16</v>
      </c>
      <c r="BE96" s="33">
        <f t="shared" si="12"/>
        <v>31.25</v>
      </c>
    </row>
    <row r="97">
      <c r="A97" s="24">
        <v>19.0</v>
      </c>
      <c r="B97" s="47" t="s">
        <v>243</v>
      </c>
      <c r="C97" s="25" t="s">
        <v>244</v>
      </c>
      <c r="D97" s="27" t="s">
        <v>22</v>
      </c>
      <c r="E97" s="26" t="s">
        <v>28</v>
      </c>
      <c r="F97" s="26" t="s">
        <v>28</v>
      </c>
      <c r="G97" s="26" t="s">
        <v>28</v>
      </c>
      <c r="H97" s="27" t="s">
        <v>22</v>
      </c>
      <c r="I97" s="26" t="s">
        <v>28</v>
      </c>
      <c r="J97" s="26" t="s">
        <v>28</v>
      </c>
      <c r="K97" s="26" t="s">
        <v>28</v>
      </c>
      <c r="L97" s="26" t="s">
        <v>28</v>
      </c>
      <c r="M97" s="26" t="s">
        <v>28</v>
      </c>
      <c r="N97" s="26" t="s">
        <v>28</v>
      </c>
      <c r="O97" s="26" t="s">
        <v>28</v>
      </c>
      <c r="P97" s="26" t="s">
        <v>28</v>
      </c>
      <c r="Q97" s="26" t="s">
        <v>28</v>
      </c>
      <c r="R97" s="26" t="s">
        <v>28</v>
      </c>
      <c r="S97" s="27" t="s">
        <v>22</v>
      </c>
      <c r="T97" s="45"/>
      <c r="U97" s="45"/>
      <c r="V97" s="45"/>
      <c r="W97" s="45"/>
      <c r="X97" s="45"/>
      <c r="Y97" s="45"/>
      <c r="Z97" s="45"/>
      <c r="AA97" s="45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32">
        <f t="shared" si="8"/>
        <v>0</v>
      </c>
      <c r="BB97" s="32">
        <f t="shared" si="9"/>
        <v>3</v>
      </c>
      <c r="BC97" s="32">
        <f t="shared" si="10"/>
        <v>13</v>
      </c>
      <c r="BD97" s="32">
        <f t="shared" si="11"/>
        <v>16</v>
      </c>
      <c r="BE97" s="33">
        <f t="shared" si="12"/>
        <v>81.25</v>
      </c>
    </row>
    <row r="98">
      <c r="A98" s="35">
        <v>20.0</v>
      </c>
      <c r="B98" s="35" t="s">
        <v>245</v>
      </c>
      <c r="C98" s="36" t="s">
        <v>246</v>
      </c>
      <c r="D98" s="37" t="s">
        <v>28</v>
      </c>
      <c r="E98" s="37" t="s">
        <v>28</v>
      </c>
      <c r="F98" s="37" t="s">
        <v>28</v>
      </c>
      <c r="G98" s="37" t="s">
        <v>28</v>
      </c>
      <c r="H98" s="37" t="s">
        <v>28</v>
      </c>
      <c r="I98" s="37" t="s">
        <v>28</v>
      </c>
      <c r="J98" s="37" t="s">
        <v>28</v>
      </c>
      <c r="K98" s="37" t="s">
        <v>28</v>
      </c>
      <c r="L98" s="37" t="s">
        <v>28</v>
      </c>
      <c r="M98" s="37" t="s">
        <v>28</v>
      </c>
      <c r="N98" s="37" t="s">
        <v>28</v>
      </c>
      <c r="O98" s="37" t="s">
        <v>28</v>
      </c>
      <c r="P98" s="37" t="s">
        <v>28</v>
      </c>
      <c r="Q98" s="37" t="s">
        <v>28</v>
      </c>
      <c r="R98" s="27" t="s">
        <v>22</v>
      </c>
      <c r="S98" s="27" t="s">
        <v>22</v>
      </c>
      <c r="T98" s="39"/>
      <c r="U98" s="39"/>
      <c r="V98" s="39"/>
      <c r="W98" s="39"/>
      <c r="X98" s="39"/>
      <c r="Y98" s="39"/>
      <c r="Z98" s="39"/>
      <c r="AA98" s="39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1">
        <f t="shared" si="8"/>
        <v>0</v>
      </c>
      <c r="BB98" s="41">
        <f t="shared" si="9"/>
        <v>2</v>
      </c>
      <c r="BC98" s="41">
        <f t="shared" si="10"/>
        <v>14</v>
      </c>
      <c r="BD98" s="41">
        <f t="shared" si="11"/>
        <v>16</v>
      </c>
      <c r="BE98" s="42">
        <f t="shared" si="12"/>
        <v>87.5</v>
      </c>
    </row>
    <row r="99">
      <c r="A99" s="24">
        <v>21.0</v>
      </c>
      <c r="B99" s="24" t="s">
        <v>247</v>
      </c>
      <c r="C99" s="25" t="s">
        <v>248</v>
      </c>
      <c r="D99" s="27" t="s">
        <v>22</v>
      </c>
      <c r="E99" s="27" t="s">
        <v>22</v>
      </c>
      <c r="F99" s="27" t="s">
        <v>22</v>
      </c>
      <c r="G99" s="27" t="s">
        <v>22</v>
      </c>
      <c r="H99" s="26" t="s">
        <v>28</v>
      </c>
      <c r="I99" s="27" t="s">
        <v>22</v>
      </c>
      <c r="J99" s="27" t="s">
        <v>22</v>
      </c>
      <c r="K99" s="27" t="s">
        <v>22</v>
      </c>
      <c r="L99" s="26" t="s">
        <v>28</v>
      </c>
      <c r="M99" s="27" t="s">
        <v>22</v>
      </c>
      <c r="N99" s="26" t="s">
        <v>28</v>
      </c>
      <c r="O99" s="26" t="s">
        <v>28</v>
      </c>
      <c r="P99" s="26" t="s">
        <v>28</v>
      </c>
      <c r="Q99" s="27" t="s">
        <v>22</v>
      </c>
      <c r="R99" s="26" t="s">
        <v>28</v>
      </c>
      <c r="S99" s="26" t="s">
        <v>28</v>
      </c>
      <c r="T99" s="45"/>
      <c r="U99" s="45"/>
      <c r="V99" s="45"/>
      <c r="W99" s="45"/>
      <c r="X99" s="45"/>
      <c r="Y99" s="45"/>
      <c r="Z99" s="45"/>
      <c r="AA99" s="45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32">
        <f t="shared" si="8"/>
        <v>0</v>
      </c>
      <c r="BB99" s="32">
        <f t="shared" si="9"/>
        <v>9</v>
      </c>
      <c r="BC99" s="32">
        <f t="shared" si="10"/>
        <v>7</v>
      </c>
      <c r="BD99" s="32">
        <f t="shared" si="11"/>
        <v>16</v>
      </c>
      <c r="BE99" s="33">
        <f t="shared" si="12"/>
        <v>43.75</v>
      </c>
    </row>
    <row r="100">
      <c r="A100" s="24">
        <v>22.0</v>
      </c>
      <c r="B100" s="24" t="s">
        <v>249</v>
      </c>
      <c r="C100" s="25" t="s">
        <v>250</v>
      </c>
      <c r="D100" s="26" t="s">
        <v>28</v>
      </c>
      <c r="E100" s="26" t="s">
        <v>28</v>
      </c>
      <c r="F100" s="26" t="s">
        <v>28</v>
      </c>
      <c r="G100" s="26" t="s">
        <v>28</v>
      </c>
      <c r="H100" s="26" t="s">
        <v>28</v>
      </c>
      <c r="I100" s="26" t="s">
        <v>28</v>
      </c>
      <c r="J100" s="26" t="s">
        <v>28</v>
      </c>
      <c r="K100" s="26" t="s">
        <v>28</v>
      </c>
      <c r="L100" s="26" t="s">
        <v>28</v>
      </c>
      <c r="M100" s="27" t="s">
        <v>22</v>
      </c>
      <c r="N100" s="27" t="s">
        <v>22</v>
      </c>
      <c r="O100" s="26" t="s">
        <v>28</v>
      </c>
      <c r="P100" s="26" t="s">
        <v>28</v>
      </c>
      <c r="Q100" s="26" t="s">
        <v>28</v>
      </c>
      <c r="R100" s="26" t="s">
        <v>28</v>
      </c>
      <c r="S100" s="26" t="s">
        <v>28</v>
      </c>
      <c r="T100" s="45"/>
      <c r="U100" s="45"/>
      <c r="V100" s="45"/>
      <c r="W100" s="45"/>
      <c r="X100" s="45"/>
      <c r="Y100" s="45"/>
      <c r="Z100" s="45"/>
      <c r="AA100" s="45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32">
        <f t="shared" si="8"/>
        <v>0</v>
      </c>
      <c r="BB100" s="32">
        <f t="shared" si="9"/>
        <v>2</v>
      </c>
      <c r="BC100" s="32">
        <f t="shared" si="10"/>
        <v>14</v>
      </c>
      <c r="BD100" s="32">
        <f t="shared" si="11"/>
        <v>16</v>
      </c>
      <c r="BE100" s="33">
        <f t="shared" si="12"/>
        <v>87.5</v>
      </c>
    </row>
    <row r="101">
      <c r="A101" s="24">
        <v>23.0</v>
      </c>
      <c r="B101" s="24" t="s">
        <v>253</v>
      </c>
      <c r="C101" s="25" t="s">
        <v>254</v>
      </c>
      <c r="D101" s="27" t="s">
        <v>22</v>
      </c>
      <c r="E101" s="26" t="s">
        <v>28</v>
      </c>
      <c r="F101" s="26" t="s">
        <v>28</v>
      </c>
      <c r="G101" s="26" t="s">
        <v>28</v>
      </c>
      <c r="H101" s="26" t="s">
        <v>28</v>
      </c>
      <c r="I101" s="26" t="s">
        <v>28</v>
      </c>
      <c r="J101" s="27" t="s">
        <v>22</v>
      </c>
      <c r="K101" s="26" t="s">
        <v>28</v>
      </c>
      <c r="L101" s="27" t="s">
        <v>22</v>
      </c>
      <c r="M101" s="26" t="s">
        <v>28</v>
      </c>
      <c r="N101" s="27" t="s">
        <v>22</v>
      </c>
      <c r="O101" s="26" t="s">
        <v>28</v>
      </c>
      <c r="P101" s="26" t="s">
        <v>28</v>
      </c>
      <c r="Q101" s="26" t="s">
        <v>28</v>
      </c>
      <c r="R101" s="26" t="s">
        <v>28</v>
      </c>
      <c r="S101" s="27" t="s">
        <v>22</v>
      </c>
      <c r="T101" s="45"/>
      <c r="U101" s="45"/>
      <c r="V101" s="45"/>
      <c r="W101" s="45"/>
      <c r="X101" s="45"/>
      <c r="Y101" s="45"/>
      <c r="Z101" s="45"/>
      <c r="AA101" s="45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32">
        <f t="shared" si="8"/>
        <v>0</v>
      </c>
      <c r="BB101" s="32">
        <f t="shared" si="9"/>
        <v>5</v>
      </c>
      <c r="BC101" s="32">
        <f t="shared" si="10"/>
        <v>11</v>
      </c>
      <c r="BD101" s="32">
        <f t="shared" si="11"/>
        <v>16</v>
      </c>
      <c r="BE101" s="33">
        <f t="shared" si="12"/>
        <v>68.75</v>
      </c>
    </row>
    <row r="102">
      <c r="A102" s="24">
        <v>24.0</v>
      </c>
      <c r="B102" s="24" t="s">
        <v>255</v>
      </c>
      <c r="C102" s="25" t="s">
        <v>256</v>
      </c>
      <c r="D102" s="26" t="s">
        <v>28</v>
      </c>
      <c r="E102" s="26" t="s">
        <v>28</v>
      </c>
      <c r="F102" s="27" t="s">
        <v>22</v>
      </c>
      <c r="G102" s="26" t="s">
        <v>28</v>
      </c>
      <c r="H102" s="26" t="s">
        <v>28</v>
      </c>
      <c r="I102" s="26" t="s">
        <v>28</v>
      </c>
      <c r="J102" s="26" t="s">
        <v>28</v>
      </c>
      <c r="K102" s="26" t="s">
        <v>28</v>
      </c>
      <c r="L102" s="26" t="s">
        <v>28</v>
      </c>
      <c r="M102" s="26" t="s">
        <v>28</v>
      </c>
      <c r="N102" s="27" t="s">
        <v>22</v>
      </c>
      <c r="O102" s="26" t="s">
        <v>28</v>
      </c>
      <c r="P102" s="26" t="s">
        <v>28</v>
      </c>
      <c r="Q102" s="26" t="s">
        <v>28</v>
      </c>
      <c r="R102" s="26" t="s">
        <v>28</v>
      </c>
      <c r="S102" s="27" t="s">
        <v>22</v>
      </c>
      <c r="T102" s="45"/>
      <c r="U102" s="45"/>
      <c r="V102" s="45"/>
      <c r="W102" s="45"/>
      <c r="X102" s="45"/>
      <c r="Y102" s="45"/>
      <c r="Z102" s="45"/>
      <c r="AA102" s="45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32">
        <f t="shared" si="8"/>
        <v>0</v>
      </c>
      <c r="BB102" s="32">
        <f t="shared" si="9"/>
        <v>3</v>
      </c>
      <c r="BC102" s="32">
        <f t="shared" si="10"/>
        <v>13</v>
      </c>
      <c r="BD102" s="32">
        <f t="shared" si="11"/>
        <v>16</v>
      </c>
      <c r="BE102" s="33">
        <f t="shared" si="12"/>
        <v>81.25</v>
      </c>
    </row>
    <row r="103">
      <c r="A103" s="24">
        <v>25.0</v>
      </c>
      <c r="B103" s="24" t="s">
        <v>257</v>
      </c>
      <c r="C103" s="25" t="s">
        <v>258</v>
      </c>
      <c r="D103" s="26" t="s">
        <v>28</v>
      </c>
      <c r="E103" s="26" t="s">
        <v>28</v>
      </c>
      <c r="F103" s="26" t="s">
        <v>28</v>
      </c>
      <c r="G103" s="26" t="s">
        <v>28</v>
      </c>
      <c r="H103" s="26" t="s">
        <v>28</v>
      </c>
      <c r="I103" s="26" t="s">
        <v>28</v>
      </c>
      <c r="J103" s="26" t="s">
        <v>28</v>
      </c>
      <c r="K103" s="26" t="s">
        <v>28</v>
      </c>
      <c r="L103" s="26" t="s">
        <v>28</v>
      </c>
      <c r="M103" s="26" t="s">
        <v>28</v>
      </c>
      <c r="N103" s="26" t="s">
        <v>28</v>
      </c>
      <c r="O103" s="26" t="s">
        <v>28</v>
      </c>
      <c r="P103" s="26" t="s">
        <v>28</v>
      </c>
      <c r="Q103" s="26" t="s">
        <v>28</v>
      </c>
      <c r="R103" s="26" t="s">
        <v>28</v>
      </c>
      <c r="S103" s="27" t="s">
        <v>22</v>
      </c>
      <c r="T103" s="45"/>
      <c r="U103" s="45"/>
      <c r="V103" s="45"/>
      <c r="W103" s="45"/>
      <c r="X103" s="45"/>
      <c r="Y103" s="45"/>
      <c r="Z103" s="45"/>
      <c r="AA103" s="45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32">
        <f t="shared" si="8"/>
        <v>0</v>
      </c>
      <c r="BB103" s="32">
        <f t="shared" si="9"/>
        <v>1</v>
      </c>
      <c r="BC103" s="32">
        <f t="shared" si="10"/>
        <v>15</v>
      </c>
      <c r="BD103" s="32">
        <f t="shared" si="11"/>
        <v>16</v>
      </c>
      <c r="BE103" s="33">
        <f t="shared" si="12"/>
        <v>93.75</v>
      </c>
    </row>
    <row r="104">
      <c r="A104" s="24">
        <v>26.0</v>
      </c>
      <c r="B104" s="24" t="s">
        <v>259</v>
      </c>
      <c r="C104" s="25" t="s">
        <v>260</v>
      </c>
      <c r="D104" s="27" t="s">
        <v>22</v>
      </c>
      <c r="E104" s="26" t="s">
        <v>28</v>
      </c>
      <c r="F104" s="26" t="s">
        <v>28</v>
      </c>
      <c r="G104" s="26" t="s">
        <v>28</v>
      </c>
      <c r="H104" s="26" t="s">
        <v>28</v>
      </c>
      <c r="I104" s="26" t="s">
        <v>28</v>
      </c>
      <c r="J104" s="26" t="s">
        <v>28</v>
      </c>
      <c r="K104" s="26" t="s">
        <v>28</v>
      </c>
      <c r="L104" s="26" t="s">
        <v>28</v>
      </c>
      <c r="M104" s="26" t="s">
        <v>28</v>
      </c>
      <c r="N104" s="26" t="s">
        <v>28</v>
      </c>
      <c r="O104" s="26" t="s">
        <v>28</v>
      </c>
      <c r="P104" s="26" t="s">
        <v>28</v>
      </c>
      <c r="Q104" s="26" t="s">
        <v>28</v>
      </c>
      <c r="R104" s="26" t="s">
        <v>28</v>
      </c>
      <c r="S104" s="26" t="s">
        <v>28</v>
      </c>
      <c r="T104" s="45"/>
      <c r="U104" s="45"/>
      <c r="V104" s="45"/>
      <c r="W104" s="45"/>
      <c r="X104" s="45"/>
      <c r="Y104" s="45"/>
      <c r="Z104" s="45"/>
      <c r="AA104" s="45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32">
        <f t="shared" si="8"/>
        <v>0</v>
      </c>
      <c r="BB104" s="32">
        <f t="shared" si="9"/>
        <v>1</v>
      </c>
      <c r="BC104" s="32">
        <f t="shared" si="10"/>
        <v>15</v>
      </c>
      <c r="BD104" s="32">
        <f t="shared" si="11"/>
        <v>16</v>
      </c>
      <c r="BE104" s="33">
        <f t="shared" si="12"/>
        <v>93.75</v>
      </c>
    </row>
    <row r="105">
      <c r="A105" s="24">
        <v>27.0</v>
      </c>
      <c r="B105" s="24" t="s">
        <v>261</v>
      </c>
      <c r="C105" s="25" t="s">
        <v>262</v>
      </c>
      <c r="D105" s="27" t="s">
        <v>22</v>
      </c>
      <c r="E105" s="27" t="s">
        <v>22</v>
      </c>
      <c r="F105" s="27" t="s">
        <v>22</v>
      </c>
      <c r="G105" s="27" t="s">
        <v>22</v>
      </c>
      <c r="H105" s="26" t="s">
        <v>28</v>
      </c>
      <c r="I105" s="26" t="s">
        <v>28</v>
      </c>
      <c r="J105" s="26" t="s">
        <v>28</v>
      </c>
      <c r="K105" s="26" t="s">
        <v>28</v>
      </c>
      <c r="L105" s="26" t="s">
        <v>28</v>
      </c>
      <c r="M105" s="26" t="s">
        <v>28</v>
      </c>
      <c r="N105" s="26" t="s">
        <v>28</v>
      </c>
      <c r="O105" s="26" t="s">
        <v>28</v>
      </c>
      <c r="P105" s="26" t="s">
        <v>28</v>
      </c>
      <c r="Q105" s="26" t="s">
        <v>28</v>
      </c>
      <c r="R105" s="26" t="s">
        <v>28</v>
      </c>
      <c r="S105" s="27" t="s">
        <v>22</v>
      </c>
      <c r="T105" s="45"/>
      <c r="U105" s="45"/>
      <c r="V105" s="45"/>
      <c r="W105" s="45"/>
      <c r="X105" s="45"/>
      <c r="Y105" s="45"/>
      <c r="Z105" s="45"/>
      <c r="AA105" s="45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32">
        <f t="shared" si="8"/>
        <v>0</v>
      </c>
      <c r="BB105" s="32">
        <f t="shared" si="9"/>
        <v>5</v>
      </c>
      <c r="BC105" s="32">
        <f t="shared" si="10"/>
        <v>11</v>
      </c>
      <c r="BD105" s="32">
        <f t="shared" si="11"/>
        <v>16</v>
      </c>
      <c r="BE105" s="33">
        <f t="shared" si="12"/>
        <v>68.75</v>
      </c>
    </row>
    <row r="106">
      <c r="A106" s="24">
        <v>28.0</v>
      </c>
      <c r="B106" s="24" t="s">
        <v>263</v>
      </c>
      <c r="C106" s="25" t="s">
        <v>264</v>
      </c>
      <c r="D106" s="26" t="s">
        <v>28</v>
      </c>
      <c r="E106" s="26" t="s">
        <v>28</v>
      </c>
      <c r="F106" s="27" t="s">
        <v>22</v>
      </c>
      <c r="G106" s="26" t="s">
        <v>28</v>
      </c>
      <c r="H106" s="26" t="s">
        <v>28</v>
      </c>
      <c r="I106" s="26" t="s">
        <v>28</v>
      </c>
      <c r="J106" s="26" t="s">
        <v>28</v>
      </c>
      <c r="K106" s="27" t="s">
        <v>22</v>
      </c>
      <c r="L106" s="26" t="s">
        <v>28</v>
      </c>
      <c r="M106" s="26" t="s">
        <v>28</v>
      </c>
      <c r="N106" s="27" t="s">
        <v>22</v>
      </c>
      <c r="O106" s="26" t="s">
        <v>28</v>
      </c>
      <c r="P106" s="26" t="s">
        <v>28</v>
      </c>
      <c r="Q106" s="26" t="s">
        <v>28</v>
      </c>
      <c r="R106" s="26" t="s">
        <v>28</v>
      </c>
      <c r="S106" s="26" t="s">
        <v>28</v>
      </c>
      <c r="T106" s="45"/>
      <c r="U106" s="45"/>
      <c r="V106" s="45"/>
      <c r="W106" s="45"/>
      <c r="X106" s="45"/>
      <c r="Y106" s="45"/>
      <c r="Z106" s="45"/>
      <c r="AA106" s="45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32">
        <f t="shared" si="8"/>
        <v>0</v>
      </c>
      <c r="BB106" s="32">
        <f t="shared" si="9"/>
        <v>3</v>
      </c>
      <c r="BC106" s="32">
        <f t="shared" si="10"/>
        <v>13</v>
      </c>
      <c r="BD106" s="32">
        <f t="shared" si="11"/>
        <v>16</v>
      </c>
      <c r="BE106" s="33">
        <f t="shared" si="12"/>
        <v>81.25</v>
      </c>
    </row>
    <row r="107">
      <c r="A107" s="24">
        <v>29.0</v>
      </c>
      <c r="B107" s="24" t="s">
        <v>265</v>
      </c>
      <c r="C107" s="25" t="s">
        <v>266</v>
      </c>
      <c r="D107" s="26" t="s">
        <v>28</v>
      </c>
      <c r="E107" s="26" t="s">
        <v>28</v>
      </c>
      <c r="F107" s="26" t="s">
        <v>28</v>
      </c>
      <c r="G107" s="26" t="s">
        <v>28</v>
      </c>
      <c r="H107" s="26" t="s">
        <v>28</v>
      </c>
      <c r="I107" s="26" t="s">
        <v>28</v>
      </c>
      <c r="J107" s="26" t="s">
        <v>28</v>
      </c>
      <c r="K107" s="26" t="s">
        <v>28</v>
      </c>
      <c r="L107" s="26" t="s">
        <v>28</v>
      </c>
      <c r="M107" s="26" t="s">
        <v>28</v>
      </c>
      <c r="N107" s="26" t="s">
        <v>28</v>
      </c>
      <c r="O107" s="26" t="s">
        <v>28</v>
      </c>
      <c r="P107" s="26" t="s">
        <v>28</v>
      </c>
      <c r="Q107" s="26" t="s">
        <v>28</v>
      </c>
      <c r="R107" s="26" t="s">
        <v>28</v>
      </c>
      <c r="S107" s="27" t="s">
        <v>22</v>
      </c>
      <c r="T107" s="45"/>
      <c r="U107" s="45"/>
      <c r="V107" s="45"/>
      <c r="W107" s="45"/>
      <c r="X107" s="45"/>
      <c r="Y107" s="45"/>
      <c r="Z107" s="45"/>
      <c r="AA107" s="45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32">
        <f t="shared" si="8"/>
        <v>0</v>
      </c>
      <c r="BB107" s="32">
        <f t="shared" si="9"/>
        <v>1</v>
      </c>
      <c r="BC107" s="32">
        <f t="shared" si="10"/>
        <v>15</v>
      </c>
      <c r="BD107" s="32">
        <f t="shared" si="11"/>
        <v>16</v>
      </c>
      <c r="BE107" s="33">
        <f t="shared" si="12"/>
        <v>93.75</v>
      </c>
    </row>
    <row r="108">
      <c r="A108" s="35">
        <v>30.0</v>
      </c>
      <c r="B108" s="35" t="s">
        <v>267</v>
      </c>
      <c r="C108" s="36" t="s">
        <v>268</v>
      </c>
      <c r="D108" s="27" t="s">
        <v>22</v>
      </c>
      <c r="E108" s="27" t="s">
        <v>22</v>
      </c>
      <c r="F108" s="27" t="s">
        <v>22</v>
      </c>
      <c r="G108" s="27" t="s">
        <v>22</v>
      </c>
      <c r="H108" s="37" t="s">
        <v>28</v>
      </c>
      <c r="I108" s="37"/>
      <c r="J108" s="37"/>
      <c r="K108" s="37"/>
      <c r="L108" s="37"/>
      <c r="M108" s="27"/>
      <c r="N108" s="37"/>
      <c r="O108" s="37"/>
      <c r="P108" s="27"/>
      <c r="Q108" s="27"/>
      <c r="R108" s="27"/>
      <c r="S108" s="86"/>
      <c r="T108" s="39"/>
      <c r="U108" s="39"/>
      <c r="V108" s="39"/>
      <c r="W108" s="39"/>
      <c r="X108" s="39"/>
      <c r="Y108" s="39"/>
      <c r="Z108" s="39"/>
      <c r="AA108" s="39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1">
        <f t="shared" si="8"/>
        <v>0</v>
      </c>
      <c r="BB108" s="41">
        <f t="shared" si="9"/>
        <v>4</v>
      </c>
      <c r="BC108" s="41">
        <f t="shared" si="10"/>
        <v>1</v>
      </c>
      <c r="BD108" s="41">
        <f t="shared" si="11"/>
        <v>5</v>
      </c>
      <c r="BE108" s="42">
        <f t="shared" si="12"/>
        <v>20</v>
      </c>
    </row>
    <row r="109">
      <c r="A109" s="24">
        <v>31.0</v>
      </c>
      <c r="B109" s="24" t="s">
        <v>269</v>
      </c>
      <c r="C109" s="25" t="s">
        <v>270</v>
      </c>
      <c r="D109" s="27" t="s">
        <v>22</v>
      </c>
      <c r="E109" s="26" t="s">
        <v>28</v>
      </c>
      <c r="F109" s="26" t="s">
        <v>28</v>
      </c>
      <c r="G109" s="26" t="s">
        <v>28</v>
      </c>
      <c r="H109" s="26" t="s">
        <v>28</v>
      </c>
      <c r="I109" s="26" t="s">
        <v>28</v>
      </c>
      <c r="J109" s="26" t="s">
        <v>28</v>
      </c>
      <c r="K109" s="26" t="s">
        <v>28</v>
      </c>
      <c r="L109" s="26" t="s">
        <v>28</v>
      </c>
      <c r="M109" s="26" t="s">
        <v>28</v>
      </c>
      <c r="N109" s="26" t="s">
        <v>28</v>
      </c>
      <c r="O109" s="26" t="s">
        <v>28</v>
      </c>
      <c r="P109" s="26" t="s">
        <v>28</v>
      </c>
      <c r="Q109" s="26" t="s">
        <v>28</v>
      </c>
      <c r="R109" s="26" t="s">
        <v>28</v>
      </c>
      <c r="S109" s="27" t="s">
        <v>22</v>
      </c>
      <c r="T109" s="45"/>
      <c r="U109" s="45"/>
      <c r="V109" s="45"/>
      <c r="W109" s="45"/>
      <c r="X109" s="45"/>
      <c r="Y109" s="45"/>
      <c r="Z109" s="45"/>
      <c r="AA109" s="45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32">
        <f t="shared" si="8"/>
        <v>0</v>
      </c>
      <c r="BB109" s="32">
        <f t="shared" si="9"/>
        <v>2</v>
      </c>
      <c r="BC109" s="32">
        <f t="shared" si="10"/>
        <v>14</v>
      </c>
      <c r="BD109" s="32">
        <f t="shared" si="11"/>
        <v>16</v>
      </c>
      <c r="BE109" s="33">
        <f t="shared" si="12"/>
        <v>87.5</v>
      </c>
    </row>
    <row r="110">
      <c r="A110" s="24">
        <v>32.0</v>
      </c>
      <c r="B110" s="24" t="s">
        <v>271</v>
      </c>
      <c r="C110" s="25" t="s">
        <v>272</v>
      </c>
      <c r="D110" s="27" t="s">
        <v>22</v>
      </c>
      <c r="E110" s="26" t="s">
        <v>28</v>
      </c>
      <c r="F110" s="26" t="s">
        <v>28</v>
      </c>
      <c r="G110" s="26" t="s">
        <v>28</v>
      </c>
      <c r="H110" s="26" t="s">
        <v>28</v>
      </c>
      <c r="I110" s="26" t="s">
        <v>28</v>
      </c>
      <c r="J110" s="26" t="s">
        <v>28</v>
      </c>
      <c r="K110" s="26" t="s">
        <v>28</v>
      </c>
      <c r="L110" s="26" t="s">
        <v>28</v>
      </c>
      <c r="M110" s="26" t="s">
        <v>28</v>
      </c>
      <c r="N110" s="26" t="s">
        <v>28</v>
      </c>
      <c r="O110" s="26" t="s">
        <v>28</v>
      </c>
      <c r="P110" s="26" t="s">
        <v>28</v>
      </c>
      <c r="Q110" s="26" t="s">
        <v>28</v>
      </c>
      <c r="R110" s="26" t="s">
        <v>28</v>
      </c>
      <c r="S110" s="27" t="s">
        <v>22</v>
      </c>
      <c r="T110" s="45"/>
      <c r="U110" s="45"/>
      <c r="V110" s="45"/>
      <c r="W110" s="45"/>
      <c r="X110" s="45"/>
      <c r="Y110" s="45"/>
      <c r="Z110" s="45"/>
      <c r="AA110" s="45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32">
        <f t="shared" si="8"/>
        <v>0</v>
      </c>
      <c r="BB110" s="32">
        <f t="shared" si="9"/>
        <v>2</v>
      </c>
      <c r="BC110" s="32">
        <f t="shared" si="10"/>
        <v>14</v>
      </c>
      <c r="BD110" s="32">
        <f t="shared" si="11"/>
        <v>16</v>
      </c>
      <c r="BE110" s="33">
        <f t="shared" si="12"/>
        <v>87.5</v>
      </c>
    </row>
    <row r="111">
      <c r="A111" s="24">
        <v>33.0</v>
      </c>
      <c r="B111" s="24" t="s">
        <v>273</v>
      </c>
      <c r="C111" s="25" t="s">
        <v>274</v>
      </c>
      <c r="D111" s="27" t="s">
        <v>22</v>
      </c>
      <c r="E111" s="26" t="s">
        <v>28</v>
      </c>
      <c r="F111" s="26" t="s">
        <v>28</v>
      </c>
      <c r="G111" s="26" t="s">
        <v>28</v>
      </c>
      <c r="H111" s="26" t="s">
        <v>28</v>
      </c>
      <c r="I111" s="26" t="s">
        <v>28</v>
      </c>
      <c r="J111" s="26" t="s">
        <v>28</v>
      </c>
      <c r="K111" s="26" t="s">
        <v>28</v>
      </c>
      <c r="L111" s="26" t="s">
        <v>28</v>
      </c>
      <c r="M111" s="26" t="s">
        <v>28</v>
      </c>
      <c r="N111" s="26" t="s">
        <v>28</v>
      </c>
      <c r="O111" s="26" t="s">
        <v>28</v>
      </c>
      <c r="P111" s="26" t="s">
        <v>28</v>
      </c>
      <c r="Q111" s="26" t="s">
        <v>28</v>
      </c>
      <c r="R111" s="26" t="s">
        <v>28</v>
      </c>
      <c r="S111" s="27" t="s">
        <v>22</v>
      </c>
      <c r="T111" s="45"/>
      <c r="U111" s="45"/>
      <c r="V111" s="45"/>
      <c r="W111" s="45"/>
      <c r="X111" s="45"/>
      <c r="Y111" s="45"/>
      <c r="Z111" s="45"/>
      <c r="AA111" s="45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32">
        <f t="shared" si="8"/>
        <v>0</v>
      </c>
      <c r="BB111" s="32">
        <f t="shared" si="9"/>
        <v>2</v>
      </c>
      <c r="BC111" s="32">
        <f t="shared" si="10"/>
        <v>14</v>
      </c>
      <c r="BD111" s="32">
        <f t="shared" si="11"/>
        <v>16</v>
      </c>
      <c r="BE111" s="33">
        <f t="shared" si="12"/>
        <v>87.5</v>
      </c>
    </row>
    <row r="112">
      <c r="A112" s="24">
        <v>34.0</v>
      </c>
      <c r="B112" s="24" t="s">
        <v>275</v>
      </c>
      <c r="C112" s="25" t="s">
        <v>276</v>
      </c>
      <c r="D112" s="26" t="s">
        <v>28</v>
      </c>
      <c r="E112" s="26" t="s">
        <v>28</v>
      </c>
      <c r="F112" s="26" t="s">
        <v>28</v>
      </c>
      <c r="G112" s="26" t="s">
        <v>28</v>
      </c>
      <c r="H112" s="26" t="s">
        <v>28</v>
      </c>
      <c r="I112" s="26" t="s">
        <v>28</v>
      </c>
      <c r="J112" s="26" t="s">
        <v>28</v>
      </c>
      <c r="K112" s="26" t="s">
        <v>28</v>
      </c>
      <c r="L112" s="26" t="s">
        <v>28</v>
      </c>
      <c r="M112" s="26" t="s">
        <v>28</v>
      </c>
      <c r="N112" s="26" t="s">
        <v>28</v>
      </c>
      <c r="O112" s="26" t="s">
        <v>28</v>
      </c>
      <c r="P112" s="26" t="s">
        <v>28</v>
      </c>
      <c r="Q112" s="26" t="s">
        <v>28</v>
      </c>
      <c r="R112" s="26" t="s">
        <v>28</v>
      </c>
      <c r="S112" s="27" t="s">
        <v>22</v>
      </c>
      <c r="T112" s="45"/>
      <c r="U112" s="45"/>
      <c r="V112" s="45"/>
      <c r="W112" s="45"/>
      <c r="X112" s="45"/>
      <c r="Y112" s="45"/>
      <c r="Z112" s="45"/>
      <c r="AA112" s="45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32">
        <f t="shared" si="8"/>
        <v>0</v>
      </c>
      <c r="BB112" s="32">
        <f t="shared" si="9"/>
        <v>1</v>
      </c>
      <c r="BC112" s="32">
        <f t="shared" si="10"/>
        <v>15</v>
      </c>
      <c r="BD112" s="32">
        <f t="shared" si="11"/>
        <v>16</v>
      </c>
      <c r="BE112" s="33">
        <f t="shared" si="12"/>
        <v>93.75</v>
      </c>
    </row>
    <row r="113">
      <c r="A113" s="24">
        <v>35.0</v>
      </c>
      <c r="B113" s="24" t="s">
        <v>277</v>
      </c>
      <c r="C113" s="25" t="s">
        <v>278</v>
      </c>
      <c r="D113" s="26" t="s">
        <v>28</v>
      </c>
      <c r="E113" s="27" t="s">
        <v>22</v>
      </c>
      <c r="F113" s="26" t="s">
        <v>28</v>
      </c>
      <c r="G113" s="27" t="s">
        <v>22</v>
      </c>
      <c r="H113" s="26" t="s">
        <v>28</v>
      </c>
      <c r="I113" s="26" t="s">
        <v>28</v>
      </c>
      <c r="J113" s="26" t="s">
        <v>28</v>
      </c>
      <c r="K113" s="27" t="s">
        <v>22</v>
      </c>
      <c r="L113" s="26" t="s">
        <v>28</v>
      </c>
      <c r="M113" s="26" t="s">
        <v>28</v>
      </c>
      <c r="N113" s="27" t="s">
        <v>22</v>
      </c>
      <c r="O113" s="26" t="s">
        <v>28</v>
      </c>
      <c r="P113" s="27" t="s">
        <v>22</v>
      </c>
      <c r="Q113" s="26" t="s">
        <v>28</v>
      </c>
      <c r="R113" s="26" t="s">
        <v>28</v>
      </c>
      <c r="S113" s="27" t="s">
        <v>22</v>
      </c>
      <c r="T113" s="45"/>
      <c r="U113" s="45"/>
      <c r="V113" s="45"/>
      <c r="W113" s="45"/>
      <c r="X113" s="45"/>
      <c r="Y113" s="45"/>
      <c r="Z113" s="45"/>
      <c r="AA113" s="45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32">
        <f t="shared" si="8"/>
        <v>0</v>
      </c>
      <c r="BB113" s="32">
        <f t="shared" si="9"/>
        <v>6</v>
      </c>
      <c r="BC113" s="32">
        <f t="shared" si="10"/>
        <v>10</v>
      </c>
      <c r="BD113" s="32">
        <f t="shared" si="11"/>
        <v>16</v>
      </c>
      <c r="BE113" s="33">
        <f t="shared" si="12"/>
        <v>62.5</v>
      </c>
    </row>
    <row r="114">
      <c r="A114" s="24">
        <v>36.0</v>
      </c>
      <c r="B114" s="24" t="s">
        <v>279</v>
      </c>
      <c r="C114" s="25" t="s">
        <v>280</v>
      </c>
      <c r="D114" s="26" t="s">
        <v>28</v>
      </c>
      <c r="E114" s="26" t="s">
        <v>28</v>
      </c>
      <c r="F114" s="26" t="s">
        <v>28</v>
      </c>
      <c r="G114" s="26" t="s">
        <v>28</v>
      </c>
      <c r="H114" s="26" t="s">
        <v>28</v>
      </c>
      <c r="I114" s="26" t="s">
        <v>28</v>
      </c>
      <c r="J114" s="26" t="s">
        <v>28</v>
      </c>
      <c r="K114" s="26" t="s">
        <v>28</v>
      </c>
      <c r="L114" s="26" t="s">
        <v>28</v>
      </c>
      <c r="M114" s="26" t="s">
        <v>28</v>
      </c>
      <c r="N114" s="26" t="s">
        <v>28</v>
      </c>
      <c r="O114" s="26" t="s">
        <v>28</v>
      </c>
      <c r="P114" s="27" t="s">
        <v>22</v>
      </c>
      <c r="Q114" s="26" t="s">
        <v>28</v>
      </c>
      <c r="R114" s="26" t="s">
        <v>28</v>
      </c>
      <c r="S114" s="27" t="s">
        <v>22</v>
      </c>
      <c r="T114" s="45"/>
      <c r="U114" s="45"/>
      <c r="V114" s="45"/>
      <c r="W114" s="45"/>
      <c r="X114" s="45"/>
      <c r="Y114" s="45"/>
      <c r="Z114" s="45"/>
      <c r="AA114" s="45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32">
        <f t="shared" si="8"/>
        <v>0</v>
      </c>
      <c r="BB114" s="32">
        <f t="shared" si="9"/>
        <v>2</v>
      </c>
      <c r="BC114" s="32">
        <f t="shared" si="10"/>
        <v>14</v>
      </c>
      <c r="BD114" s="32">
        <f t="shared" si="11"/>
        <v>16</v>
      </c>
      <c r="BE114" s="33">
        <f t="shared" si="12"/>
        <v>87.5</v>
      </c>
    </row>
    <row r="115">
      <c r="A115" s="24">
        <v>37.0</v>
      </c>
      <c r="B115" s="24" t="s">
        <v>281</v>
      </c>
      <c r="C115" s="25" t="s">
        <v>282</v>
      </c>
      <c r="D115" s="26" t="s">
        <v>28</v>
      </c>
      <c r="E115" s="26" t="s">
        <v>28</v>
      </c>
      <c r="F115" s="26" t="s">
        <v>28</v>
      </c>
      <c r="G115" s="26" t="s">
        <v>28</v>
      </c>
      <c r="H115" s="26" t="s">
        <v>28</v>
      </c>
      <c r="I115" s="26" t="s">
        <v>28</v>
      </c>
      <c r="J115" s="26" t="s">
        <v>28</v>
      </c>
      <c r="K115" s="26" t="s">
        <v>28</v>
      </c>
      <c r="L115" s="26" t="s">
        <v>28</v>
      </c>
      <c r="M115" s="26" t="s">
        <v>28</v>
      </c>
      <c r="N115" s="26" t="s">
        <v>28</v>
      </c>
      <c r="O115" s="26" t="s">
        <v>28</v>
      </c>
      <c r="P115" s="26" t="s">
        <v>28</v>
      </c>
      <c r="Q115" s="26" t="s">
        <v>28</v>
      </c>
      <c r="R115" s="26" t="s">
        <v>28</v>
      </c>
      <c r="S115" s="27" t="s">
        <v>22</v>
      </c>
      <c r="T115" s="45"/>
      <c r="U115" s="45"/>
      <c r="V115" s="45"/>
      <c r="W115" s="45"/>
      <c r="X115" s="45"/>
      <c r="Y115" s="45"/>
      <c r="Z115" s="45"/>
      <c r="AA115" s="45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32">
        <f t="shared" si="8"/>
        <v>0</v>
      </c>
      <c r="BB115" s="32">
        <f t="shared" si="9"/>
        <v>1</v>
      </c>
      <c r="BC115" s="32">
        <f t="shared" si="10"/>
        <v>15</v>
      </c>
      <c r="BD115" s="32">
        <f t="shared" si="11"/>
        <v>16</v>
      </c>
      <c r="BE115" s="33">
        <f t="shared" si="12"/>
        <v>93.75</v>
      </c>
    </row>
    <row r="116">
      <c r="A116" s="24">
        <v>38.0</v>
      </c>
      <c r="B116" s="24" t="s">
        <v>283</v>
      </c>
      <c r="C116" s="25" t="s">
        <v>284</v>
      </c>
      <c r="D116" s="26" t="s">
        <v>28</v>
      </c>
      <c r="E116" s="26" t="s">
        <v>28</v>
      </c>
      <c r="F116" s="26" t="s">
        <v>28</v>
      </c>
      <c r="G116" s="26" t="s">
        <v>28</v>
      </c>
      <c r="H116" s="26" t="s">
        <v>28</v>
      </c>
      <c r="I116" s="26" t="s">
        <v>28</v>
      </c>
      <c r="J116" s="26" t="s">
        <v>28</v>
      </c>
      <c r="K116" s="26" t="s">
        <v>28</v>
      </c>
      <c r="L116" s="26" t="s">
        <v>28</v>
      </c>
      <c r="M116" s="26" t="s">
        <v>28</v>
      </c>
      <c r="N116" s="26" t="s">
        <v>28</v>
      </c>
      <c r="O116" s="26" t="s">
        <v>28</v>
      </c>
      <c r="P116" s="26" t="s">
        <v>28</v>
      </c>
      <c r="Q116" s="26" t="s">
        <v>28</v>
      </c>
      <c r="R116" s="26" t="s">
        <v>28</v>
      </c>
      <c r="S116" s="26" t="s">
        <v>28</v>
      </c>
      <c r="T116" s="45"/>
      <c r="U116" s="45"/>
      <c r="V116" s="45"/>
      <c r="W116" s="45"/>
      <c r="X116" s="45"/>
      <c r="Y116" s="45"/>
      <c r="Z116" s="45"/>
      <c r="AA116" s="45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32">
        <f t="shared" si="8"/>
        <v>0</v>
      </c>
      <c r="BB116" s="32">
        <f t="shared" si="9"/>
        <v>0</v>
      </c>
      <c r="BC116" s="32">
        <f t="shared" si="10"/>
        <v>16</v>
      </c>
      <c r="BD116" s="32">
        <f t="shared" si="11"/>
        <v>16</v>
      </c>
      <c r="BE116" s="33">
        <f t="shared" si="12"/>
        <v>100</v>
      </c>
    </row>
    <row r="117">
      <c r="A117" s="24">
        <v>39.0</v>
      </c>
      <c r="B117" s="24" t="s">
        <v>285</v>
      </c>
      <c r="C117" s="25" t="s">
        <v>286</v>
      </c>
      <c r="D117" s="26" t="s">
        <v>28</v>
      </c>
      <c r="E117" s="26" t="s">
        <v>28</v>
      </c>
      <c r="F117" s="26" t="s">
        <v>28</v>
      </c>
      <c r="G117" s="26" t="s">
        <v>28</v>
      </c>
      <c r="H117" s="26" t="s">
        <v>28</v>
      </c>
      <c r="I117" s="26" t="s">
        <v>28</v>
      </c>
      <c r="J117" s="26" t="s">
        <v>28</v>
      </c>
      <c r="K117" s="27" t="s">
        <v>22</v>
      </c>
      <c r="L117" s="27" t="s">
        <v>22</v>
      </c>
      <c r="M117" s="26" t="s">
        <v>28</v>
      </c>
      <c r="N117" s="26" t="s">
        <v>28</v>
      </c>
      <c r="O117" s="26" t="s">
        <v>28</v>
      </c>
      <c r="P117" s="26" t="s">
        <v>28</v>
      </c>
      <c r="Q117" s="27" t="s">
        <v>22</v>
      </c>
      <c r="R117" s="26" t="s">
        <v>28</v>
      </c>
      <c r="S117" s="27" t="s">
        <v>22</v>
      </c>
      <c r="T117" s="45"/>
      <c r="U117" s="45"/>
      <c r="V117" s="45"/>
      <c r="W117" s="45"/>
      <c r="X117" s="45"/>
      <c r="Y117" s="45"/>
      <c r="Z117" s="45"/>
      <c r="AA117" s="45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32">
        <f t="shared" si="8"/>
        <v>0</v>
      </c>
      <c r="BB117" s="32">
        <f t="shared" si="9"/>
        <v>4</v>
      </c>
      <c r="BC117" s="32">
        <f t="shared" si="10"/>
        <v>12</v>
      </c>
      <c r="BD117" s="32">
        <f t="shared" si="11"/>
        <v>16</v>
      </c>
      <c r="BE117" s="33">
        <f t="shared" si="12"/>
        <v>75</v>
      </c>
    </row>
    <row r="118">
      <c r="A118" s="24">
        <v>40.0</v>
      </c>
      <c r="B118" s="24" t="s">
        <v>287</v>
      </c>
      <c r="C118" s="25" t="s">
        <v>288</v>
      </c>
      <c r="D118" s="27" t="s">
        <v>22</v>
      </c>
      <c r="E118" s="27" t="s">
        <v>22</v>
      </c>
      <c r="F118" s="26" t="s">
        <v>28</v>
      </c>
      <c r="G118" s="26" t="s">
        <v>28</v>
      </c>
      <c r="H118" s="26" t="s">
        <v>28</v>
      </c>
      <c r="I118" s="26" t="s">
        <v>28</v>
      </c>
      <c r="J118" s="26" t="s">
        <v>28</v>
      </c>
      <c r="K118" s="27" t="s">
        <v>22</v>
      </c>
      <c r="L118" s="27" t="s">
        <v>22</v>
      </c>
      <c r="M118" s="26" t="s">
        <v>28</v>
      </c>
      <c r="N118" s="26" t="s">
        <v>28</v>
      </c>
      <c r="O118" s="27" t="s">
        <v>22</v>
      </c>
      <c r="P118" s="27" t="s">
        <v>22</v>
      </c>
      <c r="Q118" s="27" t="s">
        <v>22</v>
      </c>
      <c r="R118" s="26" t="s">
        <v>28</v>
      </c>
      <c r="S118" s="27" t="s">
        <v>22</v>
      </c>
      <c r="T118" s="45"/>
      <c r="U118" s="45"/>
      <c r="V118" s="45"/>
      <c r="W118" s="45"/>
      <c r="X118" s="45"/>
      <c r="Y118" s="45"/>
      <c r="Z118" s="45"/>
      <c r="AA118" s="45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32">
        <f t="shared" si="8"/>
        <v>0</v>
      </c>
      <c r="BB118" s="32">
        <f t="shared" si="9"/>
        <v>8</v>
      </c>
      <c r="BC118" s="32">
        <f t="shared" si="10"/>
        <v>8</v>
      </c>
      <c r="BD118" s="32">
        <f t="shared" si="11"/>
        <v>16</v>
      </c>
      <c r="BE118" s="33">
        <f t="shared" si="12"/>
        <v>50</v>
      </c>
    </row>
    <row r="119">
      <c r="A119" s="24">
        <v>41.0</v>
      </c>
      <c r="B119" s="24" t="s">
        <v>289</v>
      </c>
      <c r="C119" s="25" t="s">
        <v>290</v>
      </c>
      <c r="D119" s="26" t="s">
        <v>28</v>
      </c>
      <c r="E119" s="26" t="s">
        <v>28</v>
      </c>
      <c r="F119" s="26" t="s">
        <v>28</v>
      </c>
      <c r="G119" s="26" t="s">
        <v>28</v>
      </c>
      <c r="H119" s="26" t="s">
        <v>28</v>
      </c>
      <c r="I119" s="26" t="s">
        <v>28</v>
      </c>
      <c r="J119" s="26" t="s">
        <v>28</v>
      </c>
      <c r="K119" s="26" t="s">
        <v>28</v>
      </c>
      <c r="L119" s="26" t="s">
        <v>28</v>
      </c>
      <c r="M119" s="26" t="s">
        <v>28</v>
      </c>
      <c r="N119" s="26" t="s">
        <v>28</v>
      </c>
      <c r="O119" s="26" t="s">
        <v>28</v>
      </c>
      <c r="P119" s="26" t="s">
        <v>28</v>
      </c>
      <c r="Q119" s="26" t="s">
        <v>28</v>
      </c>
      <c r="R119" s="26" t="s">
        <v>28</v>
      </c>
      <c r="S119" s="26" t="s">
        <v>28</v>
      </c>
      <c r="T119" s="45"/>
      <c r="U119" s="45"/>
      <c r="V119" s="45"/>
      <c r="W119" s="45"/>
      <c r="X119" s="45"/>
      <c r="Y119" s="45"/>
      <c r="Z119" s="45"/>
      <c r="AA119" s="45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32">
        <f t="shared" si="8"/>
        <v>0</v>
      </c>
      <c r="BB119" s="32">
        <f t="shared" si="9"/>
        <v>0</v>
      </c>
      <c r="BC119" s="32">
        <f t="shared" si="10"/>
        <v>16</v>
      </c>
      <c r="BD119" s="32">
        <f t="shared" si="11"/>
        <v>16</v>
      </c>
      <c r="BE119" s="33">
        <f t="shared" si="12"/>
        <v>100</v>
      </c>
    </row>
    <row r="120">
      <c r="A120" s="24">
        <v>42.0</v>
      </c>
      <c r="B120" s="24" t="s">
        <v>291</v>
      </c>
      <c r="C120" s="25" t="s">
        <v>292</v>
      </c>
      <c r="D120" s="26" t="s">
        <v>28</v>
      </c>
      <c r="E120" s="26" t="s">
        <v>28</v>
      </c>
      <c r="F120" s="26" t="s">
        <v>28</v>
      </c>
      <c r="G120" s="27" t="s">
        <v>22</v>
      </c>
      <c r="H120" s="26" t="s">
        <v>28</v>
      </c>
      <c r="I120" s="26" t="s">
        <v>28</v>
      </c>
      <c r="J120" s="26" t="s">
        <v>28</v>
      </c>
      <c r="K120" s="26" t="s">
        <v>28</v>
      </c>
      <c r="L120" s="26" t="s">
        <v>28</v>
      </c>
      <c r="M120" s="26" t="s">
        <v>28</v>
      </c>
      <c r="N120" s="26" t="s">
        <v>28</v>
      </c>
      <c r="O120" s="26" t="s">
        <v>28</v>
      </c>
      <c r="P120" s="26" t="s">
        <v>28</v>
      </c>
      <c r="Q120" s="26" t="s">
        <v>28</v>
      </c>
      <c r="R120" s="26" t="s">
        <v>28</v>
      </c>
      <c r="S120" s="27" t="s">
        <v>22</v>
      </c>
      <c r="T120" s="45"/>
      <c r="U120" s="45"/>
      <c r="V120" s="45"/>
      <c r="W120" s="45"/>
      <c r="X120" s="45"/>
      <c r="Y120" s="45"/>
      <c r="Z120" s="45"/>
      <c r="AA120" s="45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32">
        <f t="shared" si="8"/>
        <v>0</v>
      </c>
      <c r="BB120" s="32">
        <f t="shared" si="9"/>
        <v>2</v>
      </c>
      <c r="BC120" s="32">
        <f t="shared" si="10"/>
        <v>14</v>
      </c>
      <c r="BD120" s="32">
        <f t="shared" si="11"/>
        <v>16</v>
      </c>
      <c r="BE120" s="33">
        <f t="shared" si="12"/>
        <v>87.5</v>
      </c>
    </row>
    <row r="121">
      <c r="A121" s="24">
        <v>43.0</v>
      </c>
      <c r="B121" s="24" t="s">
        <v>293</v>
      </c>
      <c r="C121" s="25" t="s">
        <v>294</v>
      </c>
      <c r="D121" s="26" t="s">
        <v>28</v>
      </c>
      <c r="E121" s="26" t="s">
        <v>28</v>
      </c>
      <c r="F121" s="27" t="s">
        <v>22</v>
      </c>
      <c r="G121" s="26" t="s">
        <v>28</v>
      </c>
      <c r="H121" s="26" t="s">
        <v>28</v>
      </c>
      <c r="I121" s="26" t="s">
        <v>28</v>
      </c>
      <c r="J121" s="27" t="s">
        <v>22</v>
      </c>
      <c r="K121" s="26" t="s">
        <v>28</v>
      </c>
      <c r="L121" s="26" t="s">
        <v>28</v>
      </c>
      <c r="M121" s="26" t="s">
        <v>28</v>
      </c>
      <c r="N121" s="26" t="s">
        <v>28</v>
      </c>
      <c r="O121" s="26" t="s">
        <v>28</v>
      </c>
      <c r="P121" s="26" t="s">
        <v>28</v>
      </c>
      <c r="Q121" s="26" t="s">
        <v>28</v>
      </c>
      <c r="R121" s="26" t="s">
        <v>28</v>
      </c>
      <c r="S121" s="27" t="s">
        <v>22</v>
      </c>
      <c r="T121" s="45"/>
      <c r="U121" s="45"/>
      <c r="V121" s="45"/>
      <c r="W121" s="45"/>
      <c r="X121" s="45"/>
      <c r="Y121" s="45"/>
      <c r="Z121" s="45"/>
      <c r="AA121" s="45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32">
        <f t="shared" si="8"/>
        <v>0</v>
      </c>
      <c r="BB121" s="32">
        <f t="shared" si="9"/>
        <v>3</v>
      </c>
      <c r="BC121" s="32">
        <f t="shared" si="10"/>
        <v>13</v>
      </c>
      <c r="BD121" s="32">
        <f t="shared" si="11"/>
        <v>16</v>
      </c>
      <c r="BE121" s="33">
        <f t="shared" si="12"/>
        <v>81.25</v>
      </c>
    </row>
    <row r="122">
      <c r="A122" s="24">
        <v>44.0</v>
      </c>
      <c r="B122" s="24" t="s">
        <v>295</v>
      </c>
      <c r="C122" s="25" t="s">
        <v>296</v>
      </c>
      <c r="D122" s="26" t="s">
        <v>28</v>
      </c>
      <c r="E122" s="26" t="s">
        <v>28</v>
      </c>
      <c r="F122" s="26" t="s">
        <v>28</v>
      </c>
      <c r="G122" s="26" t="s">
        <v>28</v>
      </c>
      <c r="H122" s="27" t="s">
        <v>22</v>
      </c>
      <c r="I122" s="27" t="s">
        <v>22</v>
      </c>
      <c r="J122" s="27" t="s">
        <v>22</v>
      </c>
      <c r="K122" s="26" t="s">
        <v>28</v>
      </c>
      <c r="L122" s="26" t="s">
        <v>28</v>
      </c>
      <c r="M122" s="26" t="s">
        <v>28</v>
      </c>
      <c r="N122" s="26" t="s">
        <v>28</v>
      </c>
      <c r="O122" s="26" t="s">
        <v>28</v>
      </c>
      <c r="P122" s="26" t="s">
        <v>28</v>
      </c>
      <c r="Q122" s="26" t="s">
        <v>28</v>
      </c>
      <c r="R122" s="26" t="s">
        <v>28</v>
      </c>
      <c r="S122" s="26" t="s">
        <v>28</v>
      </c>
      <c r="T122" s="45"/>
      <c r="U122" s="45"/>
      <c r="V122" s="45"/>
      <c r="W122" s="45"/>
      <c r="X122" s="45"/>
      <c r="Y122" s="45"/>
      <c r="Z122" s="45"/>
      <c r="AA122" s="45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32">
        <f t="shared" si="8"/>
        <v>0</v>
      </c>
      <c r="BB122" s="32">
        <f t="shared" si="9"/>
        <v>3</v>
      </c>
      <c r="BC122" s="32">
        <f t="shared" si="10"/>
        <v>13</v>
      </c>
      <c r="BD122" s="32">
        <f t="shared" si="11"/>
        <v>16</v>
      </c>
      <c r="BE122" s="33">
        <f t="shared" si="12"/>
        <v>81.25</v>
      </c>
    </row>
    <row r="123">
      <c r="A123" s="24">
        <v>45.0</v>
      </c>
      <c r="B123" s="24" t="s">
        <v>299</v>
      </c>
      <c r="C123" s="25" t="s">
        <v>300</v>
      </c>
      <c r="D123" s="26" t="s">
        <v>28</v>
      </c>
      <c r="E123" s="26" t="s">
        <v>28</v>
      </c>
      <c r="F123" s="26" t="s">
        <v>28</v>
      </c>
      <c r="G123" s="26" t="s">
        <v>28</v>
      </c>
      <c r="H123" s="26" t="s">
        <v>28</v>
      </c>
      <c r="I123" s="26" t="s">
        <v>28</v>
      </c>
      <c r="J123" s="26" t="s">
        <v>28</v>
      </c>
      <c r="K123" s="26" t="s">
        <v>28</v>
      </c>
      <c r="L123" s="26" t="s">
        <v>28</v>
      </c>
      <c r="M123" s="26" t="s">
        <v>28</v>
      </c>
      <c r="N123" s="27" t="s">
        <v>22</v>
      </c>
      <c r="O123" s="26" t="s">
        <v>28</v>
      </c>
      <c r="P123" s="26" t="s">
        <v>28</v>
      </c>
      <c r="Q123" s="26" t="s">
        <v>28</v>
      </c>
      <c r="R123" s="26" t="s">
        <v>28</v>
      </c>
      <c r="S123" s="26" t="s">
        <v>28</v>
      </c>
      <c r="T123" s="45"/>
      <c r="U123" s="45"/>
      <c r="V123" s="45"/>
      <c r="W123" s="45"/>
      <c r="X123" s="45"/>
      <c r="Y123" s="45"/>
      <c r="Z123" s="45"/>
      <c r="AA123" s="45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32">
        <f t="shared" si="8"/>
        <v>0</v>
      </c>
      <c r="BB123" s="32">
        <f t="shared" si="9"/>
        <v>1</v>
      </c>
      <c r="BC123" s="32">
        <f t="shared" si="10"/>
        <v>15</v>
      </c>
      <c r="BD123" s="32">
        <f t="shared" si="11"/>
        <v>16</v>
      </c>
      <c r="BE123" s="33">
        <f t="shared" si="12"/>
        <v>93.75</v>
      </c>
    </row>
    <row r="124">
      <c r="A124" s="24">
        <v>46.0</v>
      </c>
      <c r="B124" s="24" t="s">
        <v>301</v>
      </c>
      <c r="C124" s="25" t="s">
        <v>302</v>
      </c>
      <c r="D124" s="26" t="s">
        <v>28</v>
      </c>
      <c r="E124" s="26" t="s">
        <v>28</v>
      </c>
      <c r="F124" s="27" t="s">
        <v>22</v>
      </c>
      <c r="G124" s="26" t="s">
        <v>28</v>
      </c>
      <c r="H124" s="26" t="s">
        <v>28</v>
      </c>
      <c r="I124" s="26" t="s">
        <v>28</v>
      </c>
      <c r="J124" s="27" t="s">
        <v>22</v>
      </c>
      <c r="K124" s="26" t="s">
        <v>28</v>
      </c>
      <c r="L124" s="26" t="s">
        <v>28</v>
      </c>
      <c r="M124" s="26" t="s">
        <v>28</v>
      </c>
      <c r="N124" s="27" t="s">
        <v>22</v>
      </c>
      <c r="O124" s="26" t="s">
        <v>28</v>
      </c>
      <c r="P124" s="26" t="s">
        <v>28</v>
      </c>
      <c r="Q124" s="26" t="s">
        <v>28</v>
      </c>
      <c r="R124" s="26" t="s">
        <v>28</v>
      </c>
      <c r="S124" s="26" t="s">
        <v>28</v>
      </c>
      <c r="T124" s="45"/>
      <c r="U124" s="45"/>
      <c r="V124" s="45"/>
      <c r="W124" s="45"/>
      <c r="X124" s="45"/>
      <c r="Y124" s="45"/>
      <c r="Z124" s="45"/>
      <c r="AA124" s="45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32">
        <f t="shared" si="8"/>
        <v>0</v>
      </c>
      <c r="BB124" s="32">
        <f t="shared" si="9"/>
        <v>3</v>
      </c>
      <c r="BC124" s="32">
        <f t="shared" si="10"/>
        <v>13</v>
      </c>
      <c r="BD124" s="32">
        <f t="shared" si="11"/>
        <v>16</v>
      </c>
      <c r="BE124" s="33">
        <f t="shared" si="12"/>
        <v>81.25</v>
      </c>
    </row>
    <row r="125">
      <c r="A125" s="24">
        <v>47.0</v>
      </c>
      <c r="B125" s="24" t="s">
        <v>303</v>
      </c>
      <c r="C125" s="25" t="s">
        <v>304</v>
      </c>
      <c r="D125" s="26" t="s">
        <v>28</v>
      </c>
      <c r="E125" s="26" t="s">
        <v>28</v>
      </c>
      <c r="F125" s="26" t="s">
        <v>28</v>
      </c>
      <c r="G125" s="26" t="s">
        <v>28</v>
      </c>
      <c r="H125" s="26" t="s">
        <v>28</v>
      </c>
      <c r="I125" s="26" t="s">
        <v>28</v>
      </c>
      <c r="J125" s="26" t="s">
        <v>28</v>
      </c>
      <c r="K125" s="26" t="s">
        <v>28</v>
      </c>
      <c r="L125" s="26" t="s">
        <v>28</v>
      </c>
      <c r="M125" s="26" t="s">
        <v>28</v>
      </c>
      <c r="N125" s="27" t="s">
        <v>22</v>
      </c>
      <c r="O125" s="26" t="s">
        <v>28</v>
      </c>
      <c r="P125" s="27" t="s">
        <v>22</v>
      </c>
      <c r="Q125" s="26" t="s">
        <v>28</v>
      </c>
      <c r="R125" s="26" t="s">
        <v>28</v>
      </c>
      <c r="S125" s="27" t="s">
        <v>22</v>
      </c>
      <c r="T125" s="45"/>
      <c r="U125" s="45"/>
      <c r="V125" s="45"/>
      <c r="W125" s="45"/>
      <c r="X125" s="45"/>
      <c r="Y125" s="45"/>
      <c r="Z125" s="45"/>
      <c r="AA125" s="45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32">
        <f t="shared" si="8"/>
        <v>0</v>
      </c>
      <c r="BB125" s="32">
        <f t="shared" si="9"/>
        <v>3</v>
      </c>
      <c r="BC125" s="32">
        <f t="shared" si="10"/>
        <v>13</v>
      </c>
      <c r="BD125" s="32">
        <f t="shared" si="11"/>
        <v>16</v>
      </c>
      <c r="BE125" s="33">
        <f t="shared" si="12"/>
        <v>81.25</v>
      </c>
    </row>
    <row r="126">
      <c r="A126" s="24">
        <v>48.0</v>
      </c>
      <c r="B126" s="24" t="s">
        <v>307</v>
      </c>
      <c r="C126" s="25" t="s">
        <v>308</v>
      </c>
      <c r="D126" s="26" t="s">
        <v>28</v>
      </c>
      <c r="E126" s="26" t="s">
        <v>28</v>
      </c>
      <c r="F126" s="26" t="s">
        <v>28</v>
      </c>
      <c r="G126" s="26" t="s">
        <v>28</v>
      </c>
      <c r="H126" s="26" t="s">
        <v>28</v>
      </c>
      <c r="I126" s="26" t="s">
        <v>28</v>
      </c>
      <c r="J126" s="26" t="s">
        <v>28</v>
      </c>
      <c r="K126" s="26" t="s">
        <v>28</v>
      </c>
      <c r="L126" s="26" t="s">
        <v>28</v>
      </c>
      <c r="M126" s="26" t="s">
        <v>28</v>
      </c>
      <c r="N126" s="26" t="s">
        <v>28</v>
      </c>
      <c r="O126" s="26" t="s">
        <v>28</v>
      </c>
      <c r="P126" s="27" t="s">
        <v>22</v>
      </c>
      <c r="Q126" s="26" t="s">
        <v>28</v>
      </c>
      <c r="R126" s="26" t="s">
        <v>28</v>
      </c>
      <c r="S126" s="26" t="s">
        <v>28</v>
      </c>
      <c r="T126" s="45"/>
      <c r="U126" s="45"/>
      <c r="V126" s="45"/>
      <c r="W126" s="45"/>
      <c r="X126" s="45"/>
      <c r="Y126" s="45"/>
      <c r="Z126" s="45"/>
      <c r="AA126" s="45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32">
        <f t="shared" si="8"/>
        <v>0</v>
      </c>
      <c r="BB126" s="32">
        <f t="shared" si="9"/>
        <v>1</v>
      </c>
      <c r="BC126" s="32">
        <f t="shared" si="10"/>
        <v>15</v>
      </c>
      <c r="BD126" s="32">
        <f t="shared" si="11"/>
        <v>16</v>
      </c>
      <c r="BE126" s="33">
        <f t="shared" si="12"/>
        <v>93.75</v>
      </c>
    </row>
    <row r="127">
      <c r="A127" s="24">
        <v>49.0</v>
      </c>
      <c r="B127" s="24" t="s">
        <v>309</v>
      </c>
      <c r="C127" s="25" t="s">
        <v>310</v>
      </c>
      <c r="D127" s="27" t="s">
        <v>22</v>
      </c>
      <c r="E127" s="26" t="s">
        <v>28</v>
      </c>
      <c r="F127" s="27" t="s">
        <v>22</v>
      </c>
      <c r="G127" s="27" t="s">
        <v>22</v>
      </c>
      <c r="H127" s="27" t="s">
        <v>22</v>
      </c>
      <c r="I127" s="26" t="s">
        <v>28</v>
      </c>
      <c r="J127" s="26" t="s">
        <v>28</v>
      </c>
      <c r="K127" s="27" t="s">
        <v>22</v>
      </c>
      <c r="L127" s="27" t="s">
        <v>22</v>
      </c>
      <c r="M127" s="26" t="s">
        <v>28</v>
      </c>
      <c r="N127" s="27" t="s">
        <v>22</v>
      </c>
      <c r="O127" s="26" t="s">
        <v>28</v>
      </c>
      <c r="P127" s="27" t="s">
        <v>22</v>
      </c>
      <c r="Q127" s="26" t="s">
        <v>28</v>
      </c>
      <c r="R127" s="26" t="s">
        <v>28</v>
      </c>
      <c r="S127" s="26" t="s">
        <v>28</v>
      </c>
      <c r="T127" s="45"/>
      <c r="U127" s="45"/>
      <c r="V127" s="45"/>
      <c r="W127" s="45"/>
      <c r="X127" s="45"/>
      <c r="Y127" s="45"/>
      <c r="Z127" s="45"/>
      <c r="AA127" s="45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32">
        <f t="shared" si="8"/>
        <v>0</v>
      </c>
      <c r="BB127" s="32">
        <f t="shared" si="9"/>
        <v>8</v>
      </c>
      <c r="BC127" s="32">
        <f t="shared" si="10"/>
        <v>8</v>
      </c>
      <c r="BD127" s="32">
        <f t="shared" si="11"/>
        <v>16</v>
      </c>
      <c r="BE127" s="33">
        <f t="shared" si="12"/>
        <v>50</v>
      </c>
    </row>
    <row r="128">
      <c r="A128" s="24">
        <v>50.0</v>
      </c>
      <c r="B128" s="24" t="s">
        <v>311</v>
      </c>
      <c r="C128" s="25" t="s">
        <v>312</v>
      </c>
      <c r="D128" s="26" t="s">
        <v>28</v>
      </c>
      <c r="E128" s="26" t="s">
        <v>28</v>
      </c>
      <c r="F128" s="26" t="s">
        <v>28</v>
      </c>
      <c r="G128" s="26" t="s">
        <v>28</v>
      </c>
      <c r="H128" s="26" t="s">
        <v>28</v>
      </c>
      <c r="I128" s="26" t="s">
        <v>28</v>
      </c>
      <c r="J128" s="26" t="s">
        <v>28</v>
      </c>
      <c r="K128" s="26" t="s">
        <v>28</v>
      </c>
      <c r="L128" s="26" t="s">
        <v>28</v>
      </c>
      <c r="M128" s="26" t="s">
        <v>28</v>
      </c>
      <c r="N128" s="26" t="s">
        <v>28</v>
      </c>
      <c r="O128" s="26" t="s">
        <v>28</v>
      </c>
      <c r="P128" s="26" t="s">
        <v>28</v>
      </c>
      <c r="Q128" s="26" t="s">
        <v>28</v>
      </c>
      <c r="R128" s="26" t="s">
        <v>28</v>
      </c>
      <c r="S128" s="26" t="s">
        <v>28</v>
      </c>
      <c r="T128" s="45"/>
      <c r="U128" s="45"/>
      <c r="V128" s="45"/>
      <c r="W128" s="45"/>
      <c r="X128" s="45"/>
      <c r="Y128" s="45"/>
      <c r="Z128" s="45"/>
      <c r="AA128" s="45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32">
        <f t="shared" si="8"/>
        <v>0</v>
      </c>
      <c r="BB128" s="32">
        <f t="shared" si="9"/>
        <v>0</v>
      </c>
      <c r="BC128" s="32">
        <f t="shared" si="10"/>
        <v>16</v>
      </c>
      <c r="BD128" s="32">
        <f t="shared" si="11"/>
        <v>16</v>
      </c>
      <c r="BE128" s="33">
        <f t="shared" si="12"/>
        <v>100</v>
      </c>
    </row>
    <row r="129">
      <c r="A129" s="24">
        <v>51.0</v>
      </c>
      <c r="B129" s="24" t="s">
        <v>313</v>
      </c>
      <c r="C129" s="25" t="s">
        <v>314</v>
      </c>
      <c r="D129" s="26" t="s">
        <v>28</v>
      </c>
      <c r="E129" s="26" t="s">
        <v>28</v>
      </c>
      <c r="F129" s="26" t="s">
        <v>28</v>
      </c>
      <c r="G129" s="26" t="s">
        <v>28</v>
      </c>
      <c r="H129" s="26" t="s">
        <v>28</v>
      </c>
      <c r="I129" s="26" t="s">
        <v>28</v>
      </c>
      <c r="J129" s="26" t="s">
        <v>28</v>
      </c>
      <c r="K129" s="26" t="s">
        <v>28</v>
      </c>
      <c r="L129" s="26" t="s">
        <v>28</v>
      </c>
      <c r="M129" s="26" t="s">
        <v>28</v>
      </c>
      <c r="N129" s="26" t="s">
        <v>28</v>
      </c>
      <c r="O129" s="26" t="s">
        <v>28</v>
      </c>
      <c r="P129" s="26" t="s">
        <v>28</v>
      </c>
      <c r="Q129" s="26" t="s">
        <v>28</v>
      </c>
      <c r="R129" s="26" t="s">
        <v>28</v>
      </c>
      <c r="S129" s="27" t="s">
        <v>22</v>
      </c>
      <c r="T129" s="45"/>
      <c r="U129" s="45"/>
      <c r="V129" s="45"/>
      <c r="W129" s="45"/>
      <c r="X129" s="45"/>
      <c r="Y129" s="45"/>
      <c r="Z129" s="45"/>
      <c r="AA129" s="45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32">
        <f t="shared" si="8"/>
        <v>0</v>
      </c>
      <c r="BB129" s="32">
        <f t="shared" si="9"/>
        <v>1</v>
      </c>
      <c r="BC129" s="32">
        <f t="shared" si="10"/>
        <v>15</v>
      </c>
      <c r="BD129" s="32">
        <f t="shared" si="11"/>
        <v>16</v>
      </c>
      <c r="BE129" s="33">
        <f t="shared" si="12"/>
        <v>93.75</v>
      </c>
    </row>
    <row r="130">
      <c r="A130" s="24">
        <v>52.0</v>
      </c>
      <c r="B130" s="24" t="s">
        <v>315</v>
      </c>
      <c r="C130" s="25" t="s">
        <v>316</v>
      </c>
      <c r="D130" s="26" t="s">
        <v>28</v>
      </c>
      <c r="E130" s="26" t="s">
        <v>28</v>
      </c>
      <c r="F130" s="26" t="s">
        <v>28</v>
      </c>
      <c r="G130" s="26" t="s">
        <v>28</v>
      </c>
      <c r="H130" s="26" t="s">
        <v>28</v>
      </c>
      <c r="I130" s="26" t="s">
        <v>28</v>
      </c>
      <c r="J130" s="26" t="s">
        <v>28</v>
      </c>
      <c r="K130" s="26" t="s">
        <v>28</v>
      </c>
      <c r="L130" s="26" t="s">
        <v>28</v>
      </c>
      <c r="M130" s="26" t="s">
        <v>28</v>
      </c>
      <c r="N130" s="26" t="s">
        <v>28</v>
      </c>
      <c r="O130" s="26" t="s">
        <v>28</v>
      </c>
      <c r="P130" s="26" t="s">
        <v>28</v>
      </c>
      <c r="Q130" s="26" t="s">
        <v>28</v>
      </c>
      <c r="R130" s="26" t="s">
        <v>28</v>
      </c>
      <c r="S130" s="26" t="s">
        <v>28</v>
      </c>
      <c r="T130" s="45"/>
      <c r="U130" s="45"/>
      <c r="V130" s="45"/>
      <c r="W130" s="45"/>
      <c r="X130" s="45"/>
      <c r="Y130" s="45"/>
      <c r="Z130" s="45"/>
      <c r="AA130" s="45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32">
        <f t="shared" si="8"/>
        <v>0</v>
      </c>
      <c r="BB130" s="32">
        <f t="shared" si="9"/>
        <v>0</v>
      </c>
      <c r="BC130" s="32">
        <f t="shared" si="10"/>
        <v>16</v>
      </c>
      <c r="BD130" s="32">
        <f t="shared" si="11"/>
        <v>16</v>
      </c>
      <c r="BE130" s="33">
        <f t="shared" si="12"/>
        <v>100</v>
      </c>
    </row>
    <row r="131">
      <c r="A131" s="24">
        <v>53.0</v>
      </c>
      <c r="B131" s="24" t="s">
        <v>317</v>
      </c>
      <c r="C131" s="25" t="s">
        <v>318</v>
      </c>
      <c r="D131" s="26" t="s">
        <v>28</v>
      </c>
      <c r="E131" s="27" t="s">
        <v>22</v>
      </c>
      <c r="F131" s="26" t="s">
        <v>28</v>
      </c>
      <c r="G131" s="26" t="s">
        <v>28</v>
      </c>
      <c r="H131" s="26" t="s">
        <v>28</v>
      </c>
      <c r="I131" s="26" t="s">
        <v>28</v>
      </c>
      <c r="J131" s="26" t="s">
        <v>28</v>
      </c>
      <c r="K131" s="26" t="s">
        <v>28</v>
      </c>
      <c r="L131" s="26" t="s">
        <v>28</v>
      </c>
      <c r="M131" s="26" t="s">
        <v>28</v>
      </c>
      <c r="N131" s="26" t="s">
        <v>28</v>
      </c>
      <c r="O131" s="26" t="s">
        <v>28</v>
      </c>
      <c r="P131" s="26" t="s">
        <v>28</v>
      </c>
      <c r="Q131" s="26" t="s">
        <v>28</v>
      </c>
      <c r="R131" s="26" t="s">
        <v>28</v>
      </c>
      <c r="S131" s="26" t="s">
        <v>28</v>
      </c>
      <c r="T131" s="45"/>
      <c r="U131" s="45"/>
      <c r="V131" s="45"/>
      <c r="W131" s="45"/>
      <c r="X131" s="45"/>
      <c r="Y131" s="45"/>
      <c r="Z131" s="45"/>
      <c r="AA131" s="45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32">
        <f t="shared" si="8"/>
        <v>0</v>
      </c>
      <c r="BB131" s="32">
        <f t="shared" si="9"/>
        <v>1</v>
      </c>
      <c r="BC131" s="32">
        <f t="shared" si="10"/>
        <v>15</v>
      </c>
      <c r="BD131" s="32">
        <f t="shared" si="11"/>
        <v>16</v>
      </c>
      <c r="BE131" s="33">
        <f t="shared" si="12"/>
        <v>93.75</v>
      </c>
    </row>
    <row r="132">
      <c r="A132" s="24">
        <v>54.0</v>
      </c>
      <c r="B132" s="24" t="s">
        <v>319</v>
      </c>
      <c r="C132" s="25" t="s">
        <v>320</v>
      </c>
      <c r="D132" s="27" t="s">
        <v>22</v>
      </c>
      <c r="E132" s="27" t="s">
        <v>22</v>
      </c>
      <c r="F132" s="26" t="s">
        <v>28</v>
      </c>
      <c r="G132" s="26" t="s">
        <v>28</v>
      </c>
      <c r="H132" s="26" t="s">
        <v>28</v>
      </c>
      <c r="I132" s="26" t="s">
        <v>28</v>
      </c>
      <c r="J132" s="27" t="s">
        <v>22</v>
      </c>
      <c r="K132" s="26" t="s">
        <v>28</v>
      </c>
      <c r="L132" s="26" t="s">
        <v>28</v>
      </c>
      <c r="M132" s="26" t="s">
        <v>28</v>
      </c>
      <c r="N132" s="26" t="s">
        <v>28</v>
      </c>
      <c r="O132" s="27" t="s">
        <v>22</v>
      </c>
      <c r="P132" s="26" t="s">
        <v>28</v>
      </c>
      <c r="Q132" s="26" t="s">
        <v>28</v>
      </c>
      <c r="R132" s="26" t="s">
        <v>28</v>
      </c>
      <c r="S132" s="27" t="s">
        <v>22</v>
      </c>
      <c r="T132" s="45"/>
      <c r="U132" s="45"/>
      <c r="V132" s="45"/>
      <c r="W132" s="45"/>
      <c r="X132" s="45"/>
      <c r="Y132" s="45"/>
      <c r="Z132" s="45"/>
      <c r="AA132" s="45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32">
        <f t="shared" si="8"/>
        <v>0</v>
      </c>
      <c r="BB132" s="32">
        <f t="shared" si="9"/>
        <v>5</v>
      </c>
      <c r="BC132" s="32">
        <f t="shared" si="10"/>
        <v>11</v>
      </c>
      <c r="BD132" s="32">
        <f t="shared" si="11"/>
        <v>16</v>
      </c>
      <c r="BE132" s="33">
        <f t="shared" si="12"/>
        <v>68.75</v>
      </c>
    </row>
    <row r="133">
      <c r="A133" s="24">
        <v>55.0</v>
      </c>
      <c r="B133" s="24" t="s">
        <v>321</v>
      </c>
      <c r="C133" s="25" t="s">
        <v>322</v>
      </c>
      <c r="D133" s="27" t="s">
        <v>22</v>
      </c>
      <c r="E133" s="26" t="s">
        <v>28</v>
      </c>
      <c r="F133" s="27" t="s">
        <v>22</v>
      </c>
      <c r="G133" s="26" t="s">
        <v>28</v>
      </c>
      <c r="H133" s="26" t="s">
        <v>28</v>
      </c>
      <c r="I133" s="26" t="s">
        <v>28</v>
      </c>
      <c r="J133" s="27" t="s">
        <v>22</v>
      </c>
      <c r="K133" s="27" t="s">
        <v>22</v>
      </c>
      <c r="L133" s="26" t="s">
        <v>28</v>
      </c>
      <c r="M133" s="26" t="s">
        <v>28</v>
      </c>
      <c r="N133" s="27" t="s">
        <v>22</v>
      </c>
      <c r="O133" s="26" t="s">
        <v>28</v>
      </c>
      <c r="P133" s="27" t="s">
        <v>22</v>
      </c>
      <c r="Q133" s="26" t="s">
        <v>28</v>
      </c>
      <c r="R133" s="27" t="s">
        <v>22</v>
      </c>
      <c r="S133" s="26" t="s">
        <v>28</v>
      </c>
      <c r="T133" s="45"/>
      <c r="U133" s="45"/>
      <c r="V133" s="45"/>
      <c r="W133" s="45"/>
      <c r="X133" s="45"/>
      <c r="Y133" s="45"/>
      <c r="Z133" s="45"/>
      <c r="AA133" s="45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32">
        <f t="shared" si="8"/>
        <v>0</v>
      </c>
      <c r="BB133" s="32">
        <f t="shared" si="9"/>
        <v>7</v>
      </c>
      <c r="BC133" s="32">
        <f t="shared" si="10"/>
        <v>9</v>
      </c>
      <c r="BD133" s="32">
        <f t="shared" si="11"/>
        <v>16</v>
      </c>
      <c r="BE133" s="33">
        <f t="shared" si="12"/>
        <v>56.25</v>
      </c>
    </row>
    <row r="134">
      <c r="A134" s="24">
        <v>56.0</v>
      </c>
      <c r="B134" s="24" t="s">
        <v>327</v>
      </c>
      <c r="C134" s="25" t="s">
        <v>328</v>
      </c>
      <c r="D134" s="26" t="s">
        <v>28</v>
      </c>
      <c r="E134" s="26" t="s">
        <v>28</v>
      </c>
      <c r="F134" s="26" t="s">
        <v>28</v>
      </c>
      <c r="G134" s="26" t="s">
        <v>28</v>
      </c>
      <c r="H134" s="26" t="s">
        <v>28</v>
      </c>
      <c r="I134" s="27" t="s">
        <v>22</v>
      </c>
      <c r="J134" s="27" t="s">
        <v>22</v>
      </c>
      <c r="K134" s="26" t="s">
        <v>28</v>
      </c>
      <c r="L134" s="26" t="s">
        <v>28</v>
      </c>
      <c r="M134" s="26" t="s">
        <v>28</v>
      </c>
      <c r="N134" s="26" t="s">
        <v>28</v>
      </c>
      <c r="O134" s="26" t="s">
        <v>28</v>
      </c>
      <c r="P134" s="26" t="s">
        <v>28</v>
      </c>
      <c r="Q134" s="26" t="s">
        <v>28</v>
      </c>
      <c r="R134" s="26" t="s">
        <v>28</v>
      </c>
      <c r="S134" s="27" t="s">
        <v>22</v>
      </c>
      <c r="T134" s="45"/>
      <c r="U134" s="45"/>
      <c r="V134" s="45"/>
      <c r="W134" s="45"/>
      <c r="X134" s="45"/>
      <c r="Y134" s="45"/>
      <c r="Z134" s="45"/>
      <c r="AA134" s="45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32">
        <f t="shared" si="8"/>
        <v>0</v>
      </c>
      <c r="BB134" s="32">
        <f t="shared" si="9"/>
        <v>3</v>
      </c>
      <c r="BC134" s="32">
        <f t="shared" si="10"/>
        <v>13</v>
      </c>
      <c r="BD134" s="32">
        <f t="shared" si="11"/>
        <v>16</v>
      </c>
      <c r="BE134" s="33">
        <f t="shared" si="12"/>
        <v>81.25</v>
      </c>
    </row>
    <row r="135">
      <c r="A135" s="24">
        <v>57.0</v>
      </c>
      <c r="B135" s="24" t="s">
        <v>329</v>
      </c>
      <c r="C135" s="25" t="s">
        <v>330</v>
      </c>
      <c r="D135" s="26" t="s">
        <v>28</v>
      </c>
      <c r="E135" s="26" t="s">
        <v>28</v>
      </c>
      <c r="F135" s="26" t="s">
        <v>28</v>
      </c>
      <c r="G135" s="26" t="s">
        <v>28</v>
      </c>
      <c r="H135" s="26" t="s">
        <v>28</v>
      </c>
      <c r="I135" s="26" t="s">
        <v>28</v>
      </c>
      <c r="J135" s="27" t="s">
        <v>22</v>
      </c>
      <c r="K135" s="26" t="s">
        <v>28</v>
      </c>
      <c r="L135" s="26" t="s">
        <v>28</v>
      </c>
      <c r="M135" s="26" t="s">
        <v>28</v>
      </c>
      <c r="N135" s="26" t="s">
        <v>28</v>
      </c>
      <c r="O135" s="26" t="s">
        <v>28</v>
      </c>
      <c r="P135" s="26" t="s">
        <v>28</v>
      </c>
      <c r="Q135" s="26" t="s">
        <v>28</v>
      </c>
      <c r="R135" s="26" t="s">
        <v>28</v>
      </c>
      <c r="S135" s="26" t="s">
        <v>28</v>
      </c>
      <c r="T135" s="45"/>
      <c r="U135" s="45"/>
      <c r="V135" s="45"/>
      <c r="W135" s="45"/>
      <c r="X135" s="45"/>
      <c r="Y135" s="45"/>
      <c r="Z135" s="45"/>
      <c r="AA135" s="45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32">
        <f t="shared" si="8"/>
        <v>0</v>
      </c>
      <c r="BB135" s="32">
        <f t="shared" si="9"/>
        <v>1</v>
      </c>
      <c r="BC135" s="32">
        <f t="shared" si="10"/>
        <v>15</v>
      </c>
      <c r="BD135" s="32">
        <f t="shared" si="11"/>
        <v>16</v>
      </c>
      <c r="BE135" s="33">
        <f t="shared" si="12"/>
        <v>93.75</v>
      </c>
    </row>
    <row r="136">
      <c r="A136" s="24">
        <v>58.0</v>
      </c>
      <c r="B136" s="24" t="s">
        <v>337</v>
      </c>
      <c r="C136" s="25" t="s">
        <v>338</v>
      </c>
      <c r="D136" s="26" t="s">
        <v>28</v>
      </c>
      <c r="E136" s="26" t="s">
        <v>28</v>
      </c>
      <c r="F136" s="26" t="s">
        <v>28</v>
      </c>
      <c r="G136" s="26" t="s">
        <v>28</v>
      </c>
      <c r="H136" s="26" t="s">
        <v>28</v>
      </c>
      <c r="I136" s="26" t="s">
        <v>28</v>
      </c>
      <c r="J136" s="26" t="s">
        <v>28</v>
      </c>
      <c r="K136" s="26" t="s">
        <v>28</v>
      </c>
      <c r="L136" s="26" t="s">
        <v>28</v>
      </c>
      <c r="M136" s="26" t="s">
        <v>28</v>
      </c>
      <c r="N136" s="26" t="s">
        <v>28</v>
      </c>
      <c r="O136" s="26" t="s">
        <v>28</v>
      </c>
      <c r="P136" s="26" t="s">
        <v>28</v>
      </c>
      <c r="Q136" s="26" t="s">
        <v>28</v>
      </c>
      <c r="R136" s="26" t="s">
        <v>28</v>
      </c>
      <c r="S136" s="26" t="s">
        <v>28</v>
      </c>
      <c r="T136" s="45"/>
      <c r="U136" s="45"/>
      <c r="V136" s="45"/>
      <c r="W136" s="45"/>
      <c r="X136" s="45"/>
      <c r="Y136" s="45"/>
      <c r="Z136" s="45"/>
      <c r="AA136" s="45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32">
        <f t="shared" si="8"/>
        <v>0</v>
      </c>
      <c r="BB136" s="32">
        <f t="shared" si="9"/>
        <v>0</v>
      </c>
      <c r="BC136" s="32">
        <f t="shared" si="10"/>
        <v>16</v>
      </c>
      <c r="BD136" s="32">
        <f t="shared" si="11"/>
        <v>16</v>
      </c>
      <c r="BE136" s="33">
        <f t="shared" si="12"/>
        <v>100</v>
      </c>
    </row>
    <row r="137">
      <c r="A137" s="35">
        <v>59.0</v>
      </c>
      <c r="B137" s="35" t="s">
        <v>339</v>
      </c>
      <c r="C137" s="36" t="s">
        <v>340</v>
      </c>
      <c r="D137" s="27" t="s">
        <v>22</v>
      </c>
      <c r="E137" s="37" t="s">
        <v>28</v>
      </c>
      <c r="F137" s="27" t="s">
        <v>22</v>
      </c>
      <c r="G137" s="27" t="s">
        <v>22</v>
      </c>
      <c r="H137" s="27" t="s">
        <v>22</v>
      </c>
      <c r="I137" s="27" t="s">
        <v>22</v>
      </c>
      <c r="J137" s="27" t="s">
        <v>22</v>
      </c>
      <c r="K137" s="27" t="s">
        <v>22</v>
      </c>
      <c r="L137" s="27"/>
      <c r="M137" s="37"/>
      <c r="N137" s="27"/>
      <c r="O137" s="37"/>
      <c r="P137" s="27"/>
      <c r="Q137" s="27"/>
      <c r="R137" s="27"/>
      <c r="S137" s="97"/>
      <c r="T137" s="98"/>
      <c r="U137" s="98"/>
      <c r="V137" s="98"/>
      <c r="W137" s="98"/>
      <c r="X137" s="98"/>
      <c r="Y137" s="98"/>
      <c r="Z137" s="98"/>
      <c r="AA137" s="98"/>
      <c r="AB137" s="99"/>
      <c r="AC137" s="99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  <c r="AQ137" s="99"/>
      <c r="AR137" s="99"/>
      <c r="AS137" s="99"/>
      <c r="AT137" s="99"/>
      <c r="AU137" s="99"/>
      <c r="AV137" s="99"/>
      <c r="AW137" s="99"/>
      <c r="AX137" s="99"/>
      <c r="AY137" s="99"/>
      <c r="AZ137" s="99"/>
      <c r="BA137" s="100">
        <f t="shared" si="8"/>
        <v>0</v>
      </c>
      <c r="BB137" s="100">
        <f t="shared" si="9"/>
        <v>7</v>
      </c>
      <c r="BC137" s="100">
        <f t="shared" si="10"/>
        <v>1</v>
      </c>
      <c r="BD137" s="100">
        <f t="shared" si="11"/>
        <v>8</v>
      </c>
      <c r="BE137" s="101">
        <f t="shared" si="12"/>
        <v>12.5</v>
      </c>
    </row>
    <row r="138">
      <c r="A138" s="24">
        <v>60.0</v>
      </c>
      <c r="B138" s="24" t="s">
        <v>341</v>
      </c>
      <c r="C138" s="25" t="s">
        <v>342</v>
      </c>
      <c r="D138" s="27" t="s">
        <v>22</v>
      </c>
      <c r="E138" s="26" t="s">
        <v>28</v>
      </c>
      <c r="F138" s="27" t="s">
        <v>22</v>
      </c>
      <c r="G138" s="27" t="s">
        <v>22</v>
      </c>
      <c r="H138" s="27" t="s">
        <v>22</v>
      </c>
      <c r="I138" s="26" t="s">
        <v>28</v>
      </c>
      <c r="J138" s="27" t="s">
        <v>22</v>
      </c>
      <c r="K138" s="27" t="s">
        <v>22</v>
      </c>
      <c r="L138" s="26" t="s">
        <v>28</v>
      </c>
      <c r="M138" s="26" t="s">
        <v>28</v>
      </c>
      <c r="N138" s="27" t="s">
        <v>22</v>
      </c>
      <c r="O138" s="26" t="s">
        <v>28</v>
      </c>
      <c r="P138" s="26" t="s">
        <v>28</v>
      </c>
      <c r="Q138" s="26" t="s">
        <v>28</v>
      </c>
      <c r="R138" s="26" t="s">
        <v>28</v>
      </c>
      <c r="S138" s="27" t="s">
        <v>22</v>
      </c>
      <c r="T138" s="45"/>
      <c r="U138" s="45"/>
      <c r="V138" s="45"/>
      <c r="W138" s="45"/>
      <c r="X138" s="45"/>
      <c r="Y138" s="45"/>
      <c r="Z138" s="45"/>
      <c r="AA138" s="45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32">
        <f t="shared" si="8"/>
        <v>0</v>
      </c>
      <c r="BB138" s="32">
        <f t="shared" si="9"/>
        <v>8</v>
      </c>
      <c r="BC138" s="32">
        <f t="shared" si="10"/>
        <v>8</v>
      </c>
      <c r="BD138" s="32">
        <f t="shared" si="11"/>
        <v>16</v>
      </c>
      <c r="BE138" s="33">
        <f t="shared" si="12"/>
        <v>50</v>
      </c>
    </row>
    <row r="139">
      <c r="A139" s="35">
        <v>61.0</v>
      </c>
      <c r="B139" s="35" t="s">
        <v>345</v>
      </c>
      <c r="C139" s="36" t="s">
        <v>346</v>
      </c>
      <c r="D139" s="27" t="s">
        <v>22</v>
      </c>
      <c r="E139" s="27" t="s">
        <v>22</v>
      </c>
      <c r="F139" s="27" t="s">
        <v>22</v>
      </c>
      <c r="G139" s="27" t="s">
        <v>22</v>
      </c>
      <c r="H139" s="37" t="s">
        <v>28</v>
      </c>
      <c r="I139" s="27" t="s">
        <v>22</v>
      </c>
      <c r="J139" s="27" t="s">
        <v>22</v>
      </c>
      <c r="K139" s="27" t="s">
        <v>22</v>
      </c>
      <c r="L139" s="27" t="s">
        <v>22</v>
      </c>
      <c r="M139" s="27" t="s">
        <v>22</v>
      </c>
      <c r="N139" s="27" t="s">
        <v>22</v>
      </c>
      <c r="O139" s="37"/>
      <c r="P139" s="27"/>
      <c r="Q139" s="37" t="s">
        <v>28</v>
      </c>
      <c r="R139" s="37" t="s">
        <v>28</v>
      </c>
      <c r="S139" s="27" t="s">
        <v>22</v>
      </c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41">
        <f t="shared" si="8"/>
        <v>0</v>
      </c>
      <c r="BB139" s="41">
        <f t="shared" si="9"/>
        <v>11</v>
      </c>
      <c r="BC139" s="41">
        <f t="shared" si="10"/>
        <v>3</v>
      </c>
      <c r="BD139" s="41">
        <f t="shared" si="11"/>
        <v>14</v>
      </c>
      <c r="BE139" s="42">
        <f t="shared" si="12"/>
        <v>21.42857143</v>
      </c>
    </row>
    <row r="140">
      <c r="A140" s="24">
        <v>62.0</v>
      </c>
      <c r="B140" s="24" t="s">
        <v>349</v>
      </c>
      <c r="C140" s="25" t="s">
        <v>350</v>
      </c>
      <c r="D140" s="26" t="s">
        <v>28</v>
      </c>
      <c r="E140" s="26" t="s">
        <v>28</v>
      </c>
      <c r="F140" s="27" t="s">
        <v>22</v>
      </c>
      <c r="G140" s="26" t="s">
        <v>28</v>
      </c>
      <c r="H140" s="26" t="s">
        <v>28</v>
      </c>
      <c r="I140" s="26" t="s">
        <v>28</v>
      </c>
      <c r="J140" s="27" t="s">
        <v>22</v>
      </c>
      <c r="K140" s="26" t="s">
        <v>28</v>
      </c>
      <c r="L140" s="26" t="s">
        <v>28</v>
      </c>
      <c r="M140" s="26" t="s">
        <v>28</v>
      </c>
      <c r="N140" s="27" t="s">
        <v>22</v>
      </c>
      <c r="O140" s="26" t="s">
        <v>28</v>
      </c>
      <c r="P140" s="26" t="s">
        <v>28</v>
      </c>
      <c r="Q140" s="26" t="s">
        <v>28</v>
      </c>
      <c r="R140" s="26" t="s">
        <v>28</v>
      </c>
      <c r="S140" s="26" t="s">
        <v>28</v>
      </c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32">
        <f t="shared" si="8"/>
        <v>0</v>
      </c>
      <c r="BB140" s="32">
        <f t="shared" si="9"/>
        <v>3</v>
      </c>
      <c r="BC140" s="32">
        <f t="shared" si="10"/>
        <v>13</v>
      </c>
      <c r="BD140" s="32">
        <f t="shared" si="11"/>
        <v>16</v>
      </c>
      <c r="BE140" s="33">
        <f t="shared" si="12"/>
        <v>81.25</v>
      </c>
    </row>
    <row r="141">
      <c r="A141" s="24">
        <v>63.0</v>
      </c>
      <c r="B141" s="24" t="s">
        <v>351</v>
      </c>
      <c r="C141" s="25" t="s">
        <v>352</v>
      </c>
      <c r="D141" s="26" t="s">
        <v>28</v>
      </c>
      <c r="E141" s="26" t="s">
        <v>28</v>
      </c>
      <c r="F141" s="26" t="s">
        <v>28</v>
      </c>
      <c r="G141" s="26" t="s">
        <v>28</v>
      </c>
      <c r="H141" s="26" t="s">
        <v>28</v>
      </c>
      <c r="I141" s="26" t="s">
        <v>28</v>
      </c>
      <c r="J141" s="26" t="s">
        <v>28</v>
      </c>
      <c r="K141" s="27" t="s">
        <v>22</v>
      </c>
      <c r="L141" s="26" t="s">
        <v>28</v>
      </c>
      <c r="M141" s="26" t="s">
        <v>28</v>
      </c>
      <c r="N141" s="26" t="s">
        <v>28</v>
      </c>
      <c r="O141" s="26" t="s">
        <v>28</v>
      </c>
      <c r="P141" s="27" t="s">
        <v>22</v>
      </c>
      <c r="Q141" s="26" t="s">
        <v>28</v>
      </c>
      <c r="R141" s="26" t="s">
        <v>28</v>
      </c>
      <c r="S141" s="26" t="s">
        <v>28</v>
      </c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32">
        <f t="shared" si="8"/>
        <v>0</v>
      </c>
      <c r="BB141" s="32">
        <f t="shared" si="9"/>
        <v>2</v>
      </c>
      <c r="BC141" s="32">
        <f t="shared" si="10"/>
        <v>14</v>
      </c>
      <c r="BD141" s="32">
        <f t="shared" si="11"/>
        <v>16</v>
      </c>
      <c r="BE141" s="33">
        <f t="shared" si="12"/>
        <v>87.5</v>
      </c>
    </row>
    <row r="142">
      <c r="A142" s="35">
        <v>64.0</v>
      </c>
      <c r="B142" s="35" t="s">
        <v>353</v>
      </c>
      <c r="C142" s="36" t="s">
        <v>354</v>
      </c>
      <c r="D142" s="27" t="s">
        <v>22</v>
      </c>
      <c r="E142" s="27" t="s">
        <v>22</v>
      </c>
      <c r="F142" s="27" t="s">
        <v>22</v>
      </c>
      <c r="G142" s="27" t="s">
        <v>22</v>
      </c>
      <c r="H142" s="27" t="s">
        <v>22</v>
      </c>
      <c r="I142" s="27" t="s">
        <v>22</v>
      </c>
      <c r="J142" s="27" t="s">
        <v>22</v>
      </c>
      <c r="K142" s="27" t="s">
        <v>22</v>
      </c>
      <c r="L142" s="27" t="s">
        <v>22</v>
      </c>
      <c r="M142" s="27" t="s">
        <v>22</v>
      </c>
      <c r="N142" s="27" t="s">
        <v>22</v>
      </c>
      <c r="O142" s="27" t="s">
        <v>22</v>
      </c>
      <c r="P142" s="37"/>
      <c r="Q142" s="27"/>
      <c r="R142" s="27"/>
      <c r="S142" s="53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41">
        <f t="shared" si="8"/>
        <v>0</v>
      </c>
      <c r="BB142" s="41">
        <f t="shared" si="9"/>
        <v>12</v>
      </c>
      <c r="BC142" s="41">
        <f t="shared" si="10"/>
        <v>0</v>
      </c>
      <c r="BD142" s="41">
        <f t="shared" si="11"/>
        <v>12</v>
      </c>
      <c r="BE142" s="42">
        <f t="shared" si="12"/>
        <v>0</v>
      </c>
    </row>
    <row r="143">
      <c r="A143" s="24">
        <v>65.0</v>
      </c>
      <c r="B143" s="24" t="s">
        <v>357</v>
      </c>
      <c r="C143" s="25" t="s">
        <v>358</v>
      </c>
      <c r="D143" s="26" t="s">
        <v>28</v>
      </c>
      <c r="E143" s="26" t="s">
        <v>28</v>
      </c>
      <c r="F143" s="26" t="s">
        <v>28</v>
      </c>
      <c r="G143" s="26" t="s">
        <v>28</v>
      </c>
      <c r="H143" s="26" t="s">
        <v>28</v>
      </c>
      <c r="I143" s="26" t="s">
        <v>28</v>
      </c>
      <c r="J143" s="26" t="s">
        <v>28</v>
      </c>
      <c r="K143" s="26" t="s">
        <v>28</v>
      </c>
      <c r="L143" s="27" t="s">
        <v>22</v>
      </c>
      <c r="M143" s="26" t="s">
        <v>28</v>
      </c>
      <c r="N143" s="26" t="s">
        <v>28</v>
      </c>
      <c r="O143" s="26" t="s">
        <v>28</v>
      </c>
      <c r="P143" s="26" t="s">
        <v>28</v>
      </c>
      <c r="Q143" s="26" t="s">
        <v>28</v>
      </c>
      <c r="R143" s="26" t="s">
        <v>28</v>
      </c>
      <c r="S143" s="27" t="s">
        <v>22</v>
      </c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32">
        <f t="shared" si="8"/>
        <v>0</v>
      </c>
      <c r="BB143" s="32">
        <f t="shared" si="9"/>
        <v>2</v>
      </c>
      <c r="BC143" s="32">
        <f t="shared" si="10"/>
        <v>14</v>
      </c>
      <c r="BD143" s="32">
        <f t="shared" si="11"/>
        <v>16</v>
      </c>
      <c r="BE143" s="33">
        <f t="shared" si="12"/>
        <v>87.5</v>
      </c>
    </row>
    <row r="144">
      <c r="A144" s="24">
        <v>66.0</v>
      </c>
      <c r="B144" s="24" t="s">
        <v>359</v>
      </c>
      <c r="C144" s="25" t="s">
        <v>360</v>
      </c>
      <c r="D144" s="27" t="s">
        <v>22</v>
      </c>
      <c r="E144" s="26" t="s">
        <v>28</v>
      </c>
      <c r="F144" s="26" t="s">
        <v>28</v>
      </c>
      <c r="G144" s="26" t="s">
        <v>28</v>
      </c>
      <c r="H144" s="26" t="s">
        <v>28</v>
      </c>
      <c r="I144" s="26" t="s">
        <v>28</v>
      </c>
      <c r="J144" s="27" t="s">
        <v>22</v>
      </c>
      <c r="K144" s="26" t="s">
        <v>28</v>
      </c>
      <c r="L144" s="27" t="s">
        <v>22</v>
      </c>
      <c r="M144" s="26" t="s">
        <v>28</v>
      </c>
      <c r="N144" s="26" t="s">
        <v>28</v>
      </c>
      <c r="O144" s="26" t="s">
        <v>28</v>
      </c>
      <c r="P144" s="27" t="s">
        <v>22</v>
      </c>
      <c r="Q144" s="26" t="s">
        <v>28</v>
      </c>
      <c r="R144" s="26" t="s">
        <v>28</v>
      </c>
      <c r="S144" s="26" t="s">
        <v>28</v>
      </c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32">
        <f t="shared" si="8"/>
        <v>0</v>
      </c>
      <c r="BB144" s="32">
        <f t="shared" si="9"/>
        <v>4</v>
      </c>
      <c r="BC144" s="32">
        <f t="shared" si="10"/>
        <v>12</v>
      </c>
      <c r="BD144" s="32">
        <f t="shared" si="11"/>
        <v>16</v>
      </c>
      <c r="BE144" s="33">
        <f t="shared" si="12"/>
        <v>75</v>
      </c>
    </row>
    <row r="145">
      <c r="A145" s="24">
        <v>67.0</v>
      </c>
      <c r="B145" s="74" t="s">
        <v>361</v>
      </c>
      <c r="D145" s="26" t="s">
        <v>28</v>
      </c>
      <c r="E145" s="26" t="s">
        <v>28</v>
      </c>
      <c r="F145" s="26" t="s">
        <v>28</v>
      </c>
      <c r="G145" s="26" t="s">
        <v>28</v>
      </c>
      <c r="H145" s="26" t="s">
        <v>28</v>
      </c>
      <c r="I145" s="26" t="s">
        <v>28</v>
      </c>
      <c r="J145" s="26" t="s">
        <v>28</v>
      </c>
      <c r="K145" s="26" t="s">
        <v>28</v>
      </c>
      <c r="L145" s="26" t="s">
        <v>28</v>
      </c>
      <c r="M145" s="26" t="s">
        <v>28</v>
      </c>
      <c r="N145" s="26" t="s">
        <v>28</v>
      </c>
      <c r="O145" s="26" t="s">
        <v>28</v>
      </c>
      <c r="P145" s="26" t="s">
        <v>28</v>
      </c>
      <c r="Q145" s="26" t="s">
        <v>28</v>
      </c>
      <c r="R145" s="26" t="s">
        <v>28</v>
      </c>
      <c r="S145" s="27" t="s">
        <v>22</v>
      </c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32">
        <f t="shared" si="8"/>
        <v>0</v>
      </c>
      <c r="BB145" s="32">
        <f t="shared" si="9"/>
        <v>1</v>
      </c>
      <c r="BC145" s="32">
        <f t="shared" si="10"/>
        <v>15</v>
      </c>
      <c r="BD145" s="32">
        <f t="shared" si="11"/>
        <v>16</v>
      </c>
      <c r="BE145" s="33">
        <f t="shared" si="12"/>
        <v>93.75</v>
      </c>
    </row>
    <row r="146">
      <c r="A146" s="24">
        <v>68.0</v>
      </c>
      <c r="B146" s="24" t="s">
        <v>365</v>
      </c>
      <c r="C146" s="75" t="s">
        <v>362</v>
      </c>
      <c r="D146" s="27" t="s">
        <v>22</v>
      </c>
      <c r="E146" s="26" t="s">
        <v>28</v>
      </c>
      <c r="F146" s="27" t="s">
        <v>22</v>
      </c>
      <c r="G146" s="26" t="s">
        <v>28</v>
      </c>
      <c r="H146" s="27" t="s">
        <v>22</v>
      </c>
      <c r="I146" s="26" t="s">
        <v>28</v>
      </c>
      <c r="J146" s="27" t="s">
        <v>22</v>
      </c>
      <c r="K146" s="27" t="s">
        <v>22</v>
      </c>
      <c r="L146" s="27" t="s">
        <v>22</v>
      </c>
      <c r="M146" s="27" t="s">
        <v>22</v>
      </c>
      <c r="N146" s="27" t="s">
        <v>22</v>
      </c>
      <c r="O146" s="26" t="s">
        <v>28</v>
      </c>
      <c r="P146" s="26" t="s">
        <v>28</v>
      </c>
      <c r="Q146" s="27" t="s">
        <v>22</v>
      </c>
      <c r="R146" s="26" t="s">
        <v>28</v>
      </c>
      <c r="S146" s="27" t="s">
        <v>22</v>
      </c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32">
        <f t="shared" si="8"/>
        <v>0</v>
      </c>
      <c r="BB146" s="32">
        <f t="shared" si="9"/>
        <v>10</v>
      </c>
      <c r="BC146" s="32">
        <f t="shared" si="10"/>
        <v>6</v>
      </c>
      <c r="BD146" s="32">
        <f t="shared" si="11"/>
        <v>16</v>
      </c>
      <c r="BE146" s="33">
        <f t="shared" si="12"/>
        <v>37.5</v>
      </c>
    </row>
    <row r="147">
      <c r="A147" s="55"/>
      <c r="B147" s="55"/>
      <c r="C147" s="56" t="s">
        <v>191</v>
      </c>
      <c r="D147" s="57">
        <f t="shared" ref="D147:AZ147" si="13">COUNTIF(D79:D146,"P")+COUNTIF(D79:D146,"L")</f>
        <v>43</v>
      </c>
      <c r="E147" s="57">
        <f t="shared" si="13"/>
        <v>56</v>
      </c>
      <c r="F147" s="57">
        <f t="shared" si="13"/>
        <v>44</v>
      </c>
      <c r="G147" s="57">
        <f t="shared" si="13"/>
        <v>53</v>
      </c>
      <c r="H147" s="57">
        <f t="shared" si="13"/>
        <v>60</v>
      </c>
      <c r="I147" s="57">
        <f t="shared" si="13"/>
        <v>59</v>
      </c>
      <c r="J147" s="57">
        <f t="shared" si="13"/>
        <v>41</v>
      </c>
      <c r="K147" s="57">
        <f t="shared" si="13"/>
        <v>51</v>
      </c>
      <c r="L147" s="57">
        <f t="shared" si="13"/>
        <v>50</v>
      </c>
      <c r="M147" s="57">
        <f t="shared" si="13"/>
        <v>58</v>
      </c>
      <c r="N147" s="57">
        <f t="shared" si="13"/>
        <v>49</v>
      </c>
      <c r="O147" s="57">
        <f t="shared" si="13"/>
        <v>59</v>
      </c>
      <c r="P147" s="57">
        <f t="shared" si="13"/>
        <v>50</v>
      </c>
      <c r="Q147" s="57">
        <f t="shared" si="13"/>
        <v>60</v>
      </c>
      <c r="R147" s="57">
        <f t="shared" si="13"/>
        <v>62</v>
      </c>
      <c r="S147" s="57">
        <f t="shared" si="13"/>
        <v>32</v>
      </c>
      <c r="T147" s="57">
        <f t="shared" si="13"/>
        <v>0</v>
      </c>
      <c r="U147" s="57">
        <f t="shared" si="13"/>
        <v>0</v>
      </c>
      <c r="V147" s="57">
        <f t="shared" si="13"/>
        <v>0</v>
      </c>
      <c r="W147" s="57">
        <f t="shared" si="13"/>
        <v>0</v>
      </c>
      <c r="X147" s="57">
        <f t="shared" si="13"/>
        <v>0</v>
      </c>
      <c r="Y147" s="57">
        <f t="shared" si="13"/>
        <v>0</v>
      </c>
      <c r="Z147" s="57">
        <f t="shared" si="13"/>
        <v>0</v>
      </c>
      <c r="AA147" s="57">
        <f t="shared" si="13"/>
        <v>0</v>
      </c>
      <c r="AB147" s="57">
        <f t="shared" si="13"/>
        <v>0</v>
      </c>
      <c r="AC147" s="57">
        <f t="shared" si="13"/>
        <v>0</v>
      </c>
      <c r="AD147" s="57">
        <f t="shared" si="13"/>
        <v>0</v>
      </c>
      <c r="AE147" s="57">
        <f t="shared" si="13"/>
        <v>0</v>
      </c>
      <c r="AF147" s="57">
        <f t="shared" si="13"/>
        <v>0</v>
      </c>
      <c r="AG147" s="57">
        <f t="shared" si="13"/>
        <v>0</v>
      </c>
      <c r="AH147" s="57">
        <f t="shared" si="13"/>
        <v>0</v>
      </c>
      <c r="AI147" s="57">
        <f t="shared" si="13"/>
        <v>0</v>
      </c>
      <c r="AJ147" s="57">
        <f t="shared" si="13"/>
        <v>0</v>
      </c>
      <c r="AK147" s="57">
        <f t="shared" si="13"/>
        <v>0</v>
      </c>
      <c r="AL147" s="57">
        <f t="shared" si="13"/>
        <v>0</v>
      </c>
      <c r="AM147" s="57">
        <f t="shared" si="13"/>
        <v>0</v>
      </c>
      <c r="AN147" s="57">
        <f t="shared" si="13"/>
        <v>0</v>
      </c>
      <c r="AO147" s="57">
        <f t="shared" si="13"/>
        <v>0</v>
      </c>
      <c r="AP147" s="57">
        <f t="shared" si="13"/>
        <v>0</v>
      </c>
      <c r="AQ147" s="57">
        <f t="shared" si="13"/>
        <v>0</v>
      </c>
      <c r="AR147" s="57">
        <f t="shared" si="13"/>
        <v>0</v>
      </c>
      <c r="AS147" s="57">
        <f t="shared" si="13"/>
        <v>0</v>
      </c>
      <c r="AT147" s="57">
        <f t="shared" si="13"/>
        <v>0</v>
      </c>
      <c r="AU147" s="57">
        <f t="shared" si="13"/>
        <v>0</v>
      </c>
      <c r="AV147" s="57">
        <f t="shared" si="13"/>
        <v>0</v>
      </c>
      <c r="AW147" s="57">
        <f t="shared" si="13"/>
        <v>0</v>
      </c>
      <c r="AX147" s="57">
        <f t="shared" si="13"/>
        <v>0</v>
      </c>
      <c r="AY147" s="57">
        <f t="shared" si="13"/>
        <v>0</v>
      </c>
      <c r="AZ147" s="57">
        <f t="shared" si="13"/>
        <v>0</v>
      </c>
      <c r="BA147" s="32">
        <f t="shared" si="8"/>
        <v>0</v>
      </c>
      <c r="BB147" s="32">
        <f t="shared" si="9"/>
        <v>0</v>
      </c>
      <c r="BC147" s="32">
        <f t="shared" si="10"/>
        <v>0</v>
      </c>
      <c r="BD147" s="32">
        <f t="shared" si="11"/>
        <v>0</v>
      </c>
      <c r="BE147" s="33" t="str">
        <f t="shared" si="12"/>
        <v>#DIV/0!</v>
      </c>
    </row>
    <row r="148">
      <c r="A148" s="83" t="s">
        <v>471</v>
      </c>
      <c r="B148" s="55"/>
      <c r="C148" s="59" t="s">
        <v>192</v>
      </c>
      <c r="D148" s="60">
        <v>65.0</v>
      </c>
      <c r="E148" s="60">
        <v>65.0</v>
      </c>
      <c r="F148" s="60">
        <v>65.0</v>
      </c>
      <c r="G148" s="60">
        <v>65.0</v>
      </c>
      <c r="H148" s="60">
        <v>65.0</v>
      </c>
      <c r="I148" s="60">
        <v>65.0</v>
      </c>
      <c r="J148" s="60">
        <v>65.0</v>
      </c>
      <c r="K148" s="60">
        <v>65.0</v>
      </c>
      <c r="L148" s="60">
        <v>65.0</v>
      </c>
      <c r="M148" s="60">
        <v>65.0</v>
      </c>
      <c r="N148" s="60">
        <v>65.0</v>
      </c>
      <c r="O148" s="60">
        <v>65.0</v>
      </c>
      <c r="P148" s="60">
        <v>65.0</v>
      </c>
      <c r="Q148" s="60">
        <v>65.0</v>
      </c>
      <c r="R148" s="60">
        <v>65.0</v>
      </c>
      <c r="S148" s="60">
        <v>65.0</v>
      </c>
      <c r="T148" s="60">
        <v>65.0</v>
      </c>
      <c r="U148" s="60">
        <v>65.0</v>
      </c>
      <c r="V148" s="60">
        <v>65.0</v>
      </c>
      <c r="W148" s="60">
        <v>65.0</v>
      </c>
      <c r="X148" s="60">
        <v>65.0</v>
      </c>
      <c r="Y148" s="60">
        <v>65.0</v>
      </c>
      <c r="Z148" s="60">
        <v>65.0</v>
      </c>
      <c r="AA148" s="60">
        <v>65.0</v>
      </c>
      <c r="AB148" s="60">
        <v>65.0</v>
      </c>
      <c r="AC148" s="60">
        <v>65.0</v>
      </c>
      <c r="AD148" s="60">
        <v>65.0</v>
      </c>
      <c r="AE148" s="60">
        <v>65.0</v>
      </c>
      <c r="AF148" s="60">
        <v>65.0</v>
      </c>
      <c r="AG148" s="60">
        <v>65.0</v>
      </c>
      <c r="AH148" s="60">
        <v>65.0</v>
      </c>
      <c r="AI148" s="60">
        <v>65.0</v>
      </c>
      <c r="AJ148" s="60">
        <v>65.0</v>
      </c>
      <c r="AK148" s="60">
        <v>65.0</v>
      </c>
      <c r="AL148" s="60">
        <v>65.0</v>
      </c>
      <c r="AM148" s="60">
        <v>65.0</v>
      </c>
      <c r="AN148" s="60">
        <v>65.0</v>
      </c>
      <c r="AO148" s="60">
        <v>65.0</v>
      </c>
      <c r="AP148" s="60">
        <v>65.0</v>
      </c>
      <c r="AQ148" s="60">
        <v>65.0</v>
      </c>
      <c r="AR148" s="60">
        <v>65.0</v>
      </c>
      <c r="AS148" s="60">
        <v>65.0</v>
      </c>
      <c r="AT148" s="60">
        <v>65.0</v>
      </c>
      <c r="AU148" s="60">
        <v>65.0</v>
      </c>
      <c r="AV148" s="60">
        <v>65.0</v>
      </c>
      <c r="AW148" s="60">
        <v>65.0</v>
      </c>
      <c r="AX148" s="60">
        <v>65.0</v>
      </c>
      <c r="AY148" s="60">
        <v>65.0</v>
      </c>
      <c r="AZ148" s="60">
        <v>65.0</v>
      </c>
      <c r="BA148" s="55"/>
      <c r="BB148" s="55"/>
      <c r="BC148" s="55"/>
      <c r="BD148" s="55"/>
      <c r="BE148" s="76"/>
    </row>
    <row r="149">
      <c r="A149" s="55"/>
      <c r="B149" s="55"/>
      <c r="C149" s="62" t="s">
        <v>193</v>
      </c>
      <c r="D149" s="63">
        <f t="shared" ref="D149:AZ149" si="14">SUM(D147/D148)*100</f>
        <v>66.15384615</v>
      </c>
      <c r="E149" s="63">
        <f t="shared" si="14"/>
        <v>86.15384615</v>
      </c>
      <c r="F149" s="63">
        <f t="shared" si="14"/>
        <v>67.69230769</v>
      </c>
      <c r="G149" s="63">
        <f t="shared" si="14"/>
        <v>81.53846154</v>
      </c>
      <c r="H149" s="63">
        <f t="shared" si="14"/>
        <v>92.30769231</v>
      </c>
      <c r="I149" s="63">
        <f t="shared" si="14"/>
        <v>90.76923077</v>
      </c>
      <c r="J149" s="63">
        <f t="shared" si="14"/>
        <v>63.07692308</v>
      </c>
      <c r="K149" s="63">
        <f t="shared" si="14"/>
        <v>78.46153846</v>
      </c>
      <c r="L149" s="63">
        <f t="shared" si="14"/>
        <v>76.92307692</v>
      </c>
      <c r="M149" s="63">
        <f t="shared" si="14"/>
        <v>89.23076923</v>
      </c>
      <c r="N149" s="63">
        <f t="shared" si="14"/>
        <v>75.38461538</v>
      </c>
      <c r="O149" s="63">
        <f t="shared" si="14"/>
        <v>90.76923077</v>
      </c>
      <c r="P149" s="63">
        <f t="shared" si="14"/>
        <v>76.92307692</v>
      </c>
      <c r="Q149" s="63">
        <f t="shared" si="14"/>
        <v>92.30769231</v>
      </c>
      <c r="R149" s="63">
        <f t="shared" si="14"/>
        <v>95.38461538</v>
      </c>
      <c r="S149" s="63">
        <f t="shared" si="14"/>
        <v>49.23076923</v>
      </c>
      <c r="T149" s="63">
        <f t="shared" si="14"/>
        <v>0</v>
      </c>
      <c r="U149" s="63">
        <f t="shared" si="14"/>
        <v>0</v>
      </c>
      <c r="V149" s="63">
        <f t="shared" si="14"/>
        <v>0</v>
      </c>
      <c r="W149" s="63">
        <f t="shared" si="14"/>
        <v>0</v>
      </c>
      <c r="X149" s="63">
        <f t="shared" si="14"/>
        <v>0</v>
      </c>
      <c r="Y149" s="63">
        <f t="shared" si="14"/>
        <v>0</v>
      </c>
      <c r="Z149" s="63">
        <f t="shared" si="14"/>
        <v>0</v>
      </c>
      <c r="AA149" s="63">
        <f t="shared" si="14"/>
        <v>0</v>
      </c>
      <c r="AB149" s="63">
        <f t="shared" si="14"/>
        <v>0</v>
      </c>
      <c r="AC149" s="63">
        <f t="shared" si="14"/>
        <v>0</v>
      </c>
      <c r="AD149" s="63">
        <f t="shared" si="14"/>
        <v>0</v>
      </c>
      <c r="AE149" s="63">
        <f t="shared" si="14"/>
        <v>0</v>
      </c>
      <c r="AF149" s="63">
        <f t="shared" si="14"/>
        <v>0</v>
      </c>
      <c r="AG149" s="63">
        <f t="shared" si="14"/>
        <v>0</v>
      </c>
      <c r="AH149" s="63">
        <f t="shared" si="14"/>
        <v>0</v>
      </c>
      <c r="AI149" s="63">
        <f t="shared" si="14"/>
        <v>0</v>
      </c>
      <c r="AJ149" s="63">
        <f t="shared" si="14"/>
        <v>0</v>
      </c>
      <c r="AK149" s="63">
        <f t="shared" si="14"/>
        <v>0</v>
      </c>
      <c r="AL149" s="63">
        <f t="shared" si="14"/>
        <v>0</v>
      </c>
      <c r="AM149" s="63">
        <f t="shared" si="14"/>
        <v>0</v>
      </c>
      <c r="AN149" s="63">
        <f t="shared" si="14"/>
        <v>0</v>
      </c>
      <c r="AO149" s="63">
        <f t="shared" si="14"/>
        <v>0</v>
      </c>
      <c r="AP149" s="63">
        <f t="shared" si="14"/>
        <v>0</v>
      </c>
      <c r="AQ149" s="63">
        <f t="shared" si="14"/>
        <v>0</v>
      </c>
      <c r="AR149" s="63">
        <f t="shared" si="14"/>
        <v>0</v>
      </c>
      <c r="AS149" s="63">
        <f t="shared" si="14"/>
        <v>0</v>
      </c>
      <c r="AT149" s="63">
        <f t="shared" si="14"/>
        <v>0</v>
      </c>
      <c r="AU149" s="63">
        <f t="shared" si="14"/>
        <v>0</v>
      </c>
      <c r="AV149" s="63">
        <f t="shared" si="14"/>
        <v>0</v>
      </c>
      <c r="AW149" s="63">
        <f t="shared" si="14"/>
        <v>0</v>
      </c>
      <c r="AX149" s="63">
        <f t="shared" si="14"/>
        <v>0</v>
      </c>
      <c r="AY149" s="63">
        <f t="shared" si="14"/>
        <v>0</v>
      </c>
      <c r="AZ149" s="63">
        <f t="shared" si="14"/>
        <v>0</v>
      </c>
      <c r="BA149" s="55"/>
      <c r="BB149" s="55"/>
      <c r="BC149" s="55"/>
      <c r="BD149" s="55"/>
      <c r="BE149" s="76"/>
    </row>
  </sheetData>
  <mergeCells count="10">
    <mergeCell ref="B76:B78"/>
    <mergeCell ref="C76:C78"/>
    <mergeCell ref="A1:BE1"/>
    <mergeCell ref="A2:A4"/>
    <mergeCell ref="B2:B4"/>
    <mergeCell ref="C2:C4"/>
    <mergeCell ref="D2:BE2"/>
    <mergeCell ref="A75:BE75"/>
    <mergeCell ref="A76:A78"/>
    <mergeCell ref="D76:BE76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17" width="3.38"/>
    <col customWidth="1" min="18" max="18" width="3.5"/>
    <col customWidth="1" min="19" max="57" width="3.38"/>
  </cols>
  <sheetData>
    <row r="1">
      <c r="A1" s="1" t="s">
        <v>472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1</v>
      </c>
      <c r="B2" s="5" t="s">
        <v>2</v>
      </c>
      <c r="C2" s="6" t="s">
        <v>3</v>
      </c>
      <c r="D2" s="7" t="s">
        <v>473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79" t="s">
        <v>474</v>
      </c>
      <c r="E3" s="79" t="s">
        <v>475</v>
      </c>
      <c r="F3" s="79" t="s">
        <v>475</v>
      </c>
      <c r="G3" s="79" t="s">
        <v>475</v>
      </c>
      <c r="H3" s="79" t="s">
        <v>475</v>
      </c>
      <c r="I3" s="79" t="s">
        <v>475</v>
      </c>
      <c r="J3" s="79" t="s">
        <v>475</v>
      </c>
      <c r="K3" s="79" t="s">
        <v>475</v>
      </c>
      <c r="L3" s="79"/>
      <c r="M3" s="79"/>
      <c r="N3" s="79"/>
      <c r="O3" s="79"/>
      <c r="P3" s="65"/>
      <c r="Q3" s="79"/>
      <c r="R3" s="79"/>
      <c r="S3" s="65"/>
      <c r="T3" s="11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2"/>
      <c r="BA3" s="12"/>
      <c r="BB3" s="12"/>
      <c r="BC3" s="12"/>
      <c r="BD3" s="12"/>
      <c r="BE3" s="14"/>
    </row>
    <row r="4" ht="75.75" customHeight="1">
      <c r="A4" s="15"/>
      <c r="B4" s="15"/>
      <c r="C4" s="15"/>
      <c r="D4" s="65" t="s">
        <v>476</v>
      </c>
      <c r="E4" s="65" t="s">
        <v>477</v>
      </c>
      <c r="F4" s="65" t="s">
        <v>478</v>
      </c>
      <c r="G4" s="79" t="s">
        <v>479</v>
      </c>
      <c r="H4" s="79" t="s">
        <v>480</v>
      </c>
      <c r="I4" s="79" t="s">
        <v>481</v>
      </c>
      <c r="J4" s="65" t="s">
        <v>482</v>
      </c>
      <c r="K4" s="65" t="s">
        <v>483</v>
      </c>
      <c r="L4" s="65"/>
      <c r="M4" s="65"/>
      <c r="N4" s="65"/>
      <c r="O4" s="65"/>
      <c r="P4" s="65"/>
      <c r="Q4" s="87"/>
      <c r="R4" s="94"/>
      <c r="S4" s="87"/>
      <c r="T4" s="17"/>
      <c r="U4" s="13"/>
      <c r="V4" s="13"/>
      <c r="W4" s="13"/>
      <c r="X4" s="13"/>
      <c r="Y4" s="13"/>
      <c r="Z4" s="13"/>
      <c r="AA4" s="12"/>
      <c r="AB4" s="12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2"/>
      <c r="BA4" s="18" t="s">
        <v>21</v>
      </c>
      <c r="BB4" s="19" t="s">
        <v>22</v>
      </c>
      <c r="BC4" s="20" t="s">
        <v>23</v>
      </c>
      <c r="BD4" s="21" t="s">
        <v>24</v>
      </c>
      <c r="BE4" s="22" t="s">
        <v>25</v>
      </c>
    </row>
    <row r="5">
      <c r="A5" s="23">
        <v>1.0</v>
      </c>
      <c r="B5" s="24" t="s">
        <v>29</v>
      </c>
      <c r="C5" s="25" t="s">
        <v>30</v>
      </c>
      <c r="D5" s="26" t="s">
        <v>28</v>
      </c>
      <c r="E5" s="102" t="s">
        <v>28</v>
      </c>
      <c r="F5" s="103" t="s">
        <v>28</v>
      </c>
      <c r="G5" s="103" t="s">
        <v>28</v>
      </c>
      <c r="H5" s="103" t="s">
        <v>28</v>
      </c>
      <c r="I5" s="102" t="s">
        <v>28</v>
      </c>
      <c r="J5" s="104" t="s">
        <v>22</v>
      </c>
      <c r="K5" s="102" t="s">
        <v>28</v>
      </c>
      <c r="L5" s="96"/>
      <c r="M5" s="96"/>
      <c r="N5" s="96"/>
      <c r="O5" s="96"/>
      <c r="P5" s="96"/>
      <c r="Q5" s="96"/>
      <c r="R5" s="96"/>
      <c r="S5" s="96"/>
      <c r="T5" s="28"/>
      <c r="U5" s="29"/>
      <c r="V5" s="29"/>
      <c r="W5" s="29"/>
      <c r="X5" s="29"/>
      <c r="Y5" s="29"/>
      <c r="Z5" s="29"/>
      <c r="AA5" s="29"/>
      <c r="AB5" s="31"/>
      <c r="AC5" s="31"/>
      <c r="AD5" s="31"/>
      <c r="AE5" s="34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2">
        <f t="shared" ref="BA5:BA67" si="1">COUNTIF(D5:AZ5,"L")</f>
        <v>0</v>
      </c>
      <c r="BB5" s="32">
        <f t="shared" ref="BB5:BB67" si="2">COUNTIF(D5:AZ5,"A")</f>
        <v>1</v>
      </c>
      <c r="BC5" s="32">
        <f t="shared" ref="BC5:BC67" si="3">COUNTIF(D5:AZ5,"p")</f>
        <v>7</v>
      </c>
      <c r="BD5" s="32">
        <f t="shared" ref="BD5:BD67" si="4">SUM(BA5:BC5)</f>
        <v>8</v>
      </c>
      <c r="BE5" s="33">
        <f t="shared" ref="BE5:BE67" si="5">SUM(BA5,BC5)/BD5*100</f>
        <v>87.5</v>
      </c>
    </row>
    <row r="6">
      <c r="A6" s="23">
        <v>2.0</v>
      </c>
      <c r="B6" s="24" t="s">
        <v>31</v>
      </c>
      <c r="C6" s="25" t="s">
        <v>32</v>
      </c>
      <c r="D6" s="26" t="s">
        <v>28</v>
      </c>
      <c r="E6" s="102" t="s">
        <v>28</v>
      </c>
      <c r="F6" s="105" t="s">
        <v>22</v>
      </c>
      <c r="G6" s="105" t="s">
        <v>22</v>
      </c>
      <c r="H6" s="103" t="s">
        <v>28</v>
      </c>
      <c r="I6" s="102" t="s">
        <v>28</v>
      </c>
      <c r="J6" s="102" t="s">
        <v>28</v>
      </c>
      <c r="K6" s="102" t="s">
        <v>28</v>
      </c>
      <c r="L6" s="96"/>
      <c r="M6" s="96"/>
      <c r="N6" s="96"/>
      <c r="O6" s="96"/>
      <c r="P6" s="82"/>
      <c r="Q6" s="96"/>
      <c r="R6" s="96"/>
      <c r="S6" s="96"/>
      <c r="T6" s="28"/>
      <c r="U6" s="29"/>
      <c r="V6" s="29"/>
      <c r="W6" s="29"/>
      <c r="X6" s="29"/>
      <c r="Y6" s="29"/>
      <c r="Z6" s="29"/>
      <c r="AA6" s="29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2">
        <f t="shared" si="1"/>
        <v>0</v>
      </c>
      <c r="BB6" s="32">
        <f t="shared" si="2"/>
        <v>2</v>
      </c>
      <c r="BC6" s="32">
        <f t="shared" si="3"/>
        <v>6</v>
      </c>
      <c r="BD6" s="32">
        <f t="shared" si="4"/>
        <v>8</v>
      </c>
      <c r="BE6" s="33">
        <f t="shared" si="5"/>
        <v>75</v>
      </c>
    </row>
    <row r="7">
      <c r="A7" s="23">
        <v>3.0</v>
      </c>
      <c r="B7" s="24" t="s">
        <v>33</v>
      </c>
      <c r="C7" s="25" t="s">
        <v>34</v>
      </c>
      <c r="D7" s="26" t="s">
        <v>28</v>
      </c>
      <c r="E7" s="102" t="s">
        <v>28</v>
      </c>
      <c r="F7" s="103" t="s">
        <v>28</v>
      </c>
      <c r="G7" s="105" t="s">
        <v>22</v>
      </c>
      <c r="H7" s="103" t="s">
        <v>28</v>
      </c>
      <c r="I7" s="102" t="s">
        <v>28</v>
      </c>
      <c r="J7" s="104" t="s">
        <v>22</v>
      </c>
      <c r="K7" s="102" t="s">
        <v>28</v>
      </c>
      <c r="L7" s="96"/>
      <c r="M7" s="96"/>
      <c r="N7" s="82"/>
      <c r="O7" s="96"/>
      <c r="P7" s="96"/>
      <c r="Q7" s="96"/>
      <c r="R7" s="96"/>
      <c r="S7" s="96"/>
      <c r="T7" s="28"/>
      <c r="U7" s="29"/>
      <c r="V7" s="29"/>
      <c r="W7" s="29"/>
      <c r="X7" s="29"/>
      <c r="Y7" s="29"/>
      <c r="Z7" s="29"/>
      <c r="AA7" s="29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2">
        <f t="shared" si="1"/>
        <v>0</v>
      </c>
      <c r="BB7" s="32">
        <f t="shared" si="2"/>
        <v>2</v>
      </c>
      <c r="BC7" s="32">
        <f t="shared" si="3"/>
        <v>6</v>
      </c>
      <c r="BD7" s="32">
        <f t="shared" si="4"/>
        <v>8</v>
      </c>
      <c r="BE7" s="33">
        <f t="shared" si="5"/>
        <v>75</v>
      </c>
    </row>
    <row r="8">
      <c r="A8" s="23">
        <v>4.0</v>
      </c>
      <c r="B8" s="24" t="s">
        <v>35</v>
      </c>
      <c r="C8" s="25" t="s">
        <v>36</v>
      </c>
      <c r="D8" s="26" t="s">
        <v>28</v>
      </c>
      <c r="E8" s="102" t="s">
        <v>28</v>
      </c>
      <c r="F8" s="103" t="s">
        <v>28</v>
      </c>
      <c r="G8" s="103" t="s">
        <v>28</v>
      </c>
      <c r="H8" s="103" t="s">
        <v>28</v>
      </c>
      <c r="I8" s="104" t="s">
        <v>22</v>
      </c>
      <c r="J8" s="102" t="s">
        <v>28</v>
      </c>
      <c r="K8" s="102" t="s">
        <v>28</v>
      </c>
      <c r="L8" s="96"/>
      <c r="M8" s="96"/>
      <c r="N8" s="96"/>
      <c r="O8" s="96"/>
      <c r="P8" s="96"/>
      <c r="Q8" s="96"/>
      <c r="R8" s="96"/>
      <c r="S8" s="96"/>
      <c r="T8" s="29"/>
      <c r="U8" s="29"/>
      <c r="V8" s="29"/>
      <c r="W8" s="29"/>
      <c r="X8" s="29"/>
      <c r="Y8" s="29"/>
      <c r="Z8" s="29"/>
      <c r="AA8" s="29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2">
        <f t="shared" si="1"/>
        <v>0</v>
      </c>
      <c r="BB8" s="32">
        <f t="shared" si="2"/>
        <v>1</v>
      </c>
      <c r="BC8" s="32">
        <f t="shared" si="3"/>
        <v>7</v>
      </c>
      <c r="BD8" s="32">
        <f t="shared" si="4"/>
        <v>8</v>
      </c>
      <c r="BE8" s="33">
        <f t="shared" si="5"/>
        <v>87.5</v>
      </c>
    </row>
    <row r="9">
      <c r="A9" s="23">
        <v>5.0</v>
      </c>
      <c r="B9" s="24" t="s">
        <v>37</v>
      </c>
      <c r="C9" s="25" t="s">
        <v>391</v>
      </c>
      <c r="D9" s="26" t="s">
        <v>28</v>
      </c>
      <c r="E9" s="102" t="s">
        <v>28</v>
      </c>
      <c r="F9" s="103" t="s">
        <v>28</v>
      </c>
      <c r="G9" s="103" t="s">
        <v>28</v>
      </c>
      <c r="H9" s="104" t="s">
        <v>22</v>
      </c>
      <c r="I9" s="104" t="s">
        <v>22</v>
      </c>
      <c r="J9" s="104" t="s">
        <v>22</v>
      </c>
      <c r="K9" s="104" t="s">
        <v>22</v>
      </c>
      <c r="L9" s="82"/>
      <c r="M9" s="96"/>
      <c r="N9" s="82"/>
      <c r="O9" s="96"/>
      <c r="P9" s="82"/>
      <c r="Q9" s="96"/>
      <c r="R9" s="96"/>
      <c r="S9" s="96"/>
      <c r="T9" s="29"/>
      <c r="U9" s="29"/>
      <c r="V9" s="29"/>
      <c r="W9" s="29"/>
      <c r="X9" s="29"/>
      <c r="Y9" s="29"/>
      <c r="Z9" s="29"/>
      <c r="AA9" s="29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2">
        <f t="shared" si="1"/>
        <v>0</v>
      </c>
      <c r="BB9" s="32">
        <f t="shared" si="2"/>
        <v>4</v>
      </c>
      <c r="BC9" s="32">
        <f t="shared" si="3"/>
        <v>4</v>
      </c>
      <c r="BD9" s="32">
        <f t="shared" si="4"/>
        <v>8</v>
      </c>
      <c r="BE9" s="33">
        <f t="shared" si="5"/>
        <v>50</v>
      </c>
    </row>
    <row r="10">
      <c r="A10" s="23">
        <v>6.0</v>
      </c>
      <c r="B10" s="24" t="s">
        <v>39</v>
      </c>
      <c r="C10" s="25" t="s">
        <v>40</v>
      </c>
      <c r="D10" s="26" t="s">
        <v>28</v>
      </c>
      <c r="E10" s="102" t="s">
        <v>28</v>
      </c>
      <c r="F10" s="103" t="s">
        <v>28</v>
      </c>
      <c r="G10" s="103" t="s">
        <v>28</v>
      </c>
      <c r="H10" s="104" t="s">
        <v>22</v>
      </c>
      <c r="I10" s="102" t="s">
        <v>28</v>
      </c>
      <c r="J10" s="104" t="s">
        <v>22</v>
      </c>
      <c r="K10" s="102" t="s">
        <v>28</v>
      </c>
      <c r="L10" s="82"/>
      <c r="M10" s="96"/>
      <c r="N10" s="82"/>
      <c r="O10" s="96"/>
      <c r="P10" s="96"/>
      <c r="Q10" s="96"/>
      <c r="R10" s="96"/>
      <c r="S10" s="96"/>
      <c r="T10" s="28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2">
        <f t="shared" si="1"/>
        <v>0</v>
      </c>
      <c r="BB10" s="32">
        <f t="shared" si="2"/>
        <v>2</v>
      </c>
      <c r="BC10" s="32">
        <f t="shared" si="3"/>
        <v>6</v>
      </c>
      <c r="BD10" s="32">
        <f t="shared" si="4"/>
        <v>8</v>
      </c>
      <c r="BE10" s="33">
        <f t="shared" si="5"/>
        <v>75</v>
      </c>
    </row>
    <row r="11">
      <c r="A11" s="23">
        <v>7.0</v>
      </c>
      <c r="B11" s="24" t="s">
        <v>41</v>
      </c>
      <c r="C11" s="25" t="s">
        <v>42</v>
      </c>
      <c r="D11" s="26" t="s">
        <v>28</v>
      </c>
      <c r="E11" s="102" t="s">
        <v>28</v>
      </c>
      <c r="F11" s="103" t="s">
        <v>28</v>
      </c>
      <c r="G11" s="103" t="s">
        <v>28</v>
      </c>
      <c r="H11" s="103" t="s">
        <v>28</v>
      </c>
      <c r="I11" s="102" t="s">
        <v>28</v>
      </c>
      <c r="J11" s="102" t="s">
        <v>28</v>
      </c>
      <c r="K11" s="104" t="s">
        <v>22</v>
      </c>
      <c r="L11" s="96"/>
      <c r="M11" s="96"/>
      <c r="N11" s="96"/>
      <c r="O11" s="96"/>
      <c r="P11" s="96"/>
      <c r="Q11" s="96"/>
      <c r="R11" s="96"/>
      <c r="S11" s="96"/>
      <c r="T11" s="28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2">
        <f t="shared" si="1"/>
        <v>0</v>
      </c>
      <c r="BB11" s="32">
        <f t="shared" si="2"/>
        <v>1</v>
      </c>
      <c r="BC11" s="32">
        <f t="shared" si="3"/>
        <v>7</v>
      </c>
      <c r="BD11" s="32">
        <f t="shared" si="4"/>
        <v>8</v>
      </c>
      <c r="BE11" s="33">
        <f t="shared" si="5"/>
        <v>87.5</v>
      </c>
    </row>
    <row r="12">
      <c r="A12" s="23">
        <v>8.0</v>
      </c>
      <c r="B12" s="24" t="s">
        <v>45</v>
      </c>
      <c r="C12" s="25" t="s">
        <v>46</v>
      </c>
      <c r="D12" s="26" t="s">
        <v>28</v>
      </c>
      <c r="E12" s="102" t="s">
        <v>28</v>
      </c>
      <c r="F12" s="103" t="s">
        <v>28</v>
      </c>
      <c r="G12" s="104" t="s">
        <v>22</v>
      </c>
      <c r="H12" s="104" t="s">
        <v>22</v>
      </c>
      <c r="I12" s="104" t="s">
        <v>22</v>
      </c>
      <c r="J12" s="104" t="s">
        <v>22</v>
      </c>
      <c r="K12" s="104" t="s">
        <v>22</v>
      </c>
      <c r="L12" s="96"/>
      <c r="M12" s="96"/>
      <c r="N12" s="82"/>
      <c r="O12" s="96"/>
      <c r="P12" s="96"/>
      <c r="Q12" s="96"/>
      <c r="R12" s="96"/>
      <c r="S12" s="9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2">
        <f t="shared" si="1"/>
        <v>0</v>
      </c>
      <c r="BB12" s="32">
        <f t="shared" si="2"/>
        <v>5</v>
      </c>
      <c r="BC12" s="32">
        <f t="shared" si="3"/>
        <v>3</v>
      </c>
      <c r="BD12" s="32">
        <f t="shared" si="4"/>
        <v>8</v>
      </c>
      <c r="BE12" s="33">
        <f t="shared" si="5"/>
        <v>37.5</v>
      </c>
    </row>
    <row r="13">
      <c r="A13" s="23">
        <v>9.0</v>
      </c>
      <c r="B13" s="24" t="s">
        <v>47</v>
      </c>
      <c r="C13" s="25" t="s">
        <v>48</v>
      </c>
      <c r="D13" s="26" t="s">
        <v>28</v>
      </c>
      <c r="E13" s="102" t="s">
        <v>28</v>
      </c>
      <c r="F13" s="103" t="s">
        <v>28</v>
      </c>
      <c r="G13" s="104" t="s">
        <v>22</v>
      </c>
      <c r="H13" s="103" t="s">
        <v>28</v>
      </c>
      <c r="I13" s="102" t="s">
        <v>28</v>
      </c>
      <c r="J13" s="102" t="s">
        <v>28</v>
      </c>
      <c r="K13" s="102" t="s">
        <v>28</v>
      </c>
      <c r="L13" s="96"/>
      <c r="M13" s="96"/>
      <c r="N13" s="96"/>
      <c r="O13" s="96"/>
      <c r="P13" s="96"/>
      <c r="Q13" s="96"/>
      <c r="R13" s="96"/>
      <c r="S13" s="96"/>
      <c r="T13" s="28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2">
        <f t="shared" si="1"/>
        <v>0</v>
      </c>
      <c r="BB13" s="32">
        <f t="shared" si="2"/>
        <v>1</v>
      </c>
      <c r="BC13" s="32">
        <f t="shared" si="3"/>
        <v>7</v>
      </c>
      <c r="BD13" s="32">
        <f t="shared" si="4"/>
        <v>8</v>
      </c>
      <c r="BE13" s="33">
        <f t="shared" si="5"/>
        <v>87.5</v>
      </c>
    </row>
    <row r="14">
      <c r="A14" s="23">
        <v>10.0</v>
      </c>
      <c r="B14" s="24" t="s">
        <v>51</v>
      </c>
      <c r="C14" s="25" t="s">
        <v>52</v>
      </c>
      <c r="D14" s="26" t="s">
        <v>28</v>
      </c>
      <c r="E14" s="102" t="s">
        <v>28</v>
      </c>
      <c r="F14" s="103" t="s">
        <v>28</v>
      </c>
      <c r="G14" s="104" t="s">
        <v>22</v>
      </c>
      <c r="H14" s="103" t="s">
        <v>28</v>
      </c>
      <c r="I14" s="102" t="s">
        <v>28</v>
      </c>
      <c r="J14" s="102" t="s">
        <v>28</v>
      </c>
      <c r="K14" s="102" t="s">
        <v>28</v>
      </c>
      <c r="L14" s="96"/>
      <c r="M14" s="96"/>
      <c r="N14" s="96"/>
      <c r="O14" s="96"/>
      <c r="P14" s="96"/>
      <c r="Q14" s="96"/>
      <c r="R14" s="96"/>
      <c r="S14" s="96"/>
      <c r="T14" s="30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2">
        <f t="shared" si="1"/>
        <v>0</v>
      </c>
      <c r="BB14" s="32">
        <f t="shared" si="2"/>
        <v>1</v>
      </c>
      <c r="BC14" s="32">
        <f t="shared" si="3"/>
        <v>7</v>
      </c>
      <c r="BD14" s="32">
        <f t="shared" si="4"/>
        <v>8</v>
      </c>
      <c r="BE14" s="33">
        <f t="shared" si="5"/>
        <v>87.5</v>
      </c>
    </row>
    <row r="15">
      <c r="A15" s="23">
        <v>11.0</v>
      </c>
      <c r="B15" s="24" t="s">
        <v>57</v>
      </c>
      <c r="C15" s="25" t="s">
        <v>58</v>
      </c>
      <c r="D15" s="26" t="s">
        <v>28</v>
      </c>
      <c r="E15" s="102" t="s">
        <v>28</v>
      </c>
      <c r="F15" s="103" t="s">
        <v>28</v>
      </c>
      <c r="G15" s="103" t="s">
        <v>28</v>
      </c>
      <c r="H15" s="103" t="s">
        <v>28</v>
      </c>
      <c r="I15" s="102" t="s">
        <v>28</v>
      </c>
      <c r="J15" s="102" t="s">
        <v>28</v>
      </c>
      <c r="K15" s="102" t="s">
        <v>28</v>
      </c>
      <c r="L15" s="96"/>
      <c r="M15" s="96"/>
      <c r="N15" s="96"/>
      <c r="O15" s="96"/>
      <c r="P15" s="96"/>
      <c r="Q15" s="96"/>
      <c r="R15" s="96"/>
      <c r="S15" s="96"/>
      <c r="T15" s="28"/>
      <c r="U15" s="29"/>
      <c r="V15" s="29"/>
      <c r="W15" s="29"/>
      <c r="X15" s="29"/>
      <c r="Y15" s="29"/>
      <c r="Z15" s="29"/>
      <c r="AA15" s="29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2">
        <f t="shared" si="1"/>
        <v>0</v>
      </c>
      <c r="BB15" s="32">
        <f t="shared" si="2"/>
        <v>0</v>
      </c>
      <c r="BC15" s="32">
        <f t="shared" si="3"/>
        <v>8</v>
      </c>
      <c r="BD15" s="32">
        <f t="shared" si="4"/>
        <v>8</v>
      </c>
      <c r="BE15" s="33">
        <f t="shared" si="5"/>
        <v>100</v>
      </c>
    </row>
    <row r="16">
      <c r="A16" s="23">
        <v>12.0</v>
      </c>
      <c r="B16" s="24" t="s">
        <v>59</v>
      </c>
      <c r="C16" s="25" t="s">
        <v>60</v>
      </c>
      <c r="D16" s="26" t="s">
        <v>28</v>
      </c>
      <c r="E16" s="102" t="s">
        <v>28</v>
      </c>
      <c r="F16" s="103" t="s">
        <v>28</v>
      </c>
      <c r="G16" s="103" t="s">
        <v>28</v>
      </c>
      <c r="H16" s="103" t="s">
        <v>28</v>
      </c>
      <c r="I16" s="102" t="s">
        <v>28</v>
      </c>
      <c r="J16" s="102" t="s">
        <v>28</v>
      </c>
      <c r="K16" s="102" t="s">
        <v>28</v>
      </c>
      <c r="L16" s="96"/>
      <c r="M16" s="96"/>
      <c r="N16" s="96"/>
      <c r="O16" s="96"/>
      <c r="P16" s="96"/>
      <c r="Q16" s="96"/>
      <c r="R16" s="96"/>
      <c r="S16" s="96"/>
      <c r="T16" s="28"/>
      <c r="U16" s="29"/>
      <c r="V16" s="29"/>
      <c r="W16" s="29"/>
      <c r="X16" s="29"/>
      <c r="Y16" s="29"/>
      <c r="Z16" s="29"/>
      <c r="AA16" s="29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2">
        <f t="shared" si="1"/>
        <v>0</v>
      </c>
      <c r="BB16" s="32">
        <f t="shared" si="2"/>
        <v>0</v>
      </c>
      <c r="BC16" s="32">
        <f t="shared" si="3"/>
        <v>8</v>
      </c>
      <c r="BD16" s="32">
        <f t="shared" si="4"/>
        <v>8</v>
      </c>
      <c r="BE16" s="33">
        <f t="shared" si="5"/>
        <v>100</v>
      </c>
    </row>
    <row r="17">
      <c r="A17" s="23">
        <v>13.0</v>
      </c>
      <c r="B17" s="24" t="s">
        <v>61</v>
      </c>
      <c r="C17" s="25" t="s">
        <v>62</v>
      </c>
      <c r="D17" s="26" t="s">
        <v>28</v>
      </c>
      <c r="E17" s="102" t="s">
        <v>28</v>
      </c>
      <c r="F17" s="103" t="s">
        <v>28</v>
      </c>
      <c r="G17" s="103" t="s">
        <v>28</v>
      </c>
      <c r="H17" s="104" t="s">
        <v>22</v>
      </c>
      <c r="I17" s="102" t="s">
        <v>28</v>
      </c>
      <c r="J17" s="102" t="s">
        <v>28</v>
      </c>
      <c r="K17" s="104" t="s">
        <v>22</v>
      </c>
      <c r="L17" s="96"/>
      <c r="M17" s="96"/>
      <c r="N17" s="96"/>
      <c r="O17" s="96"/>
      <c r="P17" s="96"/>
      <c r="Q17" s="96"/>
      <c r="R17" s="96"/>
      <c r="S17" s="96"/>
      <c r="T17" s="28"/>
      <c r="U17" s="29"/>
      <c r="V17" s="29"/>
      <c r="W17" s="29"/>
      <c r="X17" s="29"/>
      <c r="Y17" s="29"/>
      <c r="Z17" s="29"/>
      <c r="AA17" s="29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2">
        <f t="shared" si="1"/>
        <v>0</v>
      </c>
      <c r="BB17" s="32">
        <f t="shared" si="2"/>
        <v>2</v>
      </c>
      <c r="BC17" s="32">
        <f t="shared" si="3"/>
        <v>6</v>
      </c>
      <c r="BD17" s="32">
        <f t="shared" si="4"/>
        <v>8</v>
      </c>
      <c r="BE17" s="33">
        <f t="shared" si="5"/>
        <v>75</v>
      </c>
    </row>
    <row r="18">
      <c r="A18" s="23">
        <v>14.0</v>
      </c>
      <c r="B18" s="47" t="s">
        <v>63</v>
      </c>
      <c r="C18" s="85" t="s">
        <v>64</v>
      </c>
      <c r="D18" s="26" t="s">
        <v>28</v>
      </c>
      <c r="E18" s="102" t="s">
        <v>28</v>
      </c>
      <c r="F18" s="103" t="s">
        <v>28</v>
      </c>
      <c r="G18" s="103" t="s">
        <v>28</v>
      </c>
      <c r="H18" s="103" t="s">
        <v>28</v>
      </c>
      <c r="I18" s="104" t="s">
        <v>22</v>
      </c>
      <c r="J18" s="104" t="s">
        <v>22</v>
      </c>
      <c r="K18" s="102" t="s">
        <v>28</v>
      </c>
      <c r="L18" s="82"/>
      <c r="M18" s="82"/>
      <c r="N18" s="96"/>
      <c r="O18" s="96"/>
      <c r="P18" s="96"/>
      <c r="Q18" s="96"/>
      <c r="R18" s="43"/>
      <c r="S18" s="96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32">
        <f t="shared" si="1"/>
        <v>0</v>
      </c>
      <c r="BB18" s="32">
        <f t="shared" si="2"/>
        <v>2</v>
      </c>
      <c r="BC18" s="32">
        <f t="shared" si="3"/>
        <v>6</v>
      </c>
      <c r="BD18" s="32">
        <f t="shared" si="4"/>
        <v>8</v>
      </c>
      <c r="BE18" s="33">
        <f t="shared" si="5"/>
        <v>75</v>
      </c>
    </row>
    <row r="19">
      <c r="A19" s="23">
        <v>16.0</v>
      </c>
      <c r="B19" s="24" t="s">
        <v>67</v>
      </c>
      <c r="C19" s="25" t="s">
        <v>68</v>
      </c>
      <c r="D19" s="26" t="s">
        <v>28</v>
      </c>
      <c r="E19" s="104" t="s">
        <v>22</v>
      </c>
      <c r="F19" s="103" t="s">
        <v>28</v>
      </c>
      <c r="G19" s="103" t="s">
        <v>28</v>
      </c>
      <c r="H19" s="103" t="s">
        <v>28</v>
      </c>
      <c r="I19" s="104" t="s">
        <v>22</v>
      </c>
      <c r="J19" s="104" t="s">
        <v>22</v>
      </c>
      <c r="K19" s="104" t="s">
        <v>22</v>
      </c>
      <c r="L19" s="82"/>
      <c r="M19" s="96"/>
      <c r="N19" s="96"/>
      <c r="O19" s="96"/>
      <c r="P19" s="96"/>
      <c r="Q19" s="96"/>
      <c r="R19" s="96"/>
      <c r="S19" s="96"/>
      <c r="T19" s="28"/>
      <c r="U19" s="29"/>
      <c r="V19" s="29"/>
      <c r="W19" s="29"/>
      <c r="X19" s="29"/>
      <c r="Y19" s="29"/>
      <c r="Z19" s="29"/>
      <c r="AA19" s="29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2">
        <f t="shared" si="1"/>
        <v>0</v>
      </c>
      <c r="BB19" s="32">
        <f t="shared" si="2"/>
        <v>4</v>
      </c>
      <c r="BC19" s="32">
        <f t="shared" si="3"/>
        <v>4</v>
      </c>
      <c r="BD19" s="32">
        <f t="shared" si="4"/>
        <v>8</v>
      </c>
      <c r="BE19" s="33">
        <f t="shared" si="5"/>
        <v>50</v>
      </c>
    </row>
    <row r="20">
      <c r="A20" s="23">
        <v>15.0</v>
      </c>
      <c r="B20" s="24" t="s">
        <v>65</v>
      </c>
      <c r="C20" s="25" t="s">
        <v>66</v>
      </c>
      <c r="D20" s="26" t="s">
        <v>28</v>
      </c>
      <c r="E20" s="104" t="s">
        <v>22</v>
      </c>
      <c r="F20" s="103" t="s">
        <v>28</v>
      </c>
      <c r="G20" s="104" t="s">
        <v>22</v>
      </c>
      <c r="H20" s="104" t="s">
        <v>22</v>
      </c>
      <c r="I20" s="104" t="s">
        <v>22</v>
      </c>
      <c r="J20" s="104" t="s">
        <v>22</v>
      </c>
      <c r="K20" s="104" t="s">
        <v>22</v>
      </c>
      <c r="L20" s="96"/>
      <c r="M20" s="96"/>
      <c r="N20" s="96"/>
      <c r="O20" s="96"/>
      <c r="P20" s="96"/>
      <c r="Q20" s="96"/>
      <c r="R20" s="96"/>
      <c r="S20" s="96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32">
        <f t="shared" si="1"/>
        <v>0</v>
      </c>
      <c r="BB20" s="32">
        <f t="shared" si="2"/>
        <v>6</v>
      </c>
      <c r="BC20" s="32">
        <f t="shared" si="3"/>
        <v>2</v>
      </c>
      <c r="BD20" s="32">
        <f t="shared" si="4"/>
        <v>8</v>
      </c>
      <c r="BE20" s="33">
        <f t="shared" si="5"/>
        <v>25</v>
      </c>
    </row>
    <row r="21">
      <c r="A21" s="23">
        <v>17.0</v>
      </c>
      <c r="B21" s="24" t="s">
        <v>69</v>
      </c>
      <c r="C21" s="25" t="s">
        <v>70</v>
      </c>
      <c r="D21" s="26" t="s">
        <v>28</v>
      </c>
      <c r="E21" s="102" t="s">
        <v>28</v>
      </c>
      <c r="F21" s="103" t="s">
        <v>28</v>
      </c>
      <c r="G21" s="104" t="s">
        <v>22</v>
      </c>
      <c r="H21" s="103" t="s">
        <v>28</v>
      </c>
      <c r="I21" s="102" t="s">
        <v>28</v>
      </c>
      <c r="J21" s="102" t="s">
        <v>28</v>
      </c>
      <c r="K21" s="104" t="s">
        <v>22</v>
      </c>
      <c r="L21" s="96"/>
      <c r="M21" s="96"/>
      <c r="N21" s="96"/>
      <c r="O21" s="96"/>
      <c r="P21" s="96"/>
      <c r="Q21" s="96"/>
      <c r="R21" s="96"/>
      <c r="S21" s="96"/>
      <c r="T21" s="28"/>
      <c r="U21" s="29"/>
      <c r="V21" s="29"/>
      <c r="W21" s="29"/>
      <c r="X21" s="29"/>
      <c r="Y21" s="29"/>
      <c r="Z21" s="29"/>
      <c r="AA21" s="29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2">
        <f t="shared" si="1"/>
        <v>0</v>
      </c>
      <c r="BB21" s="32">
        <f t="shared" si="2"/>
        <v>2</v>
      </c>
      <c r="BC21" s="32">
        <f t="shared" si="3"/>
        <v>6</v>
      </c>
      <c r="BD21" s="32">
        <f t="shared" si="4"/>
        <v>8</v>
      </c>
      <c r="BE21" s="33">
        <f t="shared" si="5"/>
        <v>75</v>
      </c>
    </row>
    <row r="22">
      <c r="A22" s="23">
        <v>18.0</v>
      </c>
      <c r="B22" s="24" t="s">
        <v>71</v>
      </c>
      <c r="C22" s="25" t="s">
        <v>72</v>
      </c>
      <c r="D22" s="37" t="s">
        <v>22</v>
      </c>
      <c r="E22" s="104" t="s">
        <v>22</v>
      </c>
      <c r="F22" s="105" t="s">
        <v>22</v>
      </c>
      <c r="G22" s="103" t="s">
        <v>28</v>
      </c>
      <c r="H22" s="104" t="s">
        <v>22</v>
      </c>
      <c r="I22" s="102" t="s">
        <v>28</v>
      </c>
      <c r="J22" s="104" t="s">
        <v>22</v>
      </c>
      <c r="K22" s="102" t="s">
        <v>28</v>
      </c>
      <c r="L22" s="96"/>
      <c r="M22" s="96"/>
      <c r="N22" s="96"/>
      <c r="O22" s="96"/>
      <c r="P22" s="96"/>
      <c r="Q22" s="96"/>
      <c r="R22" s="96"/>
      <c r="S22" s="96"/>
      <c r="T22" s="28"/>
      <c r="U22" s="29"/>
      <c r="V22" s="29"/>
      <c r="W22" s="29"/>
      <c r="X22" s="29"/>
      <c r="Y22" s="29"/>
      <c r="Z22" s="29"/>
      <c r="AA22" s="29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2">
        <f t="shared" si="1"/>
        <v>0</v>
      </c>
      <c r="BB22" s="32">
        <f t="shared" si="2"/>
        <v>5</v>
      </c>
      <c r="BC22" s="32">
        <f t="shared" si="3"/>
        <v>3</v>
      </c>
      <c r="BD22" s="32">
        <f t="shared" si="4"/>
        <v>8</v>
      </c>
      <c r="BE22" s="33">
        <f t="shared" si="5"/>
        <v>37.5</v>
      </c>
    </row>
    <row r="23">
      <c r="A23" s="23">
        <v>19.0</v>
      </c>
      <c r="B23" s="47" t="s">
        <v>73</v>
      </c>
      <c r="C23" s="48" t="s">
        <v>74</v>
      </c>
      <c r="D23" s="26" t="s">
        <v>28</v>
      </c>
      <c r="E23" s="102" t="s">
        <v>28</v>
      </c>
      <c r="F23" s="103" t="s">
        <v>28</v>
      </c>
      <c r="G23" s="104" t="s">
        <v>22</v>
      </c>
      <c r="H23" s="103" t="s">
        <v>28</v>
      </c>
      <c r="I23" s="104" t="s">
        <v>22</v>
      </c>
      <c r="J23" s="104" t="s">
        <v>22</v>
      </c>
      <c r="K23" s="104" t="s">
        <v>22</v>
      </c>
      <c r="L23" s="96"/>
      <c r="M23" s="96"/>
      <c r="N23" s="82"/>
      <c r="O23" s="96"/>
      <c r="P23" s="82"/>
      <c r="Q23" s="96"/>
      <c r="R23" s="96"/>
      <c r="S23" s="96"/>
      <c r="T23" s="28"/>
      <c r="U23" s="29"/>
      <c r="V23" s="29"/>
      <c r="W23" s="29"/>
      <c r="X23" s="29"/>
      <c r="Y23" s="29"/>
      <c r="Z23" s="29"/>
      <c r="AA23" s="29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2">
        <f t="shared" si="1"/>
        <v>0</v>
      </c>
      <c r="BB23" s="32">
        <f t="shared" si="2"/>
        <v>4</v>
      </c>
      <c r="BC23" s="32">
        <f t="shared" si="3"/>
        <v>4</v>
      </c>
      <c r="BD23" s="32">
        <f t="shared" si="4"/>
        <v>8</v>
      </c>
      <c r="BE23" s="33">
        <f t="shared" si="5"/>
        <v>50</v>
      </c>
    </row>
    <row r="24">
      <c r="A24" s="23">
        <v>20.0</v>
      </c>
      <c r="B24" s="24" t="s">
        <v>75</v>
      </c>
      <c r="C24" s="25" t="s">
        <v>76</v>
      </c>
      <c r="D24" s="26" t="s">
        <v>28</v>
      </c>
      <c r="E24" s="104" t="s">
        <v>22</v>
      </c>
      <c r="F24" s="103" t="s">
        <v>28</v>
      </c>
      <c r="G24" s="103" t="s">
        <v>28</v>
      </c>
      <c r="H24" s="104" t="s">
        <v>22</v>
      </c>
      <c r="I24" s="102" t="s">
        <v>28</v>
      </c>
      <c r="J24" s="104" t="s">
        <v>22</v>
      </c>
      <c r="K24" s="102" t="s">
        <v>28</v>
      </c>
      <c r="L24" s="96"/>
      <c r="M24" s="82"/>
      <c r="N24" s="96"/>
      <c r="O24" s="96"/>
      <c r="P24" s="96"/>
      <c r="Q24" s="82"/>
      <c r="R24" s="96"/>
      <c r="S24" s="96"/>
      <c r="T24" s="28"/>
      <c r="U24" s="29"/>
      <c r="V24" s="29"/>
      <c r="W24" s="29"/>
      <c r="X24" s="29"/>
      <c r="Y24" s="29"/>
      <c r="Z24" s="29"/>
      <c r="AA24" s="29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2">
        <f t="shared" si="1"/>
        <v>0</v>
      </c>
      <c r="BB24" s="32">
        <f t="shared" si="2"/>
        <v>3</v>
      </c>
      <c r="BC24" s="32">
        <f t="shared" si="3"/>
        <v>5</v>
      </c>
      <c r="BD24" s="32">
        <f t="shared" si="4"/>
        <v>8</v>
      </c>
      <c r="BE24" s="33">
        <f t="shared" si="5"/>
        <v>62.5</v>
      </c>
    </row>
    <row r="25">
      <c r="A25" s="23">
        <v>21.0</v>
      </c>
      <c r="B25" s="24" t="s">
        <v>79</v>
      </c>
      <c r="C25" s="25" t="s">
        <v>80</v>
      </c>
      <c r="D25" s="26" t="s">
        <v>28</v>
      </c>
      <c r="E25" s="102" t="s">
        <v>28</v>
      </c>
      <c r="F25" s="103" t="s">
        <v>28</v>
      </c>
      <c r="G25" s="104" t="s">
        <v>22</v>
      </c>
      <c r="H25" s="103" t="s">
        <v>28</v>
      </c>
      <c r="I25" s="102" t="s">
        <v>28</v>
      </c>
      <c r="J25" s="26" t="s">
        <v>28</v>
      </c>
      <c r="K25" s="102" t="s">
        <v>28</v>
      </c>
      <c r="L25" s="82"/>
      <c r="M25" s="96"/>
      <c r="N25" s="96"/>
      <c r="O25" s="96"/>
      <c r="P25" s="96"/>
      <c r="Q25" s="96"/>
      <c r="R25" s="96"/>
      <c r="S25" s="96"/>
      <c r="T25" s="28"/>
      <c r="U25" s="29"/>
      <c r="V25" s="29"/>
      <c r="W25" s="29"/>
      <c r="X25" s="29"/>
      <c r="Y25" s="29"/>
      <c r="Z25" s="29"/>
      <c r="AA25" s="29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2">
        <f t="shared" si="1"/>
        <v>0</v>
      </c>
      <c r="BB25" s="32">
        <f t="shared" si="2"/>
        <v>1</v>
      </c>
      <c r="BC25" s="32">
        <f t="shared" si="3"/>
        <v>7</v>
      </c>
      <c r="BD25" s="32">
        <f t="shared" si="4"/>
        <v>8</v>
      </c>
      <c r="BE25" s="33">
        <f t="shared" si="5"/>
        <v>87.5</v>
      </c>
    </row>
    <row r="26">
      <c r="A26" s="23">
        <v>22.0</v>
      </c>
      <c r="B26" s="24" t="s">
        <v>81</v>
      </c>
      <c r="C26" s="25" t="s">
        <v>82</v>
      </c>
      <c r="D26" s="26" t="s">
        <v>28</v>
      </c>
      <c r="E26" s="102" t="s">
        <v>28</v>
      </c>
      <c r="F26" s="103" t="s">
        <v>28</v>
      </c>
      <c r="G26" s="103" t="s">
        <v>28</v>
      </c>
      <c r="H26" s="103" t="s">
        <v>28</v>
      </c>
      <c r="I26" s="102" t="s">
        <v>28</v>
      </c>
      <c r="J26" s="104" t="s">
        <v>22</v>
      </c>
      <c r="K26" s="104" t="s">
        <v>22</v>
      </c>
      <c r="L26" s="96"/>
      <c r="M26" s="96"/>
      <c r="N26" s="96"/>
      <c r="O26" s="82"/>
      <c r="P26" s="96"/>
      <c r="Q26" s="96"/>
      <c r="R26" s="96"/>
      <c r="S26" s="96"/>
      <c r="T26" s="28"/>
      <c r="U26" s="29"/>
      <c r="V26" s="29"/>
      <c r="W26" s="29"/>
      <c r="X26" s="29"/>
      <c r="Y26" s="29"/>
      <c r="Z26" s="29"/>
      <c r="AA26" s="29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2">
        <f t="shared" si="1"/>
        <v>0</v>
      </c>
      <c r="BB26" s="32">
        <f t="shared" si="2"/>
        <v>2</v>
      </c>
      <c r="BC26" s="32">
        <f t="shared" si="3"/>
        <v>6</v>
      </c>
      <c r="BD26" s="32">
        <f t="shared" si="4"/>
        <v>8</v>
      </c>
      <c r="BE26" s="33">
        <f t="shared" si="5"/>
        <v>75</v>
      </c>
    </row>
    <row r="27">
      <c r="A27" s="23">
        <v>23.0</v>
      </c>
      <c r="B27" s="24" t="s">
        <v>83</v>
      </c>
      <c r="C27" s="25" t="s">
        <v>84</v>
      </c>
      <c r="D27" s="26" t="s">
        <v>28</v>
      </c>
      <c r="E27" s="102" t="s">
        <v>28</v>
      </c>
      <c r="F27" s="103" t="s">
        <v>28</v>
      </c>
      <c r="G27" s="104" t="s">
        <v>22</v>
      </c>
      <c r="H27" s="103" t="s">
        <v>28</v>
      </c>
      <c r="I27" s="104" t="s">
        <v>22</v>
      </c>
      <c r="J27" s="104" t="s">
        <v>22</v>
      </c>
      <c r="K27" s="102" t="s">
        <v>28</v>
      </c>
      <c r="L27" s="82"/>
      <c r="M27" s="96"/>
      <c r="N27" s="82"/>
      <c r="O27" s="96"/>
      <c r="P27" s="96"/>
      <c r="Q27" s="96"/>
      <c r="R27" s="96"/>
      <c r="S27" s="96"/>
      <c r="T27" s="28"/>
      <c r="U27" s="29"/>
      <c r="V27" s="29"/>
      <c r="W27" s="29"/>
      <c r="X27" s="29"/>
      <c r="Y27" s="29"/>
      <c r="Z27" s="29"/>
      <c r="AA27" s="29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2">
        <f t="shared" si="1"/>
        <v>0</v>
      </c>
      <c r="BB27" s="32">
        <f t="shared" si="2"/>
        <v>3</v>
      </c>
      <c r="BC27" s="32">
        <f t="shared" si="3"/>
        <v>5</v>
      </c>
      <c r="BD27" s="32">
        <f t="shared" si="4"/>
        <v>8</v>
      </c>
      <c r="BE27" s="33">
        <f t="shared" si="5"/>
        <v>62.5</v>
      </c>
    </row>
    <row r="28">
      <c r="A28" s="23">
        <v>24.0</v>
      </c>
      <c r="B28" s="24" t="s">
        <v>85</v>
      </c>
      <c r="C28" s="25" t="s">
        <v>86</v>
      </c>
      <c r="D28" s="26" t="s">
        <v>28</v>
      </c>
      <c r="E28" s="102" t="s">
        <v>28</v>
      </c>
      <c r="F28" s="103" t="s">
        <v>28</v>
      </c>
      <c r="G28" s="103" t="s">
        <v>28</v>
      </c>
      <c r="H28" s="103" t="s">
        <v>28</v>
      </c>
      <c r="I28" s="102" t="s">
        <v>28</v>
      </c>
      <c r="J28" s="26" t="s">
        <v>28</v>
      </c>
      <c r="K28" s="102" t="s">
        <v>28</v>
      </c>
      <c r="L28" s="96"/>
      <c r="M28" s="96"/>
      <c r="N28" s="96"/>
      <c r="O28" s="96"/>
      <c r="P28" s="96"/>
      <c r="Q28" s="82"/>
      <c r="R28" s="96"/>
      <c r="S28" s="82"/>
      <c r="T28" s="28"/>
      <c r="U28" s="29"/>
      <c r="V28" s="29"/>
      <c r="W28" s="29"/>
      <c r="X28" s="29"/>
      <c r="Y28" s="29"/>
      <c r="Z28" s="29"/>
      <c r="AA28" s="29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2">
        <f t="shared" si="1"/>
        <v>0</v>
      </c>
      <c r="BB28" s="32">
        <f t="shared" si="2"/>
        <v>0</v>
      </c>
      <c r="BC28" s="32">
        <f t="shared" si="3"/>
        <v>8</v>
      </c>
      <c r="BD28" s="32">
        <f t="shared" si="4"/>
        <v>8</v>
      </c>
      <c r="BE28" s="33">
        <f t="shared" si="5"/>
        <v>100</v>
      </c>
    </row>
    <row r="29">
      <c r="A29" s="23">
        <v>25.0</v>
      </c>
      <c r="B29" s="24" t="s">
        <v>87</v>
      </c>
      <c r="C29" s="25" t="s">
        <v>88</v>
      </c>
      <c r="D29" s="26" t="s">
        <v>28</v>
      </c>
      <c r="E29" s="102" t="s">
        <v>28</v>
      </c>
      <c r="F29" s="103" t="s">
        <v>28</v>
      </c>
      <c r="G29" s="103" t="s">
        <v>28</v>
      </c>
      <c r="H29" s="104" t="s">
        <v>22</v>
      </c>
      <c r="I29" s="104" t="s">
        <v>22</v>
      </c>
      <c r="J29" s="26" t="s">
        <v>28</v>
      </c>
      <c r="K29" s="102" t="s">
        <v>28</v>
      </c>
      <c r="L29" s="96"/>
      <c r="M29" s="96"/>
      <c r="N29" s="96"/>
      <c r="O29" s="96"/>
      <c r="P29" s="96"/>
      <c r="Q29" s="96"/>
      <c r="R29" s="96"/>
      <c r="S29" s="96"/>
      <c r="T29" s="29"/>
      <c r="U29" s="29"/>
      <c r="V29" s="29"/>
      <c r="W29" s="29"/>
      <c r="X29" s="29"/>
      <c r="Y29" s="29"/>
      <c r="Z29" s="29"/>
      <c r="AA29" s="29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2">
        <f t="shared" si="1"/>
        <v>0</v>
      </c>
      <c r="BB29" s="32">
        <f t="shared" si="2"/>
        <v>2</v>
      </c>
      <c r="BC29" s="32">
        <f t="shared" si="3"/>
        <v>6</v>
      </c>
      <c r="BD29" s="32">
        <f t="shared" si="4"/>
        <v>8</v>
      </c>
      <c r="BE29" s="33">
        <f t="shared" si="5"/>
        <v>75</v>
      </c>
    </row>
    <row r="30">
      <c r="A30" s="23">
        <v>26.0</v>
      </c>
      <c r="B30" s="24" t="s">
        <v>91</v>
      </c>
      <c r="C30" s="25" t="s">
        <v>92</v>
      </c>
      <c r="D30" s="26" t="s">
        <v>28</v>
      </c>
      <c r="E30" s="102" t="s">
        <v>28</v>
      </c>
      <c r="F30" s="103" t="s">
        <v>28</v>
      </c>
      <c r="G30" s="103" t="s">
        <v>28</v>
      </c>
      <c r="H30" s="103" t="s">
        <v>28</v>
      </c>
      <c r="I30" s="102" t="s">
        <v>28</v>
      </c>
      <c r="J30" s="104" t="s">
        <v>22</v>
      </c>
      <c r="K30" s="102" t="s">
        <v>28</v>
      </c>
      <c r="L30" s="96"/>
      <c r="M30" s="96"/>
      <c r="N30" s="96"/>
      <c r="O30" s="96"/>
      <c r="P30" s="96"/>
      <c r="Q30" s="96"/>
      <c r="R30" s="96"/>
      <c r="S30" s="96"/>
      <c r="T30" s="28"/>
      <c r="U30" s="29"/>
      <c r="V30" s="29"/>
      <c r="W30" s="29"/>
      <c r="X30" s="29"/>
      <c r="Y30" s="29"/>
      <c r="Z30" s="29"/>
      <c r="AA30" s="29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2">
        <f t="shared" si="1"/>
        <v>0</v>
      </c>
      <c r="BB30" s="32">
        <f t="shared" si="2"/>
        <v>1</v>
      </c>
      <c r="BC30" s="32">
        <f t="shared" si="3"/>
        <v>7</v>
      </c>
      <c r="BD30" s="32">
        <f t="shared" si="4"/>
        <v>8</v>
      </c>
      <c r="BE30" s="33">
        <f t="shared" si="5"/>
        <v>87.5</v>
      </c>
    </row>
    <row r="31">
      <c r="A31" s="23">
        <v>27.0</v>
      </c>
      <c r="B31" s="24" t="s">
        <v>93</v>
      </c>
      <c r="C31" s="25" t="s">
        <v>94</v>
      </c>
      <c r="D31" s="26" t="s">
        <v>28</v>
      </c>
      <c r="E31" s="102" t="s">
        <v>28</v>
      </c>
      <c r="F31" s="103" t="s">
        <v>28</v>
      </c>
      <c r="G31" s="103" t="s">
        <v>28</v>
      </c>
      <c r="H31" s="103" t="s">
        <v>28</v>
      </c>
      <c r="I31" s="102" t="s">
        <v>28</v>
      </c>
      <c r="J31" s="26" t="s">
        <v>28</v>
      </c>
      <c r="K31" s="104" t="s">
        <v>22</v>
      </c>
      <c r="L31" s="96"/>
      <c r="M31" s="96"/>
      <c r="N31" s="96"/>
      <c r="O31" s="96"/>
      <c r="P31" s="96"/>
      <c r="Q31" s="96"/>
      <c r="R31" s="96"/>
      <c r="S31" s="96"/>
      <c r="T31" s="30"/>
      <c r="U31" s="29"/>
      <c r="V31" s="29"/>
      <c r="W31" s="29"/>
      <c r="X31" s="29"/>
      <c r="Y31" s="29"/>
      <c r="Z31" s="29"/>
      <c r="AA31" s="29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2">
        <f t="shared" si="1"/>
        <v>0</v>
      </c>
      <c r="BB31" s="32">
        <f t="shared" si="2"/>
        <v>1</v>
      </c>
      <c r="BC31" s="32">
        <f t="shared" si="3"/>
        <v>7</v>
      </c>
      <c r="BD31" s="32">
        <f t="shared" si="4"/>
        <v>8</v>
      </c>
      <c r="BE31" s="33">
        <f t="shared" si="5"/>
        <v>87.5</v>
      </c>
    </row>
    <row r="32">
      <c r="A32" s="23">
        <v>28.0</v>
      </c>
      <c r="B32" s="24" t="s">
        <v>95</v>
      </c>
      <c r="C32" s="25" t="s">
        <v>96</v>
      </c>
      <c r="D32" s="26" t="s">
        <v>28</v>
      </c>
      <c r="E32" s="102" t="s">
        <v>28</v>
      </c>
      <c r="F32" s="103" t="s">
        <v>28</v>
      </c>
      <c r="G32" s="103" t="s">
        <v>28</v>
      </c>
      <c r="H32" s="103" t="s">
        <v>28</v>
      </c>
      <c r="I32" s="102" t="s">
        <v>28</v>
      </c>
      <c r="J32" s="26" t="s">
        <v>28</v>
      </c>
      <c r="K32" s="104" t="s">
        <v>22</v>
      </c>
      <c r="L32" s="96"/>
      <c r="M32" s="96"/>
      <c r="N32" s="96"/>
      <c r="O32" s="96"/>
      <c r="P32" s="96"/>
      <c r="Q32" s="96"/>
      <c r="R32" s="96"/>
      <c r="S32" s="82"/>
      <c r="T32" s="28"/>
      <c r="U32" s="29"/>
      <c r="V32" s="29"/>
      <c r="W32" s="29"/>
      <c r="X32" s="29"/>
      <c r="Y32" s="29"/>
      <c r="Z32" s="29"/>
      <c r="AA32" s="29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2">
        <f t="shared" si="1"/>
        <v>0</v>
      </c>
      <c r="BB32" s="32">
        <f t="shared" si="2"/>
        <v>1</v>
      </c>
      <c r="BC32" s="32">
        <f t="shared" si="3"/>
        <v>7</v>
      </c>
      <c r="BD32" s="32">
        <f t="shared" si="4"/>
        <v>8</v>
      </c>
      <c r="BE32" s="33">
        <f t="shared" si="5"/>
        <v>87.5</v>
      </c>
    </row>
    <row r="33">
      <c r="A33" s="23">
        <v>29.0</v>
      </c>
      <c r="B33" s="24" t="s">
        <v>97</v>
      </c>
      <c r="C33" s="25" t="s">
        <v>98</v>
      </c>
      <c r="D33" s="26" t="s">
        <v>28</v>
      </c>
      <c r="E33" s="102" t="s">
        <v>28</v>
      </c>
      <c r="F33" s="103" t="s">
        <v>28</v>
      </c>
      <c r="G33" s="103" t="s">
        <v>28</v>
      </c>
      <c r="H33" s="103" t="s">
        <v>28</v>
      </c>
      <c r="I33" s="102" t="s">
        <v>28</v>
      </c>
      <c r="J33" s="26" t="s">
        <v>28</v>
      </c>
      <c r="K33" s="102" t="s">
        <v>28</v>
      </c>
      <c r="L33" s="96"/>
      <c r="M33" s="96"/>
      <c r="N33" s="96"/>
      <c r="O33" s="96"/>
      <c r="P33" s="96"/>
      <c r="Q33" s="96"/>
      <c r="R33" s="96"/>
      <c r="S33" s="82"/>
      <c r="T33" s="28"/>
      <c r="U33" s="29"/>
      <c r="V33" s="29"/>
      <c r="W33" s="29"/>
      <c r="X33" s="29"/>
      <c r="Y33" s="29"/>
      <c r="Z33" s="29"/>
      <c r="AA33" s="29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2">
        <f t="shared" si="1"/>
        <v>0</v>
      </c>
      <c r="BB33" s="32">
        <f t="shared" si="2"/>
        <v>0</v>
      </c>
      <c r="BC33" s="32">
        <f t="shared" si="3"/>
        <v>8</v>
      </c>
      <c r="BD33" s="32">
        <f t="shared" si="4"/>
        <v>8</v>
      </c>
      <c r="BE33" s="33">
        <f t="shared" si="5"/>
        <v>100</v>
      </c>
    </row>
    <row r="34">
      <c r="A34" s="23">
        <v>30.0</v>
      </c>
      <c r="B34" s="24" t="s">
        <v>101</v>
      </c>
      <c r="C34" s="25" t="s">
        <v>102</v>
      </c>
      <c r="D34" s="26" t="s">
        <v>28</v>
      </c>
      <c r="E34" s="102" t="s">
        <v>28</v>
      </c>
      <c r="F34" s="103" t="s">
        <v>28</v>
      </c>
      <c r="G34" s="103" t="s">
        <v>28</v>
      </c>
      <c r="H34" s="103" t="s">
        <v>28</v>
      </c>
      <c r="I34" s="102" t="s">
        <v>28</v>
      </c>
      <c r="J34" s="26" t="s">
        <v>28</v>
      </c>
      <c r="K34" s="102" t="s">
        <v>28</v>
      </c>
      <c r="L34" s="96"/>
      <c r="M34" s="96"/>
      <c r="N34" s="96"/>
      <c r="O34" s="96"/>
      <c r="P34" s="96"/>
      <c r="Q34" s="96"/>
      <c r="R34" s="96"/>
      <c r="S34" s="96"/>
      <c r="T34" s="28"/>
      <c r="U34" s="29"/>
      <c r="V34" s="29"/>
      <c r="W34" s="29"/>
      <c r="X34" s="29"/>
      <c r="Y34" s="29"/>
      <c r="Z34" s="29"/>
      <c r="AA34" s="29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2">
        <f t="shared" si="1"/>
        <v>0</v>
      </c>
      <c r="BB34" s="32">
        <f t="shared" si="2"/>
        <v>0</v>
      </c>
      <c r="BC34" s="32">
        <f t="shared" si="3"/>
        <v>8</v>
      </c>
      <c r="BD34" s="32">
        <f t="shared" si="4"/>
        <v>8</v>
      </c>
      <c r="BE34" s="33">
        <f t="shared" si="5"/>
        <v>100</v>
      </c>
    </row>
    <row r="35">
      <c r="A35" s="23">
        <v>31.0</v>
      </c>
      <c r="B35" s="24" t="s">
        <v>103</v>
      </c>
      <c r="C35" s="25" t="s">
        <v>104</v>
      </c>
      <c r="D35" s="26" t="s">
        <v>28</v>
      </c>
      <c r="E35" s="102" t="s">
        <v>28</v>
      </c>
      <c r="F35" s="103" t="s">
        <v>28</v>
      </c>
      <c r="G35" s="103" t="s">
        <v>28</v>
      </c>
      <c r="H35" s="103" t="s">
        <v>28</v>
      </c>
      <c r="I35" s="104" t="s">
        <v>22</v>
      </c>
      <c r="J35" s="104" t="s">
        <v>22</v>
      </c>
      <c r="K35" s="102" t="s">
        <v>28</v>
      </c>
      <c r="L35" s="96"/>
      <c r="M35" s="96"/>
      <c r="N35" s="96"/>
      <c r="O35" s="96"/>
      <c r="P35" s="96"/>
      <c r="Q35" s="96"/>
      <c r="R35" s="96"/>
      <c r="S35" s="96"/>
      <c r="T35" s="28"/>
      <c r="U35" s="29"/>
      <c r="V35" s="29"/>
      <c r="W35" s="29"/>
      <c r="X35" s="29"/>
      <c r="Y35" s="29"/>
      <c r="Z35" s="29"/>
      <c r="AA35" s="29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2">
        <f t="shared" si="1"/>
        <v>0</v>
      </c>
      <c r="BB35" s="32">
        <f t="shared" si="2"/>
        <v>2</v>
      </c>
      <c r="BC35" s="32">
        <f t="shared" si="3"/>
        <v>6</v>
      </c>
      <c r="BD35" s="32">
        <f t="shared" si="4"/>
        <v>8</v>
      </c>
      <c r="BE35" s="33">
        <f t="shared" si="5"/>
        <v>75</v>
      </c>
    </row>
    <row r="36">
      <c r="A36" s="23">
        <v>32.0</v>
      </c>
      <c r="B36" s="24" t="s">
        <v>109</v>
      </c>
      <c r="C36" s="25" t="s">
        <v>110</v>
      </c>
      <c r="D36" s="26" t="s">
        <v>28</v>
      </c>
      <c r="E36" s="102" t="s">
        <v>28</v>
      </c>
      <c r="F36" s="105" t="s">
        <v>22</v>
      </c>
      <c r="G36" s="103" t="s">
        <v>28</v>
      </c>
      <c r="H36" s="104" t="s">
        <v>22</v>
      </c>
      <c r="I36" s="104" t="s">
        <v>22</v>
      </c>
      <c r="J36" s="104" t="s">
        <v>22</v>
      </c>
      <c r="K36" s="104" t="s">
        <v>22</v>
      </c>
      <c r="L36" s="96"/>
      <c r="M36" s="96"/>
      <c r="N36" s="82"/>
      <c r="O36" s="82"/>
      <c r="P36" s="82"/>
      <c r="Q36" s="96"/>
      <c r="R36" s="96"/>
      <c r="S36" s="96"/>
      <c r="T36" s="29"/>
      <c r="U36" s="29"/>
      <c r="V36" s="29"/>
      <c r="W36" s="29"/>
      <c r="X36" s="29"/>
      <c r="Y36" s="29"/>
      <c r="Z36" s="29"/>
      <c r="AA36" s="29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2">
        <f t="shared" si="1"/>
        <v>0</v>
      </c>
      <c r="BB36" s="32">
        <f t="shared" si="2"/>
        <v>5</v>
      </c>
      <c r="BC36" s="32">
        <f t="shared" si="3"/>
        <v>3</v>
      </c>
      <c r="BD36" s="32">
        <f t="shared" si="4"/>
        <v>8</v>
      </c>
      <c r="BE36" s="33">
        <f t="shared" si="5"/>
        <v>37.5</v>
      </c>
    </row>
    <row r="37">
      <c r="A37" s="23">
        <v>33.0</v>
      </c>
      <c r="B37" s="24" t="s">
        <v>125</v>
      </c>
      <c r="C37" s="25" t="s">
        <v>126</v>
      </c>
      <c r="D37" s="26" t="s">
        <v>28</v>
      </c>
      <c r="E37" s="104" t="s">
        <v>22</v>
      </c>
      <c r="F37" s="103" t="s">
        <v>28</v>
      </c>
      <c r="G37" s="104" t="s">
        <v>22</v>
      </c>
      <c r="H37" s="103" t="s">
        <v>28</v>
      </c>
      <c r="I37" s="102" t="s">
        <v>28</v>
      </c>
      <c r="J37" s="26" t="s">
        <v>28</v>
      </c>
      <c r="K37" s="102" t="s">
        <v>28</v>
      </c>
      <c r="L37" s="96"/>
      <c r="M37" s="96"/>
      <c r="N37" s="82"/>
      <c r="O37" s="96"/>
      <c r="P37" s="96"/>
      <c r="Q37" s="96"/>
      <c r="R37" s="96"/>
      <c r="S37" s="96"/>
      <c r="T37" s="28"/>
      <c r="U37" s="29"/>
      <c r="V37" s="29"/>
      <c r="W37" s="29"/>
      <c r="X37" s="29"/>
      <c r="Y37" s="29"/>
      <c r="Z37" s="29"/>
      <c r="AA37" s="29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2">
        <f t="shared" si="1"/>
        <v>0</v>
      </c>
      <c r="BB37" s="32">
        <f t="shared" si="2"/>
        <v>2</v>
      </c>
      <c r="BC37" s="32">
        <f t="shared" si="3"/>
        <v>6</v>
      </c>
      <c r="BD37" s="32">
        <f t="shared" si="4"/>
        <v>8</v>
      </c>
      <c r="BE37" s="33">
        <f t="shared" si="5"/>
        <v>75</v>
      </c>
    </row>
    <row r="38">
      <c r="A38" s="23">
        <v>34.0</v>
      </c>
      <c r="B38" s="24" t="s">
        <v>127</v>
      </c>
      <c r="C38" s="25" t="s">
        <v>128</v>
      </c>
      <c r="D38" s="26" t="s">
        <v>28</v>
      </c>
      <c r="E38" s="102" t="s">
        <v>28</v>
      </c>
      <c r="F38" s="103" t="s">
        <v>28</v>
      </c>
      <c r="G38" s="103" t="s">
        <v>28</v>
      </c>
      <c r="H38" s="103" t="s">
        <v>28</v>
      </c>
      <c r="I38" s="104" t="s">
        <v>22</v>
      </c>
      <c r="J38" s="26" t="s">
        <v>28</v>
      </c>
      <c r="K38" s="102" t="s">
        <v>28</v>
      </c>
      <c r="L38" s="96"/>
      <c r="M38" s="96"/>
      <c r="N38" s="96"/>
      <c r="O38" s="96"/>
      <c r="P38" s="96"/>
      <c r="Q38" s="96"/>
      <c r="R38" s="96"/>
      <c r="S38" s="96"/>
      <c r="T38" s="28"/>
      <c r="U38" s="29"/>
      <c r="V38" s="29"/>
      <c r="W38" s="29"/>
      <c r="X38" s="29"/>
      <c r="Y38" s="29"/>
      <c r="Z38" s="29"/>
      <c r="AA38" s="29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2">
        <f t="shared" si="1"/>
        <v>0</v>
      </c>
      <c r="BB38" s="32">
        <f t="shared" si="2"/>
        <v>1</v>
      </c>
      <c r="BC38" s="32">
        <f t="shared" si="3"/>
        <v>7</v>
      </c>
      <c r="BD38" s="32">
        <f t="shared" si="4"/>
        <v>8</v>
      </c>
      <c r="BE38" s="33">
        <f t="shared" si="5"/>
        <v>87.5</v>
      </c>
    </row>
    <row r="39">
      <c r="A39" s="23">
        <v>35.0</v>
      </c>
      <c r="B39" s="24" t="s">
        <v>129</v>
      </c>
      <c r="C39" s="25" t="s">
        <v>130</v>
      </c>
      <c r="D39" s="26" t="s">
        <v>28</v>
      </c>
      <c r="E39" s="102" t="s">
        <v>28</v>
      </c>
      <c r="F39" s="103" t="s">
        <v>28</v>
      </c>
      <c r="G39" s="103" t="s">
        <v>28</v>
      </c>
      <c r="H39" s="103" t="s">
        <v>28</v>
      </c>
      <c r="I39" s="104" t="s">
        <v>22</v>
      </c>
      <c r="J39" s="26" t="s">
        <v>28</v>
      </c>
      <c r="K39" s="104" t="s">
        <v>22</v>
      </c>
      <c r="L39" s="82"/>
      <c r="M39" s="96"/>
      <c r="N39" s="82"/>
      <c r="O39" s="96"/>
      <c r="P39" s="82"/>
      <c r="Q39" s="96"/>
      <c r="R39" s="96"/>
      <c r="S39" s="82"/>
      <c r="T39" s="28"/>
      <c r="U39" s="29"/>
      <c r="V39" s="29"/>
      <c r="W39" s="29"/>
      <c r="X39" s="29"/>
      <c r="Y39" s="29"/>
      <c r="Z39" s="29"/>
      <c r="AA39" s="29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2">
        <f t="shared" si="1"/>
        <v>0</v>
      </c>
      <c r="BB39" s="32">
        <f t="shared" si="2"/>
        <v>2</v>
      </c>
      <c r="BC39" s="32">
        <f t="shared" si="3"/>
        <v>6</v>
      </c>
      <c r="BD39" s="32">
        <f t="shared" si="4"/>
        <v>8</v>
      </c>
      <c r="BE39" s="33">
        <f t="shared" si="5"/>
        <v>75</v>
      </c>
    </row>
    <row r="40">
      <c r="A40" s="23">
        <v>36.0</v>
      </c>
      <c r="B40" s="24" t="s">
        <v>131</v>
      </c>
      <c r="C40" s="25" t="s">
        <v>132</v>
      </c>
      <c r="D40" s="26" t="s">
        <v>28</v>
      </c>
      <c r="E40" s="104" t="s">
        <v>22</v>
      </c>
      <c r="F40" s="105" t="s">
        <v>22</v>
      </c>
      <c r="G40" s="104" t="s">
        <v>22</v>
      </c>
      <c r="H40" s="104" t="s">
        <v>22</v>
      </c>
      <c r="I40" s="102" t="s">
        <v>28</v>
      </c>
      <c r="J40" s="104" t="s">
        <v>22</v>
      </c>
      <c r="K40" s="104" t="s">
        <v>22</v>
      </c>
      <c r="L40" s="96"/>
      <c r="M40" s="96"/>
      <c r="N40" s="82"/>
      <c r="O40" s="82"/>
      <c r="P40" s="82"/>
      <c r="Q40" s="96"/>
      <c r="R40" s="82"/>
      <c r="S40" s="96"/>
      <c r="T40" s="28"/>
      <c r="U40" s="29"/>
      <c r="V40" s="29"/>
      <c r="W40" s="29"/>
      <c r="X40" s="29"/>
      <c r="Y40" s="29"/>
      <c r="Z40" s="29"/>
      <c r="AA40" s="29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2">
        <f t="shared" si="1"/>
        <v>0</v>
      </c>
      <c r="BB40" s="32">
        <f t="shared" si="2"/>
        <v>6</v>
      </c>
      <c r="BC40" s="32">
        <f t="shared" si="3"/>
        <v>2</v>
      </c>
      <c r="BD40" s="32">
        <f t="shared" si="4"/>
        <v>8</v>
      </c>
      <c r="BE40" s="33">
        <f t="shared" si="5"/>
        <v>25</v>
      </c>
    </row>
    <row r="41">
      <c r="A41" s="23">
        <v>37.0</v>
      </c>
      <c r="B41" s="24" t="s">
        <v>133</v>
      </c>
      <c r="C41" s="25" t="s">
        <v>134</v>
      </c>
      <c r="D41" s="26" t="s">
        <v>28</v>
      </c>
      <c r="E41" s="102" t="s">
        <v>28</v>
      </c>
      <c r="F41" s="103" t="s">
        <v>28</v>
      </c>
      <c r="G41" s="104" t="s">
        <v>22</v>
      </c>
      <c r="H41" s="103" t="s">
        <v>28</v>
      </c>
      <c r="I41" s="102" t="s">
        <v>28</v>
      </c>
      <c r="J41" s="26" t="s">
        <v>28</v>
      </c>
      <c r="K41" s="102" t="s">
        <v>28</v>
      </c>
      <c r="L41" s="96"/>
      <c r="M41" s="96"/>
      <c r="N41" s="96"/>
      <c r="O41" s="96"/>
      <c r="P41" s="82"/>
      <c r="Q41" s="96"/>
      <c r="R41" s="96"/>
      <c r="S41" s="96"/>
      <c r="T41" s="28"/>
      <c r="U41" s="29"/>
      <c r="V41" s="29"/>
      <c r="W41" s="29"/>
      <c r="X41" s="29"/>
      <c r="Y41" s="29"/>
      <c r="Z41" s="29"/>
      <c r="AA41" s="29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2">
        <f t="shared" si="1"/>
        <v>0</v>
      </c>
      <c r="BB41" s="32">
        <f t="shared" si="2"/>
        <v>1</v>
      </c>
      <c r="BC41" s="32">
        <f t="shared" si="3"/>
        <v>7</v>
      </c>
      <c r="BD41" s="32">
        <f t="shared" si="4"/>
        <v>8</v>
      </c>
      <c r="BE41" s="33">
        <f t="shared" si="5"/>
        <v>87.5</v>
      </c>
    </row>
    <row r="42">
      <c r="A42" s="23">
        <v>38.0</v>
      </c>
      <c r="B42" s="24" t="s">
        <v>135</v>
      </c>
      <c r="C42" s="25" t="s">
        <v>136</v>
      </c>
      <c r="D42" s="26" t="s">
        <v>28</v>
      </c>
      <c r="E42" s="104" t="s">
        <v>22</v>
      </c>
      <c r="F42" s="105" t="s">
        <v>22</v>
      </c>
      <c r="G42" s="103" t="s">
        <v>28</v>
      </c>
      <c r="H42" s="103" t="s">
        <v>28</v>
      </c>
      <c r="I42" s="104" t="s">
        <v>22</v>
      </c>
      <c r="J42" s="26" t="s">
        <v>28</v>
      </c>
      <c r="K42" s="102" t="s">
        <v>28</v>
      </c>
      <c r="L42" s="96"/>
      <c r="M42" s="96"/>
      <c r="N42" s="96"/>
      <c r="O42" s="96"/>
      <c r="P42" s="82"/>
      <c r="Q42" s="96"/>
      <c r="R42" s="96"/>
      <c r="S42" s="96"/>
      <c r="T42" s="28"/>
      <c r="U42" s="29"/>
      <c r="V42" s="29"/>
      <c r="W42" s="29"/>
      <c r="X42" s="29"/>
      <c r="Y42" s="29"/>
      <c r="Z42" s="29"/>
      <c r="AA42" s="29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2">
        <f t="shared" si="1"/>
        <v>0</v>
      </c>
      <c r="BB42" s="32">
        <f t="shared" si="2"/>
        <v>3</v>
      </c>
      <c r="BC42" s="32">
        <f t="shared" si="3"/>
        <v>5</v>
      </c>
      <c r="BD42" s="32">
        <f t="shared" si="4"/>
        <v>8</v>
      </c>
      <c r="BE42" s="33">
        <f t="shared" si="5"/>
        <v>62.5</v>
      </c>
    </row>
    <row r="43">
      <c r="A43" s="23">
        <v>39.0</v>
      </c>
      <c r="B43" s="24" t="s">
        <v>137</v>
      </c>
      <c r="C43" s="25" t="s">
        <v>138</v>
      </c>
      <c r="D43" s="26" t="s">
        <v>28</v>
      </c>
      <c r="E43" s="102" t="s">
        <v>28</v>
      </c>
      <c r="F43" s="103" t="s">
        <v>28</v>
      </c>
      <c r="G43" s="103" t="s">
        <v>28</v>
      </c>
      <c r="H43" s="103" t="s">
        <v>28</v>
      </c>
      <c r="I43" s="102" t="s">
        <v>28</v>
      </c>
      <c r="J43" s="26" t="s">
        <v>28</v>
      </c>
      <c r="K43" s="102" t="s">
        <v>28</v>
      </c>
      <c r="L43" s="96"/>
      <c r="M43" s="96"/>
      <c r="N43" s="96"/>
      <c r="O43" s="96"/>
      <c r="P43" s="96"/>
      <c r="Q43" s="96"/>
      <c r="R43" s="96"/>
      <c r="S43" s="96"/>
      <c r="T43" s="29"/>
      <c r="U43" s="29"/>
      <c r="V43" s="29"/>
      <c r="W43" s="29"/>
      <c r="X43" s="29"/>
      <c r="Y43" s="29"/>
      <c r="Z43" s="29"/>
      <c r="AA43" s="29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2">
        <f t="shared" si="1"/>
        <v>0</v>
      </c>
      <c r="BB43" s="32">
        <f t="shared" si="2"/>
        <v>0</v>
      </c>
      <c r="BC43" s="32">
        <f t="shared" si="3"/>
        <v>8</v>
      </c>
      <c r="BD43" s="32">
        <f t="shared" si="4"/>
        <v>8</v>
      </c>
      <c r="BE43" s="33">
        <f t="shared" si="5"/>
        <v>100</v>
      </c>
    </row>
    <row r="44">
      <c r="A44" s="23">
        <v>40.0</v>
      </c>
      <c r="B44" s="24" t="s">
        <v>139</v>
      </c>
      <c r="C44" s="25" t="s">
        <v>140</v>
      </c>
      <c r="D44" s="26" t="s">
        <v>28</v>
      </c>
      <c r="E44" s="104" t="s">
        <v>22</v>
      </c>
      <c r="F44" s="103" t="s">
        <v>28</v>
      </c>
      <c r="G44" s="104" t="s">
        <v>22</v>
      </c>
      <c r="H44" s="104" t="s">
        <v>22</v>
      </c>
      <c r="I44" s="102" t="s">
        <v>28</v>
      </c>
      <c r="J44" s="104" t="s">
        <v>22</v>
      </c>
      <c r="K44" s="102" t="s">
        <v>28</v>
      </c>
      <c r="L44" s="96"/>
      <c r="M44" s="96"/>
      <c r="N44" s="82"/>
      <c r="O44" s="96"/>
      <c r="P44" s="96"/>
      <c r="Q44" s="96"/>
      <c r="R44" s="96"/>
      <c r="S44" s="96"/>
      <c r="T44" s="29"/>
      <c r="U44" s="29"/>
      <c r="V44" s="29"/>
      <c r="W44" s="29"/>
      <c r="X44" s="29"/>
      <c r="Y44" s="29"/>
      <c r="Z44" s="29"/>
      <c r="AA44" s="29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2">
        <f t="shared" si="1"/>
        <v>0</v>
      </c>
      <c r="BB44" s="32">
        <f t="shared" si="2"/>
        <v>4</v>
      </c>
      <c r="BC44" s="32">
        <f t="shared" si="3"/>
        <v>4</v>
      </c>
      <c r="BD44" s="32">
        <f t="shared" si="4"/>
        <v>8</v>
      </c>
      <c r="BE44" s="33">
        <f t="shared" si="5"/>
        <v>50</v>
      </c>
    </row>
    <row r="45">
      <c r="A45" s="23">
        <v>41.0</v>
      </c>
      <c r="B45" s="24" t="s">
        <v>141</v>
      </c>
      <c r="C45" s="25" t="s">
        <v>142</v>
      </c>
      <c r="D45" s="26" t="s">
        <v>28</v>
      </c>
      <c r="E45" s="102" t="s">
        <v>28</v>
      </c>
      <c r="F45" s="103" t="s">
        <v>28</v>
      </c>
      <c r="G45" s="103" t="s">
        <v>28</v>
      </c>
      <c r="H45" s="104" t="s">
        <v>22</v>
      </c>
      <c r="I45" s="102" t="s">
        <v>28</v>
      </c>
      <c r="J45" s="26" t="s">
        <v>28</v>
      </c>
      <c r="K45" s="102" t="s">
        <v>28</v>
      </c>
      <c r="L45" s="96"/>
      <c r="M45" s="96"/>
      <c r="N45" s="82"/>
      <c r="O45" s="96"/>
      <c r="P45" s="96"/>
      <c r="Q45" s="96"/>
      <c r="R45" s="96"/>
      <c r="S45" s="96"/>
      <c r="T45" s="28"/>
      <c r="U45" s="29"/>
      <c r="V45" s="29"/>
      <c r="W45" s="29"/>
      <c r="X45" s="29"/>
      <c r="Y45" s="29"/>
      <c r="Z45" s="29"/>
      <c r="AA45" s="29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2">
        <f t="shared" si="1"/>
        <v>0</v>
      </c>
      <c r="BB45" s="32">
        <f t="shared" si="2"/>
        <v>1</v>
      </c>
      <c r="BC45" s="32">
        <f t="shared" si="3"/>
        <v>7</v>
      </c>
      <c r="BD45" s="32">
        <f t="shared" si="4"/>
        <v>8</v>
      </c>
      <c r="BE45" s="33">
        <f t="shared" si="5"/>
        <v>87.5</v>
      </c>
    </row>
    <row r="46">
      <c r="A46" s="23">
        <v>42.0</v>
      </c>
      <c r="B46" s="24" t="s">
        <v>143</v>
      </c>
      <c r="C46" s="25" t="s">
        <v>144</v>
      </c>
      <c r="D46" s="26" t="s">
        <v>28</v>
      </c>
      <c r="E46" s="102" t="s">
        <v>28</v>
      </c>
      <c r="F46" s="105" t="s">
        <v>22</v>
      </c>
      <c r="G46" s="104" t="s">
        <v>22</v>
      </c>
      <c r="H46" s="104" t="s">
        <v>22</v>
      </c>
      <c r="I46" s="102" t="s">
        <v>28</v>
      </c>
      <c r="J46" s="104" t="s">
        <v>22</v>
      </c>
      <c r="K46" s="104" t="s">
        <v>22</v>
      </c>
      <c r="L46" s="96"/>
      <c r="M46" s="96"/>
      <c r="N46" s="82"/>
      <c r="O46" s="96"/>
      <c r="P46" s="82"/>
      <c r="Q46" s="82"/>
      <c r="R46" s="96"/>
      <c r="S46" s="96"/>
      <c r="T46" s="28"/>
      <c r="U46" s="29"/>
      <c r="V46" s="29"/>
      <c r="W46" s="29"/>
      <c r="X46" s="29"/>
      <c r="Y46" s="29"/>
      <c r="Z46" s="29"/>
      <c r="AA46" s="29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2">
        <f t="shared" si="1"/>
        <v>0</v>
      </c>
      <c r="BB46" s="32">
        <f t="shared" si="2"/>
        <v>5</v>
      </c>
      <c r="BC46" s="32">
        <f t="shared" si="3"/>
        <v>3</v>
      </c>
      <c r="BD46" s="32">
        <f t="shared" si="4"/>
        <v>8</v>
      </c>
      <c r="BE46" s="33">
        <f t="shared" si="5"/>
        <v>37.5</v>
      </c>
    </row>
    <row r="47">
      <c r="A47" s="23">
        <v>43.0</v>
      </c>
      <c r="B47" s="24" t="s">
        <v>145</v>
      </c>
      <c r="C47" s="25" t="s">
        <v>146</v>
      </c>
      <c r="D47" s="26" t="s">
        <v>28</v>
      </c>
      <c r="E47" s="102" t="s">
        <v>28</v>
      </c>
      <c r="F47" s="103" t="s">
        <v>28</v>
      </c>
      <c r="G47" s="104" t="s">
        <v>22</v>
      </c>
      <c r="H47" s="103" t="s">
        <v>28</v>
      </c>
      <c r="I47" s="104" t="s">
        <v>22</v>
      </c>
      <c r="J47" s="26" t="s">
        <v>28</v>
      </c>
      <c r="K47" s="102" t="s">
        <v>28</v>
      </c>
      <c r="L47" s="96"/>
      <c r="M47" s="96"/>
      <c r="N47" s="96"/>
      <c r="O47" s="96"/>
      <c r="P47" s="96"/>
      <c r="Q47" s="96"/>
      <c r="R47" s="96"/>
      <c r="S47" s="96"/>
      <c r="T47" s="28"/>
      <c r="U47" s="29"/>
      <c r="V47" s="29"/>
      <c r="W47" s="29"/>
      <c r="X47" s="29"/>
      <c r="Y47" s="29"/>
      <c r="Z47" s="29"/>
      <c r="AA47" s="29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2">
        <f t="shared" si="1"/>
        <v>0</v>
      </c>
      <c r="BB47" s="32">
        <f t="shared" si="2"/>
        <v>2</v>
      </c>
      <c r="BC47" s="32">
        <f t="shared" si="3"/>
        <v>6</v>
      </c>
      <c r="BD47" s="32">
        <f t="shared" si="4"/>
        <v>8</v>
      </c>
      <c r="BE47" s="33">
        <f t="shared" si="5"/>
        <v>75</v>
      </c>
    </row>
    <row r="48">
      <c r="A48" s="23">
        <v>44.0</v>
      </c>
      <c r="B48" s="24" t="s">
        <v>149</v>
      </c>
      <c r="C48" s="25" t="s">
        <v>150</v>
      </c>
      <c r="D48" s="26" t="s">
        <v>28</v>
      </c>
      <c r="E48" s="102" t="s">
        <v>28</v>
      </c>
      <c r="F48" s="103" t="s">
        <v>28</v>
      </c>
      <c r="G48" s="103" t="s">
        <v>28</v>
      </c>
      <c r="H48" s="103" t="s">
        <v>28</v>
      </c>
      <c r="I48" s="102" t="s">
        <v>28</v>
      </c>
      <c r="J48" s="26" t="s">
        <v>28</v>
      </c>
      <c r="K48" s="102" t="s">
        <v>28</v>
      </c>
      <c r="L48" s="96"/>
      <c r="M48" s="96"/>
      <c r="N48" s="96"/>
      <c r="O48" s="96"/>
      <c r="P48" s="96"/>
      <c r="Q48" s="96"/>
      <c r="R48" s="96"/>
      <c r="S48" s="96"/>
      <c r="T48" s="30"/>
      <c r="U48" s="29"/>
      <c r="V48" s="29"/>
      <c r="W48" s="29"/>
      <c r="X48" s="29"/>
      <c r="Y48" s="29"/>
      <c r="Z48" s="29"/>
      <c r="AA48" s="29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2">
        <f t="shared" si="1"/>
        <v>0</v>
      </c>
      <c r="BB48" s="32">
        <f t="shared" si="2"/>
        <v>0</v>
      </c>
      <c r="BC48" s="32">
        <f t="shared" si="3"/>
        <v>8</v>
      </c>
      <c r="BD48" s="32">
        <f t="shared" si="4"/>
        <v>8</v>
      </c>
      <c r="BE48" s="33">
        <f t="shared" si="5"/>
        <v>100</v>
      </c>
    </row>
    <row r="49">
      <c r="A49" s="23">
        <v>45.0</v>
      </c>
      <c r="B49" s="24" t="s">
        <v>151</v>
      </c>
      <c r="C49" s="25" t="s">
        <v>392</v>
      </c>
      <c r="D49" s="26" t="s">
        <v>28</v>
      </c>
      <c r="E49" s="102" t="s">
        <v>28</v>
      </c>
      <c r="F49" s="103" t="s">
        <v>28</v>
      </c>
      <c r="G49" s="103" t="s">
        <v>28</v>
      </c>
      <c r="H49" s="103" t="s">
        <v>28</v>
      </c>
      <c r="I49" s="102" t="s">
        <v>28</v>
      </c>
      <c r="J49" s="26" t="s">
        <v>28</v>
      </c>
      <c r="K49" s="102" t="s">
        <v>28</v>
      </c>
      <c r="L49" s="96"/>
      <c r="M49" s="96"/>
      <c r="N49" s="96"/>
      <c r="O49" s="96"/>
      <c r="P49" s="96"/>
      <c r="Q49" s="96"/>
      <c r="R49" s="96"/>
      <c r="S49" s="96"/>
      <c r="T49" s="28"/>
      <c r="U49" s="29"/>
      <c r="V49" s="29"/>
      <c r="W49" s="29"/>
      <c r="X49" s="29"/>
      <c r="Y49" s="29"/>
      <c r="Z49" s="29"/>
      <c r="AA49" s="29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2">
        <f t="shared" si="1"/>
        <v>0</v>
      </c>
      <c r="BB49" s="32">
        <f t="shared" si="2"/>
        <v>0</v>
      </c>
      <c r="BC49" s="32">
        <f t="shared" si="3"/>
        <v>8</v>
      </c>
      <c r="BD49" s="32">
        <f t="shared" si="4"/>
        <v>8</v>
      </c>
      <c r="BE49" s="33">
        <f t="shared" si="5"/>
        <v>100</v>
      </c>
    </row>
    <row r="50">
      <c r="A50" s="23">
        <v>46.0</v>
      </c>
      <c r="B50" s="24" t="s">
        <v>153</v>
      </c>
      <c r="C50" s="25" t="s">
        <v>154</v>
      </c>
      <c r="D50" s="26" t="s">
        <v>28</v>
      </c>
      <c r="E50" s="102" t="s">
        <v>28</v>
      </c>
      <c r="F50" s="103" t="s">
        <v>28</v>
      </c>
      <c r="G50" s="103" t="s">
        <v>28</v>
      </c>
      <c r="H50" s="103" t="s">
        <v>28</v>
      </c>
      <c r="I50" s="102" t="s">
        <v>28</v>
      </c>
      <c r="J50" s="104" t="s">
        <v>22</v>
      </c>
      <c r="K50" s="102" t="s">
        <v>28</v>
      </c>
      <c r="L50" s="96"/>
      <c r="M50" s="96"/>
      <c r="N50" s="82"/>
      <c r="O50" s="96"/>
      <c r="P50" s="96"/>
      <c r="Q50" s="96"/>
      <c r="R50" s="96"/>
      <c r="S50" s="96"/>
      <c r="T50" s="29"/>
      <c r="U50" s="29"/>
      <c r="V50" s="29"/>
      <c r="W50" s="29"/>
      <c r="X50" s="29"/>
      <c r="Y50" s="29"/>
      <c r="Z50" s="29"/>
      <c r="AA50" s="29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2">
        <f t="shared" si="1"/>
        <v>0</v>
      </c>
      <c r="BB50" s="32">
        <f t="shared" si="2"/>
        <v>1</v>
      </c>
      <c r="BC50" s="32">
        <f t="shared" si="3"/>
        <v>7</v>
      </c>
      <c r="BD50" s="32">
        <f t="shared" si="4"/>
        <v>8</v>
      </c>
      <c r="BE50" s="33">
        <f t="shared" si="5"/>
        <v>87.5</v>
      </c>
    </row>
    <row r="51">
      <c r="A51" s="23">
        <v>47.0</v>
      </c>
      <c r="B51" s="24" t="s">
        <v>155</v>
      </c>
      <c r="C51" s="25" t="s">
        <v>156</v>
      </c>
      <c r="D51" s="26" t="s">
        <v>28</v>
      </c>
      <c r="E51" s="102" t="s">
        <v>28</v>
      </c>
      <c r="F51" s="103" t="s">
        <v>28</v>
      </c>
      <c r="G51" s="103" t="s">
        <v>28</v>
      </c>
      <c r="H51" s="103" t="s">
        <v>28</v>
      </c>
      <c r="I51" s="102" t="s">
        <v>28</v>
      </c>
      <c r="J51" s="104" t="s">
        <v>22</v>
      </c>
      <c r="K51" s="102" t="s">
        <v>28</v>
      </c>
      <c r="L51" s="96"/>
      <c r="M51" s="96"/>
      <c r="N51" s="82"/>
      <c r="O51" s="96"/>
      <c r="P51" s="82"/>
      <c r="Q51" s="96"/>
      <c r="R51" s="96"/>
      <c r="S51" s="96"/>
      <c r="T51" s="29"/>
      <c r="U51" s="29"/>
      <c r="V51" s="29"/>
      <c r="W51" s="29"/>
      <c r="X51" s="29"/>
      <c r="Y51" s="29"/>
      <c r="Z51" s="29"/>
      <c r="AA51" s="29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2">
        <f t="shared" si="1"/>
        <v>0</v>
      </c>
      <c r="BB51" s="32">
        <f t="shared" si="2"/>
        <v>1</v>
      </c>
      <c r="BC51" s="32">
        <f t="shared" si="3"/>
        <v>7</v>
      </c>
      <c r="BD51" s="32">
        <f t="shared" si="4"/>
        <v>8</v>
      </c>
      <c r="BE51" s="33">
        <f t="shared" si="5"/>
        <v>87.5</v>
      </c>
    </row>
    <row r="52">
      <c r="A52" s="23">
        <v>48.0</v>
      </c>
      <c r="B52" s="24" t="s">
        <v>157</v>
      </c>
      <c r="C52" s="25" t="s">
        <v>158</v>
      </c>
      <c r="D52" s="26" t="s">
        <v>28</v>
      </c>
      <c r="E52" s="102" t="s">
        <v>28</v>
      </c>
      <c r="F52" s="105" t="s">
        <v>22</v>
      </c>
      <c r="G52" s="103" t="s">
        <v>28</v>
      </c>
      <c r="H52" s="103" t="s">
        <v>28</v>
      </c>
      <c r="I52" s="102" t="s">
        <v>28</v>
      </c>
      <c r="J52" s="26" t="s">
        <v>28</v>
      </c>
      <c r="K52" s="104" t="s">
        <v>22</v>
      </c>
      <c r="L52" s="96"/>
      <c r="M52" s="96"/>
      <c r="N52" s="96"/>
      <c r="O52" s="96"/>
      <c r="P52" s="96"/>
      <c r="Q52" s="96"/>
      <c r="R52" s="96"/>
      <c r="S52" s="96"/>
      <c r="T52" s="28"/>
      <c r="U52" s="29"/>
      <c r="V52" s="29"/>
      <c r="W52" s="29"/>
      <c r="X52" s="29"/>
      <c r="Y52" s="29"/>
      <c r="Z52" s="29"/>
      <c r="AA52" s="29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2">
        <f t="shared" si="1"/>
        <v>0</v>
      </c>
      <c r="BB52" s="32">
        <f t="shared" si="2"/>
        <v>2</v>
      </c>
      <c r="BC52" s="32">
        <f t="shared" si="3"/>
        <v>6</v>
      </c>
      <c r="BD52" s="32">
        <f t="shared" si="4"/>
        <v>8</v>
      </c>
      <c r="BE52" s="33">
        <f t="shared" si="5"/>
        <v>75</v>
      </c>
    </row>
    <row r="53">
      <c r="A53" s="23">
        <v>49.0</v>
      </c>
      <c r="B53" s="24" t="s">
        <v>161</v>
      </c>
      <c r="C53" s="25" t="s">
        <v>162</v>
      </c>
      <c r="D53" s="26" t="s">
        <v>28</v>
      </c>
      <c r="E53" s="102" t="s">
        <v>28</v>
      </c>
      <c r="F53" s="103" t="s">
        <v>28</v>
      </c>
      <c r="G53" s="103" t="s">
        <v>28</v>
      </c>
      <c r="H53" s="103" t="s">
        <v>28</v>
      </c>
      <c r="I53" s="104" t="s">
        <v>22</v>
      </c>
      <c r="J53" s="26" t="s">
        <v>28</v>
      </c>
      <c r="K53" s="102" t="s">
        <v>28</v>
      </c>
      <c r="L53" s="96"/>
      <c r="M53" s="96"/>
      <c r="N53" s="96"/>
      <c r="O53" s="96"/>
      <c r="P53" s="96"/>
      <c r="Q53" s="96"/>
      <c r="R53" s="96"/>
      <c r="S53" s="96"/>
      <c r="T53" s="28"/>
      <c r="U53" s="29"/>
      <c r="V53" s="29"/>
      <c r="W53" s="29"/>
      <c r="X53" s="29"/>
      <c r="Y53" s="29"/>
      <c r="Z53" s="29"/>
      <c r="AA53" s="29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2">
        <f t="shared" si="1"/>
        <v>0</v>
      </c>
      <c r="BB53" s="32">
        <f t="shared" si="2"/>
        <v>1</v>
      </c>
      <c r="BC53" s="32">
        <f t="shared" si="3"/>
        <v>7</v>
      </c>
      <c r="BD53" s="32">
        <f t="shared" si="4"/>
        <v>8</v>
      </c>
      <c r="BE53" s="33">
        <f t="shared" si="5"/>
        <v>87.5</v>
      </c>
    </row>
    <row r="54">
      <c r="A54" s="23">
        <v>50.0</v>
      </c>
      <c r="B54" s="24" t="s">
        <v>163</v>
      </c>
      <c r="C54" s="25" t="s">
        <v>164</v>
      </c>
      <c r="D54" s="26" t="s">
        <v>28</v>
      </c>
      <c r="E54" s="102" t="s">
        <v>28</v>
      </c>
      <c r="F54" s="103" t="s">
        <v>28</v>
      </c>
      <c r="G54" s="104" t="s">
        <v>22</v>
      </c>
      <c r="H54" s="103" t="s">
        <v>28</v>
      </c>
      <c r="I54" s="102" t="s">
        <v>28</v>
      </c>
      <c r="J54" s="104" t="s">
        <v>22</v>
      </c>
      <c r="K54" s="102" t="s">
        <v>28</v>
      </c>
      <c r="L54" s="96"/>
      <c r="M54" s="82"/>
      <c r="N54" s="96"/>
      <c r="O54" s="96"/>
      <c r="P54" s="96"/>
      <c r="Q54" s="96"/>
      <c r="R54" s="96"/>
      <c r="S54" s="96"/>
      <c r="T54" s="28"/>
      <c r="U54" s="29"/>
      <c r="V54" s="29"/>
      <c r="W54" s="29"/>
      <c r="X54" s="29"/>
      <c r="Y54" s="29"/>
      <c r="Z54" s="29"/>
      <c r="AA54" s="29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2">
        <f t="shared" si="1"/>
        <v>0</v>
      </c>
      <c r="BB54" s="32">
        <f t="shared" si="2"/>
        <v>2</v>
      </c>
      <c r="BC54" s="32">
        <f t="shared" si="3"/>
        <v>6</v>
      </c>
      <c r="BD54" s="32">
        <f t="shared" si="4"/>
        <v>8</v>
      </c>
      <c r="BE54" s="33">
        <f t="shared" si="5"/>
        <v>75</v>
      </c>
    </row>
    <row r="55">
      <c r="A55" s="23">
        <v>51.0</v>
      </c>
      <c r="B55" s="24" t="s">
        <v>165</v>
      </c>
      <c r="C55" s="25" t="s">
        <v>166</v>
      </c>
      <c r="D55" s="26" t="s">
        <v>28</v>
      </c>
      <c r="E55" s="102" t="s">
        <v>28</v>
      </c>
      <c r="F55" s="103" t="s">
        <v>28</v>
      </c>
      <c r="G55" s="103" t="s">
        <v>28</v>
      </c>
      <c r="H55" s="103" t="s">
        <v>28</v>
      </c>
      <c r="I55" s="104" t="s">
        <v>22</v>
      </c>
      <c r="J55" s="104" t="s">
        <v>22</v>
      </c>
      <c r="K55" s="104" t="s">
        <v>22</v>
      </c>
      <c r="L55" s="96"/>
      <c r="M55" s="96"/>
      <c r="N55" s="96"/>
      <c r="O55" s="96"/>
      <c r="P55" s="96"/>
      <c r="Q55" s="96"/>
      <c r="R55" s="96"/>
      <c r="S55" s="82"/>
      <c r="T55" s="28"/>
      <c r="U55" s="29"/>
      <c r="V55" s="29"/>
      <c r="W55" s="29"/>
      <c r="X55" s="29"/>
      <c r="Y55" s="29"/>
      <c r="Z55" s="29"/>
      <c r="AA55" s="29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2">
        <f t="shared" si="1"/>
        <v>0</v>
      </c>
      <c r="BB55" s="32">
        <f t="shared" si="2"/>
        <v>3</v>
      </c>
      <c r="BC55" s="32">
        <f t="shared" si="3"/>
        <v>5</v>
      </c>
      <c r="BD55" s="32">
        <f t="shared" si="4"/>
        <v>8</v>
      </c>
      <c r="BE55" s="33">
        <f t="shared" si="5"/>
        <v>62.5</v>
      </c>
    </row>
    <row r="56">
      <c r="A56" s="23">
        <v>52.0</v>
      </c>
      <c r="B56" s="24" t="s">
        <v>167</v>
      </c>
      <c r="C56" s="25" t="s">
        <v>168</v>
      </c>
      <c r="D56" s="26" t="s">
        <v>28</v>
      </c>
      <c r="E56" s="102" t="s">
        <v>28</v>
      </c>
      <c r="F56" s="103" t="s">
        <v>28</v>
      </c>
      <c r="G56" s="103" t="s">
        <v>28</v>
      </c>
      <c r="H56" s="103" t="s">
        <v>28</v>
      </c>
      <c r="I56" s="104" t="s">
        <v>22</v>
      </c>
      <c r="J56" s="26" t="s">
        <v>28</v>
      </c>
      <c r="K56" s="104" t="s">
        <v>22</v>
      </c>
      <c r="L56" s="96"/>
      <c r="M56" s="96"/>
      <c r="N56" s="82"/>
      <c r="O56" s="96"/>
      <c r="P56" s="96"/>
      <c r="Q56" s="82"/>
      <c r="R56" s="96"/>
      <c r="S56" s="96"/>
      <c r="T56" s="28"/>
      <c r="U56" s="29"/>
      <c r="V56" s="29"/>
      <c r="W56" s="29"/>
      <c r="X56" s="29"/>
      <c r="Y56" s="29"/>
      <c r="Z56" s="29"/>
      <c r="AA56" s="29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2">
        <f t="shared" si="1"/>
        <v>0</v>
      </c>
      <c r="BB56" s="32">
        <f t="shared" si="2"/>
        <v>2</v>
      </c>
      <c r="BC56" s="32">
        <f t="shared" si="3"/>
        <v>6</v>
      </c>
      <c r="BD56" s="32">
        <f t="shared" si="4"/>
        <v>8</v>
      </c>
      <c r="BE56" s="33">
        <f t="shared" si="5"/>
        <v>75</v>
      </c>
    </row>
    <row r="57">
      <c r="A57" s="23">
        <v>53.0</v>
      </c>
      <c r="B57" s="24" t="s">
        <v>169</v>
      </c>
      <c r="C57" s="25" t="s">
        <v>170</v>
      </c>
      <c r="D57" s="26" t="s">
        <v>28</v>
      </c>
      <c r="E57" s="102" t="s">
        <v>28</v>
      </c>
      <c r="F57" s="103" t="s">
        <v>28</v>
      </c>
      <c r="G57" s="103" t="s">
        <v>28</v>
      </c>
      <c r="H57" s="103" t="s">
        <v>28</v>
      </c>
      <c r="I57" s="102" t="s">
        <v>28</v>
      </c>
      <c r="J57" s="26" t="s">
        <v>28</v>
      </c>
      <c r="K57" s="102" t="s">
        <v>28</v>
      </c>
      <c r="L57" s="96"/>
      <c r="M57" s="96"/>
      <c r="N57" s="96"/>
      <c r="O57" s="96"/>
      <c r="P57" s="96"/>
      <c r="Q57" s="96"/>
      <c r="R57" s="96"/>
      <c r="S57" s="82"/>
      <c r="T57" s="51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32">
        <f t="shared" si="1"/>
        <v>0</v>
      </c>
      <c r="BB57" s="32">
        <f t="shared" si="2"/>
        <v>0</v>
      </c>
      <c r="BC57" s="32">
        <f t="shared" si="3"/>
        <v>8</v>
      </c>
      <c r="BD57" s="32">
        <f t="shared" si="4"/>
        <v>8</v>
      </c>
      <c r="BE57" s="33">
        <f t="shared" si="5"/>
        <v>100</v>
      </c>
    </row>
    <row r="58">
      <c r="A58" s="23">
        <v>54.0</v>
      </c>
      <c r="B58" s="47" t="s">
        <v>171</v>
      </c>
      <c r="C58" s="25" t="s">
        <v>172</v>
      </c>
      <c r="D58" s="26" t="s">
        <v>28</v>
      </c>
      <c r="E58" s="102" t="s">
        <v>28</v>
      </c>
      <c r="F58" s="103" t="s">
        <v>28</v>
      </c>
      <c r="G58" s="103" t="s">
        <v>28</v>
      </c>
      <c r="H58" s="104" t="s">
        <v>22</v>
      </c>
      <c r="I58" s="104" t="s">
        <v>22</v>
      </c>
      <c r="J58" s="26" t="s">
        <v>28</v>
      </c>
      <c r="K58" s="104" t="s">
        <v>22</v>
      </c>
      <c r="L58" s="82"/>
      <c r="M58" s="96"/>
      <c r="N58" s="96"/>
      <c r="O58" s="96"/>
      <c r="P58" s="96"/>
      <c r="Q58" s="96"/>
      <c r="R58" s="96"/>
      <c r="S58" s="96"/>
      <c r="T58" s="51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32">
        <f t="shared" si="1"/>
        <v>0</v>
      </c>
      <c r="BB58" s="32">
        <f t="shared" si="2"/>
        <v>3</v>
      </c>
      <c r="BC58" s="32">
        <f t="shared" si="3"/>
        <v>5</v>
      </c>
      <c r="BD58" s="32">
        <f t="shared" si="4"/>
        <v>8</v>
      </c>
      <c r="BE58" s="33">
        <f t="shared" si="5"/>
        <v>62.5</v>
      </c>
    </row>
    <row r="59">
      <c r="A59" s="23">
        <v>55.0</v>
      </c>
      <c r="B59" s="24" t="s">
        <v>173</v>
      </c>
      <c r="C59" s="25" t="s">
        <v>174</v>
      </c>
      <c r="D59" s="26" t="s">
        <v>28</v>
      </c>
      <c r="E59" s="102" t="s">
        <v>28</v>
      </c>
      <c r="F59" s="103" t="s">
        <v>28</v>
      </c>
      <c r="G59" s="103" t="s">
        <v>28</v>
      </c>
      <c r="H59" s="103" t="s">
        <v>28</v>
      </c>
      <c r="I59" s="102" t="s">
        <v>28</v>
      </c>
      <c r="J59" s="26" t="s">
        <v>28</v>
      </c>
      <c r="K59" s="102" t="s">
        <v>28</v>
      </c>
      <c r="L59" s="96"/>
      <c r="M59" s="96"/>
      <c r="N59" s="96"/>
      <c r="O59" s="96"/>
      <c r="P59" s="96"/>
      <c r="Q59" s="96"/>
      <c r="R59" s="96"/>
      <c r="S59" s="96"/>
      <c r="T59" s="51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32">
        <f t="shared" si="1"/>
        <v>0</v>
      </c>
      <c r="BB59" s="32">
        <f t="shared" si="2"/>
        <v>0</v>
      </c>
      <c r="BC59" s="32">
        <f t="shared" si="3"/>
        <v>8</v>
      </c>
      <c r="BD59" s="32">
        <f t="shared" si="4"/>
        <v>8</v>
      </c>
      <c r="BE59" s="33">
        <f t="shared" si="5"/>
        <v>100</v>
      </c>
    </row>
    <row r="60">
      <c r="A60" s="23">
        <v>56.0</v>
      </c>
      <c r="B60" s="24" t="s">
        <v>177</v>
      </c>
      <c r="C60" s="25" t="s">
        <v>178</v>
      </c>
      <c r="D60" s="37" t="s">
        <v>22</v>
      </c>
      <c r="E60" s="102" t="s">
        <v>28</v>
      </c>
      <c r="F60" s="103" t="s">
        <v>28</v>
      </c>
      <c r="G60" s="103" t="s">
        <v>28</v>
      </c>
      <c r="H60" s="104" t="s">
        <v>22</v>
      </c>
      <c r="I60" s="104" t="s">
        <v>22</v>
      </c>
      <c r="J60" s="104" t="s">
        <v>22</v>
      </c>
      <c r="K60" s="104" t="s">
        <v>22</v>
      </c>
      <c r="L60" s="106"/>
      <c r="M60" s="106"/>
      <c r="N60" s="107"/>
      <c r="O60" s="106"/>
      <c r="P60" s="106"/>
      <c r="Q60" s="106"/>
      <c r="R60" s="106"/>
      <c r="S60" s="107"/>
      <c r="T60" s="108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10">
        <f t="shared" si="1"/>
        <v>0</v>
      </c>
      <c r="BB60" s="110">
        <f t="shared" si="2"/>
        <v>5</v>
      </c>
      <c r="BC60" s="110">
        <f t="shared" si="3"/>
        <v>3</v>
      </c>
      <c r="BD60" s="110">
        <f t="shared" si="4"/>
        <v>8</v>
      </c>
      <c r="BE60" s="111">
        <f t="shared" si="5"/>
        <v>37.5</v>
      </c>
    </row>
    <row r="61">
      <c r="A61" s="23">
        <v>57.0</v>
      </c>
      <c r="B61" s="24" t="s">
        <v>179</v>
      </c>
      <c r="C61" s="25" t="s">
        <v>180</v>
      </c>
      <c r="D61" s="26" t="s">
        <v>28</v>
      </c>
      <c r="E61" s="102" t="s">
        <v>28</v>
      </c>
      <c r="F61" s="103" t="s">
        <v>28</v>
      </c>
      <c r="G61" s="104" t="s">
        <v>22</v>
      </c>
      <c r="H61" s="104" t="s">
        <v>22</v>
      </c>
      <c r="I61" s="104" t="s">
        <v>22</v>
      </c>
      <c r="J61" s="104" t="s">
        <v>22</v>
      </c>
      <c r="K61" s="104" t="s">
        <v>22</v>
      </c>
      <c r="L61" s="96"/>
      <c r="M61" s="96"/>
      <c r="N61" s="82"/>
      <c r="O61" s="82"/>
      <c r="P61" s="96"/>
      <c r="Q61" s="96"/>
      <c r="R61" s="96"/>
      <c r="S61" s="96"/>
      <c r="T61" s="51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32">
        <f t="shared" si="1"/>
        <v>0</v>
      </c>
      <c r="BB61" s="32">
        <f t="shared" si="2"/>
        <v>5</v>
      </c>
      <c r="BC61" s="32">
        <f t="shared" si="3"/>
        <v>3</v>
      </c>
      <c r="BD61" s="32">
        <f t="shared" si="4"/>
        <v>8</v>
      </c>
      <c r="BE61" s="33">
        <f t="shared" si="5"/>
        <v>37.5</v>
      </c>
    </row>
    <row r="62">
      <c r="A62" s="23">
        <v>58.0</v>
      </c>
      <c r="B62" s="24" t="s">
        <v>181</v>
      </c>
      <c r="C62" s="25" t="s">
        <v>182</v>
      </c>
      <c r="D62" s="26" t="s">
        <v>28</v>
      </c>
      <c r="E62" s="102" t="s">
        <v>28</v>
      </c>
      <c r="F62" s="105" t="s">
        <v>22</v>
      </c>
      <c r="G62" s="104" t="s">
        <v>22</v>
      </c>
      <c r="H62" s="104" t="s">
        <v>22</v>
      </c>
      <c r="I62" s="104" t="s">
        <v>22</v>
      </c>
      <c r="J62" s="104" t="s">
        <v>22</v>
      </c>
      <c r="K62" s="104" t="s">
        <v>22</v>
      </c>
      <c r="L62" s="96"/>
      <c r="M62" s="96"/>
      <c r="N62" s="96"/>
      <c r="O62" s="96"/>
      <c r="P62" s="82"/>
      <c r="Q62" s="96"/>
      <c r="R62" s="96"/>
      <c r="S62" s="96"/>
      <c r="T62" s="51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32">
        <f t="shared" si="1"/>
        <v>0</v>
      </c>
      <c r="BB62" s="32">
        <f t="shared" si="2"/>
        <v>6</v>
      </c>
      <c r="BC62" s="32">
        <f t="shared" si="3"/>
        <v>2</v>
      </c>
      <c r="BD62" s="32">
        <f t="shared" si="4"/>
        <v>8</v>
      </c>
      <c r="BE62" s="33">
        <f t="shared" si="5"/>
        <v>25</v>
      </c>
    </row>
    <row r="63">
      <c r="A63" s="49">
        <v>59.0</v>
      </c>
      <c r="B63" s="35" t="s">
        <v>183</v>
      </c>
      <c r="C63" s="36" t="s">
        <v>184</v>
      </c>
      <c r="D63" s="37" t="s">
        <v>22</v>
      </c>
      <c r="E63" s="104" t="s">
        <v>22</v>
      </c>
      <c r="F63" s="105" t="s">
        <v>22</v>
      </c>
      <c r="G63" s="104" t="s">
        <v>22</v>
      </c>
      <c r="H63" s="104" t="s">
        <v>22</v>
      </c>
      <c r="I63" s="104" t="s">
        <v>28</v>
      </c>
      <c r="J63" s="104" t="s">
        <v>22</v>
      </c>
      <c r="K63" s="104" t="s">
        <v>22</v>
      </c>
      <c r="L63" s="37"/>
      <c r="M63" s="37"/>
      <c r="N63" s="27"/>
      <c r="O63" s="37"/>
      <c r="P63" s="37"/>
      <c r="Q63" s="37"/>
      <c r="R63" s="37"/>
      <c r="S63" s="27"/>
      <c r="T63" s="53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41">
        <f t="shared" si="1"/>
        <v>0</v>
      </c>
      <c r="BB63" s="41">
        <f t="shared" si="2"/>
        <v>7</v>
      </c>
      <c r="BC63" s="41">
        <f t="shared" si="3"/>
        <v>1</v>
      </c>
      <c r="BD63" s="41">
        <f t="shared" si="4"/>
        <v>8</v>
      </c>
      <c r="BE63" s="42">
        <f t="shared" si="5"/>
        <v>12.5</v>
      </c>
    </row>
    <row r="64">
      <c r="A64" s="23">
        <v>60.0</v>
      </c>
      <c r="B64" s="24" t="s">
        <v>187</v>
      </c>
      <c r="C64" s="25" t="s">
        <v>188</v>
      </c>
      <c r="D64" s="26" t="s">
        <v>28</v>
      </c>
      <c r="E64" s="102" t="s">
        <v>28</v>
      </c>
      <c r="F64" s="103" t="s">
        <v>28</v>
      </c>
      <c r="G64" s="104" t="s">
        <v>22</v>
      </c>
      <c r="H64" s="103" t="s">
        <v>28</v>
      </c>
      <c r="I64" s="104" t="s">
        <v>22</v>
      </c>
      <c r="J64" s="104" t="s">
        <v>22</v>
      </c>
      <c r="K64" s="104" t="s">
        <v>22</v>
      </c>
      <c r="L64" s="96"/>
      <c r="M64" s="96"/>
      <c r="N64" s="82"/>
      <c r="O64" s="96"/>
      <c r="P64" s="82"/>
      <c r="Q64" s="96"/>
      <c r="R64" s="96"/>
      <c r="S64" s="96"/>
      <c r="T64" s="51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32">
        <f t="shared" si="1"/>
        <v>0</v>
      </c>
      <c r="BB64" s="32">
        <f t="shared" si="2"/>
        <v>4</v>
      </c>
      <c r="BC64" s="32">
        <f t="shared" si="3"/>
        <v>4</v>
      </c>
      <c r="BD64" s="32">
        <f t="shared" si="4"/>
        <v>8</v>
      </c>
      <c r="BE64" s="33">
        <f t="shared" si="5"/>
        <v>50</v>
      </c>
    </row>
    <row r="65">
      <c r="A65" s="23">
        <v>61.0</v>
      </c>
      <c r="B65" s="24" t="s">
        <v>189</v>
      </c>
      <c r="C65" s="25" t="s">
        <v>190</v>
      </c>
      <c r="D65" s="26" t="s">
        <v>28</v>
      </c>
      <c r="E65" s="102" t="s">
        <v>28</v>
      </c>
      <c r="F65" s="103" t="s">
        <v>28</v>
      </c>
      <c r="G65" s="104" t="s">
        <v>22</v>
      </c>
      <c r="H65" s="104" t="s">
        <v>22</v>
      </c>
      <c r="I65" s="104" t="s">
        <v>22</v>
      </c>
      <c r="J65" s="26" t="s">
        <v>28</v>
      </c>
      <c r="K65" s="102" t="s">
        <v>28</v>
      </c>
      <c r="L65" s="96"/>
      <c r="M65" s="96"/>
      <c r="N65" s="96"/>
      <c r="O65" s="96"/>
      <c r="P65" s="96"/>
      <c r="Q65" s="96"/>
      <c r="R65" s="96"/>
      <c r="S65" s="96"/>
      <c r="T65" s="51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32">
        <f t="shared" si="1"/>
        <v>0</v>
      </c>
      <c r="BB65" s="32">
        <f t="shared" si="2"/>
        <v>3</v>
      </c>
      <c r="BC65" s="32">
        <f t="shared" si="3"/>
        <v>5</v>
      </c>
      <c r="BD65" s="32">
        <f t="shared" si="4"/>
        <v>8</v>
      </c>
      <c r="BE65" s="33">
        <f t="shared" si="5"/>
        <v>62.5</v>
      </c>
    </row>
    <row r="66">
      <c r="A66" s="23">
        <v>62.0</v>
      </c>
      <c r="B66" s="24" t="s">
        <v>311</v>
      </c>
      <c r="C66" s="25" t="s">
        <v>312</v>
      </c>
      <c r="D66" s="26" t="s">
        <v>28</v>
      </c>
      <c r="E66" s="37" t="s">
        <v>22</v>
      </c>
      <c r="F66" s="26" t="s">
        <v>28</v>
      </c>
      <c r="G66" s="103" t="s">
        <v>28</v>
      </c>
      <c r="H66" s="104" t="s">
        <v>22</v>
      </c>
      <c r="I66" s="102" t="s">
        <v>28</v>
      </c>
      <c r="J66" s="102" t="s">
        <v>28</v>
      </c>
      <c r="K66" s="102" t="s">
        <v>28</v>
      </c>
      <c r="L66" s="96"/>
      <c r="M66" s="96"/>
      <c r="N66" s="96"/>
      <c r="O66" s="96"/>
      <c r="P66" s="96"/>
      <c r="Q66" s="96"/>
      <c r="R66" s="96"/>
      <c r="S66" s="96"/>
      <c r="T66" s="45"/>
      <c r="U66" s="45"/>
      <c r="V66" s="45"/>
      <c r="W66" s="45"/>
      <c r="X66" s="45"/>
      <c r="Y66" s="45"/>
      <c r="Z66" s="45"/>
      <c r="AA66" s="45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32">
        <f t="shared" si="1"/>
        <v>0</v>
      </c>
      <c r="BB66" s="32">
        <f t="shared" si="2"/>
        <v>2</v>
      </c>
      <c r="BC66" s="32">
        <f t="shared" si="3"/>
        <v>6</v>
      </c>
      <c r="BD66" s="32">
        <f t="shared" si="4"/>
        <v>8</v>
      </c>
      <c r="BE66" s="33">
        <f t="shared" si="5"/>
        <v>75</v>
      </c>
    </row>
    <row r="67">
      <c r="A67" s="55"/>
      <c r="B67" s="55"/>
      <c r="C67" s="56" t="s">
        <v>191</v>
      </c>
      <c r="D67" s="112">
        <f t="shared" ref="D67:E67" si="6">COUNTIF(D5:D65,"P")+COUNTIF(D5:D65,"L")</f>
        <v>58</v>
      </c>
      <c r="E67" s="112">
        <f t="shared" si="6"/>
        <v>52</v>
      </c>
      <c r="F67" s="113">
        <v>52.0</v>
      </c>
      <c r="G67" s="112">
        <f t="shared" ref="G67:AZ67" si="7">COUNTIF(G5:G65,"P")+COUNTIF(G5:G65,"L")</f>
        <v>39</v>
      </c>
      <c r="H67" s="57">
        <f t="shared" si="7"/>
        <v>42</v>
      </c>
      <c r="I67" s="57">
        <f t="shared" si="7"/>
        <v>37</v>
      </c>
      <c r="J67" s="57">
        <f t="shared" si="7"/>
        <v>33</v>
      </c>
      <c r="K67" s="57">
        <f t="shared" si="7"/>
        <v>37</v>
      </c>
      <c r="L67" s="57">
        <f t="shared" si="7"/>
        <v>0</v>
      </c>
      <c r="M67" s="57">
        <f t="shared" si="7"/>
        <v>0</v>
      </c>
      <c r="N67" s="57">
        <f t="shared" si="7"/>
        <v>0</v>
      </c>
      <c r="O67" s="57">
        <f t="shared" si="7"/>
        <v>0</v>
      </c>
      <c r="P67" s="57">
        <f t="shared" si="7"/>
        <v>0</v>
      </c>
      <c r="Q67" s="57">
        <f t="shared" si="7"/>
        <v>0</v>
      </c>
      <c r="R67" s="57">
        <f t="shared" si="7"/>
        <v>0</v>
      </c>
      <c r="S67" s="57">
        <f t="shared" si="7"/>
        <v>0</v>
      </c>
      <c r="T67" s="57">
        <f t="shared" si="7"/>
        <v>0</v>
      </c>
      <c r="U67" s="57">
        <f t="shared" si="7"/>
        <v>0</v>
      </c>
      <c r="V67" s="57">
        <f t="shared" si="7"/>
        <v>0</v>
      </c>
      <c r="W67" s="57">
        <f t="shared" si="7"/>
        <v>0</v>
      </c>
      <c r="X67" s="57">
        <f t="shared" si="7"/>
        <v>0</v>
      </c>
      <c r="Y67" s="57">
        <f t="shared" si="7"/>
        <v>0</v>
      </c>
      <c r="Z67" s="57">
        <f t="shared" si="7"/>
        <v>0</v>
      </c>
      <c r="AA67" s="57">
        <f t="shared" si="7"/>
        <v>0</v>
      </c>
      <c r="AB67" s="57">
        <f t="shared" si="7"/>
        <v>0</v>
      </c>
      <c r="AC67" s="57">
        <f t="shared" si="7"/>
        <v>0</v>
      </c>
      <c r="AD67" s="57">
        <f t="shared" si="7"/>
        <v>0</v>
      </c>
      <c r="AE67" s="57">
        <f t="shared" si="7"/>
        <v>0</v>
      </c>
      <c r="AF67" s="57">
        <f t="shared" si="7"/>
        <v>0</v>
      </c>
      <c r="AG67" s="57">
        <f t="shared" si="7"/>
        <v>0</v>
      </c>
      <c r="AH67" s="57">
        <f t="shared" si="7"/>
        <v>0</v>
      </c>
      <c r="AI67" s="57">
        <f t="shared" si="7"/>
        <v>0</v>
      </c>
      <c r="AJ67" s="57">
        <f t="shared" si="7"/>
        <v>0</v>
      </c>
      <c r="AK67" s="57">
        <f t="shared" si="7"/>
        <v>0</v>
      </c>
      <c r="AL67" s="57">
        <f t="shared" si="7"/>
        <v>0</v>
      </c>
      <c r="AM67" s="57">
        <f t="shared" si="7"/>
        <v>0</v>
      </c>
      <c r="AN67" s="57">
        <f t="shared" si="7"/>
        <v>0</v>
      </c>
      <c r="AO67" s="57">
        <f t="shared" si="7"/>
        <v>0</v>
      </c>
      <c r="AP67" s="57">
        <f t="shared" si="7"/>
        <v>0</v>
      </c>
      <c r="AQ67" s="57">
        <f t="shared" si="7"/>
        <v>0</v>
      </c>
      <c r="AR67" s="57">
        <f t="shared" si="7"/>
        <v>0</v>
      </c>
      <c r="AS67" s="57">
        <f t="shared" si="7"/>
        <v>0</v>
      </c>
      <c r="AT67" s="57">
        <f t="shared" si="7"/>
        <v>0</v>
      </c>
      <c r="AU67" s="57">
        <f t="shared" si="7"/>
        <v>0</v>
      </c>
      <c r="AV67" s="57">
        <f t="shared" si="7"/>
        <v>0</v>
      </c>
      <c r="AW67" s="57">
        <f t="shared" si="7"/>
        <v>0</v>
      </c>
      <c r="AX67" s="57">
        <f t="shared" si="7"/>
        <v>0</v>
      </c>
      <c r="AY67" s="57">
        <f t="shared" si="7"/>
        <v>0</v>
      </c>
      <c r="AZ67" s="57">
        <f t="shared" si="7"/>
        <v>0</v>
      </c>
      <c r="BA67" s="32">
        <f t="shared" si="1"/>
        <v>0</v>
      </c>
      <c r="BB67" s="32">
        <f t="shared" si="2"/>
        <v>0</v>
      </c>
      <c r="BC67" s="32">
        <f t="shared" si="3"/>
        <v>0</v>
      </c>
      <c r="BD67" s="32">
        <f t="shared" si="4"/>
        <v>0</v>
      </c>
      <c r="BE67" s="33" t="str">
        <f t="shared" si="5"/>
        <v>#DIV/0!</v>
      </c>
    </row>
    <row r="68">
      <c r="A68" s="83" t="s">
        <v>460</v>
      </c>
      <c r="B68" s="55"/>
      <c r="C68" s="59" t="s">
        <v>192</v>
      </c>
      <c r="D68" s="114">
        <v>61.0</v>
      </c>
      <c r="E68" s="114">
        <v>61.0</v>
      </c>
      <c r="F68" s="114">
        <v>61.0</v>
      </c>
      <c r="G68" s="114">
        <v>61.0</v>
      </c>
      <c r="H68" s="114">
        <v>61.0</v>
      </c>
      <c r="I68" s="114">
        <v>61.0</v>
      </c>
      <c r="J68" s="114">
        <v>61.0</v>
      </c>
      <c r="K68" s="114">
        <v>61.0</v>
      </c>
      <c r="L68" s="114">
        <v>61.0</v>
      </c>
      <c r="M68" s="114">
        <v>61.0</v>
      </c>
      <c r="N68" s="114">
        <v>61.0</v>
      </c>
      <c r="O68" s="114">
        <v>61.0</v>
      </c>
      <c r="P68" s="114">
        <v>61.0</v>
      </c>
      <c r="Q68" s="114">
        <v>61.0</v>
      </c>
      <c r="R68" s="114">
        <v>61.0</v>
      </c>
      <c r="S68" s="114">
        <v>61.0</v>
      </c>
      <c r="T68" s="114">
        <v>61.0</v>
      </c>
      <c r="U68" s="114">
        <v>61.0</v>
      </c>
      <c r="V68" s="114">
        <v>61.0</v>
      </c>
      <c r="W68" s="114">
        <v>61.0</v>
      </c>
      <c r="X68" s="114">
        <v>61.0</v>
      </c>
      <c r="Y68" s="114">
        <v>61.0</v>
      </c>
      <c r="Z68" s="114">
        <v>61.0</v>
      </c>
      <c r="AA68" s="114">
        <v>61.0</v>
      </c>
      <c r="AB68" s="114">
        <v>61.0</v>
      </c>
      <c r="AC68" s="114">
        <v>61.0</v>
      </c>
      <c r="AD68" s="114">
        <v>61.0</v>
      </c>
      <c r="AE68" s="114">
        <v>61.0</v>
      </c>
      <c r="AF68" s="114">
        <v>61.0</v>
      </c>
      <c r="AG68" s="114">
        <v>61.0</v>
      </c>
      <c r="AH68" s="114">
        <v>61.0</v>
      </c>
      <c r="AI68" s="114">
        <v>61.0</v>
      </c>
      <c r="AJ68" s="114">
        <v>61.0</v>
      </c>
      <c r="AK68" s="114">
        <v>61.0</v>
      </c>
      <c r="AL68" s="114">
        <v>61.0</v>
      </c>
      <c r="AM68" s="114">
        <v>61.0</v>
      </c>
      <c r="AN68" s="114">
        <v>61.0</v>
      </c>
      <c r="AO68" s="114">
        <v>61.0</v>
      </c>
      <c r="AP68" s="114">
        <v>61.0</v>
      </c>
      <c r="AQ68" s="114">
        <v>61.0</v>
      </c>
      <c r="AR68" s="114">
        <v>61.0</v>
      </c>
      <c r="AS68" s="114">
        <v>61.0</v>
      </c>
      <c r="AT68" s="114">
        <v>61.0</v>
      </c>
      <c r="AU68" s="114">
        <v>61.0</v>
      </c>
      <c r="AV68" s="114">
        <v>61.0</v>
      </c>
      <c r="AW68" s="114">
        <v>61.0</v>
      </c>
      <c r="AX68" s="114">
        <v>61.0</v>
      </c>
      <c r="AY68" s="114">
        <v>61.0</v>
      </c>
      <c r="AZ68" s="114">
        <v>61.0</v>
      </c>
      <c r="BA68" s="34"/>
      <c r="BB68" s="34"/>
      <c r="BC68" s="34"/>
      <c r="BD68" s="34"/>
      <c r="BE68" s="61"/>
    </row>
    <row r="69">
      <c r="A69" s="55"/>
      <c r="B69" s="55"/>
      <c r="C69" s="62" t="s">
        <v>193</v>
      </c>
      <c r="D69" s="115">
        <f t="shared" ref="D69:AZ69" si="8">SUM(D67/D68)*100</f>
        <v>95.08196721</v>
      </c>
      <c r="E69" s="115">
        <f t="shared" si="8"/>
        <v>85.24590164</v>
      </c>
      <c r="F69" s="115">
        <f t="shared" si="8"/>
        <v>85.24590164</v>
      </c>
      <c r="G69" s="115">
        <f t="shared" si="8"/>
        <v>63.93442623</v>
      </c>
      <c r="H69" s="63">
        <f t="shared" si="8"/>
        <v>68.85245902</v>
      </c>
      <c r="I69" s="63">
        <f t="shared" si="8"/>
        <v>60.6557377</v>
      </c>
      <c r="J69" s="63">
        <f t="shared" si="8"/>
        <v>54.09836066</v>
      </c>
      <c r="K69" s="63">
        <f t="shared" si="8"/>
        <v>60.6557377</v>
      </c>
      <c r="L69" s="63">
        <f t="shared" si="8"/>
        <v>0</v>
      </c>
      <c r="M69" s="63">
        <f t="shared" si="8"/>
        <v>0</v>
      </c>
      <c r="N69" s="63">
        <f t="shared" si="8"/>
        <v>0</v>
      </c>
      <c r="O69" s="63">
        <f t="shared" si="8"/>
        <v>0</v>
      </c>
      <c r="P69" s="63">
        <f t="shared" si="8"/>
        <v>0</v>
      </c>
      <c r="Q69" s="63">
        <f t="shared" si="8"/>
        <v>0</v>
      </c>
      <c r="R69" s="63">
        <f t="shared" si="8"/>
        <v>0</v>
      </c>
      <c r="S69" s="63">
        <f t="shared" si="8"/>
        <v>0</v>
      </c>
      <c r="T69" s="63">
        <f t="shared" si="8"/>
        <v>0</v>
      </c>
      <c r="U69" s="63">
        <f t="shared" si="8"/>
        <v>0</v>
      </c>
      <c r="V69" s="63">
        <f t="shared" si="8"/>
        <v>0</v>
      </c>
      <c r="W69" s="63">
        <f t="shared" si="8"/>
        <v>0</v>
      </c>
      <c r="X69" s="63">
        <f t="shared" si="8"/>
        <v>0</v>
      </c>
      <c r="Y69" s="63">
        <f t="shared" si="8"/>
        <v>0</v>
      </c>
      <c r="Z69" s="63">
        <f t="shared" si="8"/>
        <v>0</v>
      </c>
      <c r="AA69" s="63">
        <f t="shared" si="8"/>
        <v>0</v>
      </c>
      <c r="AB69" s="63">
        <f t="shared" si="8"/>
        <v>0</v>
      </c>
      <c r="AC69" s="63">
        <f t="shared" si="8"/>
        <v>0</v>
      </c>
      <c r="AD69" s="63">
        <f t="shared" si="8"/>
        <v>0</v>
      </c>
      <c r="AE69" s="63">
        <f t="shared" si="8"/>
        <v>0</v>
      </c>
      <c r="AF69" s="63">
        <f t="shared" si="8"/>
        <v>0</v>
      </c>
      <c r="AG69" s="63">
        <f t="shared" si="8"/>
        <v>0</v>
      </c>
      <c r="AH69" s="63">
        <f t="shared" si="8"/>
        <v>0</v>
      </c>
      <c r="AI69" s="63">
        <f t="shared" si="8"/>
        <v>0</v>
      </c>
      <c r="AJ69" s="63">
        <f t="shared" si="8"/>
        <v>0</v>
      </c>
      <c r="AK69" s="63">
        <f t="shared" si="8"/>
        <v>0</v>
      </c>
      <c r="AL69" s="63">
        <f t="shared" si="8"/>
        <v>0</v>
      </c>
      <c r="AM69" s="63">
        <f t="shared" si="8"/>
        <v>0</v>
      </c>
      <c r="AN69" s="63">
        <f t="shared" si="8"/>
        <v>0</v>
      </c>
      <c r="AO69" s="63">
        <f t="shared" si="8"/>
        <v>0</v>
      </c>
      <c r="AP69" s="63">
        <f t="shared" si="8"/>
        <v>0</v>
      </c>
      <c r="AQ69" s="63">
        <f t="shared" si="8"/>
        <v>0</v>
      </c>
      <c r="AR69" s="63">
        <f t="shared" si="8"/>
        <v>0</v>
      </c>
      <c r="AS69" s="63">
        <f t="shared" si="8"/>
        <v>0</v>
      </c>
      <c r="AT69" s="63">
        <f t="shared" si="8"/>
        <v>0</v>
      </c>
      <c r="AU69" s="63">
        <f t="shared" si="8"/>
        <v>0</v>
      </c>
      <c r="AV69" s="63">
        <f t="shared" si="8"/>
        <v>0</v>
      </c>
      <c r="AW69" s="63">
        <f t="shared" si="8"/>
        <v>0</v>
      </c>
      <c r="AX69" s="63">
        <f t="shared" si="8"/>
        <v>0</v>
      </c>
      <c r="AY69" s="63">
        <f t="shared" si="8"/>
        <v>0</v>
      </c>
      <c r="AZ69" s="63">
        <f t="shared" si="8"/>
        <v>0</v>
      </c>
      <c r="BA69" s="34"/>
      <c r="BB69" s="34"/>
      <c r="BC69" s="34"/>
      <c r="BD69" s="34"/>
      <c r="BE69" s="61"/>
    </row>
    <row r="70">
      <c r="A70" s="64"/>
      <c r="B70" s="64"/>
      <c r="C70" s="64"/>
      <c r="D70" s="116"/>
      <c r="E70" s="116"/>
      <c r="F70" s="116"/>
      <c r="G70" s="116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</row>
    <row r="71">
      <c r="A71" s="64"/>
      <c r="B71" s="64"/>
      <c r="C71" s="64"/>
      <c r="D71" s="116"/>
      <c r="E71" s="116"/>
      <c r="F71" s="116"/>
      <c r="G71" s="116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</row>
    <row r="72">
      <c r="A72" s="64"/>
      <c r="B72" s="64"/>
      <c r="C72" s="64"/>
      <c r="D72" s="116"/>
      <c r="E72" s="116"/>
      <c r="F72" s="116"/>
      <c r="G72" s="116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</row>
    <row r="73">
      <c r="A73" s="64"/>
      <c r="B73" s="64"/>
      <c r="C73" s="64"/>
      <c r="D73" s="116"/>
      <c r="E73" s="116"/>
      <c r="F73" s="116"/>
      <c r="G73" s="116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</row>
    <row r="74">
      <c r="A74" s="1" t="s">
        <v>484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3"/>
    </row>
    <row r="75">
      <c r="A75" s="4" t="s">
        <v>1</v>
      </c>
      <c r="B75" s="5" t="s">
        <v>2</v>
      </c>
      <c r="C75" s="6" t="s">
        <v>3</v>
      </c>
      <c r="D75" s="7" t="s">
        <v>473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3"/>
    </row>
    <row r="76" ht="62.25" customHeight="1">
      <c r="A76" s="8"/>
      <c r="B76" s="8"/>
      <c r="C76" s="8"/>
      <c r="D76" s="79" t="s">
        <v>474</v>
      </c>
      <c r="E76" s="79" t="s">
        <v>475</v>
      </c>
      <c r="F76" s="79" t="s">
        <v>475</v>
      </c>
      <c r="G76" s="79" t="s">
        <v>475</v>
      </c>
      <c r="H76" s="79" t="s">
        <v>475</v>
      </c>
      <c r="I76" s="79" t="s">
        <v>475</v>
      </c>
      <c r="J76" s="79" t="s">
        <v>475</v>
      </c>
      <c r="K76" s="117"/>
      <c r="L76" s="79"/>
      <c r="M76" s="65"/>
      <c r="N76" s="65"/>
      <c r="O76" s="65"/>
      <c r="P76" s="65"/>
      <c r="Q76" s="65"/>
      <c r="R76" s="79"/>
      <c r="S76" s="65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9"/>
      <c r="AY76" s="69"/>
      <c r="AZ76" s="68"/>
      <c r="BA76" s="18" t="s">
        <v>21</v>
      </c>
      <c r="BB76" s="19" t="s">
        <v>22</v>
      </c>
      <c r="BC76" s="20" t="s">
        <v>23</v>
      </c>
      <c r="BD76" s="21" t="s">
        <v>24</v>
      </c>
      <c r="BE76" s="22" t="s">
        <v>25</v>
      </c>
    </row>
    <row r="77" ht="57.75" customHeight="1">
      <c r="A77" s="15"/>
      <c r="B77" s="15"/>
      <c r="C77" s="15"/>
      <c r="D77" s="65" t="s">
        <v>476</v>
      </c>
      <c r="E77" s="65" t="s">
        <v>485</v>
      </c>
      <c r="F77" s="65" t="s">
        <v>486</v>
      </c>
      <c r="G77" s="79" t="s">
        <v>487</v>
      </c>
      <c r="H77" s="66" t="s">
        <v>488</v>
      </c>
      <c r="I77" s="118" t="s">
        <v>489</v>
      </c>
      <c r="J77" s="66" t="s">
        <v>490</v>
      </c>
      <c r="K77" s="119"/>
      <c r="L77" s="66"/>
      <c r="M77" s="66"/>
      <c r="N77" s="66"/>
      <c r="O77" s="66"/>
      <c r="P77" s="66"/>
      <c r="Q77" s="84"/>
      <c r="R77" s="94"/>
      <c r="S77" s="87"/>
      <c r="T77" s="69"/>
      <c r="U77" s="69"/>
      <c r="V77" s="69"/>
      <c r="W77" s="69"/>
      <c r="X77" s="69"/>
      <c r="Y77" s="69"/>
      <c r="Z77" s="69"/>
      <c r="AA77" s="68"/>
      <c r="AB77" s="68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8"/>
      <c r="BA77" s="32">
        <f t="shared" ref="BA77:BA141" si="9">COUNTIF(D77:AZ77,"L")</f>
        <v>0</v>
      </c>
      <c r="BB77" s="32">
        <f t="shared" ref="BB77:BB141" si="10">COUNTIF(D77:AZ77,"A")</f>
        <v>0</v>
      </c>
      <c r="BC77" s="32">
        <f t="shared" ref="BC77:BC141" si="11">COUNTIF(D77:AZ77,"p")</f>
        <v>0</v>
      </c>
      <c r="BD77" s="32">
        <f t="shared" ref="BD77:BD141" si="12">SUM(BA77:BC77)</f>
        <v>0</v>
      </c>
      <c r="BE77" s="33" t="str">
        <f t="shared" ref="BE77:BE141" si="13">SUM(BA77,BC77)/BD77*100</f>
        <v>#DIV/0!</v>
      </c>
    </row>
    <row r="78">
      <c r="A78" s="24">
        <v>1.0</v>
      </c>
      <c r="B78" s="24" t="s">
        <v>207</v>
      </c>
      <c r="C78" s="25" t="s">
        <v>208</v>
      </c>
      <c r="D78" s="26" t="s">
        <v>28</v>
      </c>
      <c r="E78" s="26" t="s">
        <v>28</v>
      </c>
      <c r="F78" s="26" t="s">
        <v>28</v>
      </c>
      <c r="G78" s="102" t="s">
        <v>28</v>
      </c>
      <c r="H78" s="102" t="s">
        <v>28</v>
      </c>
      <c r="I78" s="102" t="s">
        <v>28</v>
      </c>
      <c r="J78" s="102" t="s">
        <v>28</v>
      </c>
      <c r="K78" s="120"/>
      <c r="L78" s="96"/>
      <c r="M78" s="82"/>
      <c r="N78" s="96"/>
      <c r="O78" s="96"/>
      <c r="P78" s="96"/>
      <c r="Q78" s="96"/>
      <c r="R78" s="96"/>
      <c r="S78" s="96"/>
      <c r="T78" s="45"/>
      <c r="U78" s="45"/>
      <c r="V78" s="45"/>
      <c r="W78" s="45"/>
      <c r="X78" s="45"/>
      <c r="Y78" s="45"/>
      <c r="Z78" s="45"/>
      <c r="AA78" s="45"/>
      <c r="AB78" s="71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32">
        <f t="shared" si="9"/>
        <v>0</v>
      </c>
      <c r="BB78" s="32">
        <f t="shared" si="10"/>
        <v>0</v>
      </c>
      <c r="BC78" s="32">
        <f t="shared" si="11"/>
        <v>7</v>
      </c>
      <c r="BD78" s="32">
        <f t="shared" si="12"/>
        <v>7</v>
      </c>
      <c r="BE78" s="33">
        <f t="shared" si="13"/>
        <v>100</v>
      </c>
    </row>
    <row r="79">
      <c r="A79" s="24">
        <v>2.0</v>
      </c>
      <c r="B79" s="24" t="s">
        <v>209</v>
      </c>
      <c r="C79" s="25" t="s">
        <v>210</v>
      </c>
      <c r="D79" s="26" t="s">
        <v>28</v>
      </c>
      <c r="E79" s="26" t="s">
        <v>28</v>
      </c>
      <c r="F79" s="26" t="s">
        <v>28</v>
      </c>
      <c r="G79" s="104" t="s">
        <v>22</v>
      </c>
      <c r="H79" s="102" t="s">
        <v>28</v>
      </c>
      <c r="I79" s="104" t="s">
        <v>22</v>
      </c>
      <c r="J79" s="102" t="s">
        <v>28</v>
      </c>
      <c r="K79" s="120"/>
      <c r="L79" s="96"/>
      <c r="M79" s="96"/>
      <c r="N79" s="96"/>
      <c r="O79" s="96"/>
      <c r="P79" s="96"/>
      <c r="Q79" s="96"/>
      <c r="R79" s="96"/>
      <c r="S79" s="96"/>
      <c r="T79" s="45"/>
      <c r="U79" s="45"/>
      <c r="V79" s="45"/>
      <c r="W79" s="45"/>
      <c r="X79" s="45"/>
      <c r="Y79" s="45"/>
      <c r="Z79" s="45"/>
      <c r="AA79" s="45"/>
      <c r="AB79" s="46"/>
      <c r="AC79" s="46"/>
      <c r="AD79" s="46"/>
      <c r="AE79" s="55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32">
        <f t="shared" si="9"/>
        <v>0</v>
      </c>
      <c r="BB79" s="32">
        <f t="shared" si="10"/>
        <v>2</v>
      </c>
      <c r="BC79" s="32">
        <f t="shared" si="11"/>
        <v>5</v>
      </c>
      <c r="BD79" s="32">
        <f t="shared" si="12"/>
        <v>7</v>
      </c>
      <c r="BE79" s="33">
        <f t="shared" si="13"/>
        <v>71.42857143</v>
      </c>
    </row>
    <row r="80">
      <c r="A80" s="24">
        <v>3.0</v>
      </c>
      <c r="B80" s="24" t="s">
        <v>211</v>
      </c>
      <c r="C80" s="25" t="s">
        <v>212</v>
      </c>
      <c r="D80" s="26" t="s">
        <v>28</v>
      </c>
      <c r="E80" s="37" t="s">
        <v>22</v>
      </c>
      <c r="F80" s="37" t="s">
        <v>22</v>
      </c>
      <c r="G80" s="102" t="s">
        <v>28</v>
      </c>
      <c r="H80" s="102" t="s">
        <v>28</v>
      </c>
      <c r="I80" s="104" t="s">
        <v>22</v>
      </c>
      <c r="J80" s="104" t="s">
        <v>22</v>
      </c>
      <c r="K80" s="120"/>
      <c r="L80" s="96"/>
      <c r="M80" s="96"/>
      <c r="N80" s="96"/>
      <c r="O80" s="96"/>
      <c r="P80" s="96"/>
      <c r="Q80" s="96"/>
      <c r="R80" s="96"/>
      <c r="S80" s="96"/>
      <c r="T80" s="28"/>
      <c r="U80" s="29"/>
      <c r="V80" s="29"/>
      <c r="W80" s="29"/>
      <c r="X80" s="29"/>
      <c r="Y80" s="29"/>
      <c r="Z80" s="29"/>
      <c r="AA80" s="29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2">
        <f t="shared" si="9"/>
        <v>0</v>
      </c>
      <c r="BB80" s="32">
        <f t="shared" si="10"/>
        <v>4</v>
      </c>
      <c r="BC80" s="32">
        <f t="shared" si="11"/>
        <v>3</v>
      </c>
      <c r="BD80" s="32">
        <f t="shared" si="12"/>
        <v>7</v>
      </c>
      <c r="BE80" s="33">
        <f t="shared" si="13"/>
        <v>42.85714286</v>
      </c>
    </row>
    <row r="81">
      <c r="A81" s="24">
        <v>4.0</v>
      </c>
      <c r="B81" s="24" t="s">
        <v>213</v>
      </c>
      <c r="C81" s="25" t="s">
        <v>214</v>
      </c>
      <c r="D81" s="26" t="s">
        <v>28</v>
      </c>
      <c r="E81" s="37" t="s">
        <v>22</v>
      </c>
      <c r="F81" s="37" t="s">
        <v>22</v>
      </c>
      <c r="G81" s="102" t="s">
        <v>28</v>
      </c>
      <c r="H81" s="102" t="s">
        <v>28</v>
      </c>
      <c r="I81" s="104" t="s">
        <v>22</v>
      </c>
      <c r="J81" s="104" t="s">
        <v>22</v>
      </c>
      <c r="K81" s="120"/>
      <c r="L81" s="96"/>
      <c r="M81" s="96"/>
      <c r="N81" s="96"/>
      <c r="O81" s="96"/>
      <c r="P81" s="96"/>
      <c r="Q81" s="96"/>
      <c r="R81" s="96"/>
      <c r="S81" s="96"/>
      <c r="T81" s="30"/>
      <c r="U81" s="29"/>
      <c r="V81" s="29"/>
      <c r="W81" s="29"/>
      <c r="X81" s="29"/>
      <c r="Y81" s="29"/>
      <c r="Z81" s="29"/>
      <c r="AA81" s="29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2">
        <f t="shared" si="9"/>
        <v>0</v>
      </c>
      <c r="BB81" s="32">
        <f t="shared" si="10"/>
        <v>4</v>
      </c>
      <c r="BC81" s="32">
        <f t="shared" si="11"/>
        <v>3</v>
      </c>
      <c r="BD81" s="32">
        <f t="shared" si="12"/>
        <v>7</v>
      </c>
      <c r="BE81" s="33">
        <f t="shared" si="13"/>
        <v>42.85714286</v>
      </c>
    </row>
    <row r="82">
      <c r="A82" s="24">
        <v>5.0</v>
      </c>
      <c r="B82" s="24" t="s">
        <v>215</v>
      </c>
      <c r="C82" s="25" t="s">
        <v>216</v>
      </c>
      <c r="D82" s="26" t="s">
        <v>28</v>
      </c>
      <c r="E82" s="37" t="s">
        <v>22</v>
      </c>
      <c r="F82" s="26" t="s">
        <v>28</v>
      </c>
      <c r="G82" s="102" t="s">
        <v>28</v>
      </c>
      <c r="H82" s="102" t="s">
        <v>28</v>
      </c>
      <c r="I82" s="104" t="s">
        <v>22</v>
      </c>
      <c r="J82" s="104" t="s">
        <v>22</v>
      </c>
      <c r="K82" s="120"/>
      <c r="L82" s="82"/>
      <c r="M82" s="96"/>
      <c r="N82" s="96"/>
      <c r="O82" s="96"/>
      <c r="P82" s="96"/>
      <c r="Q82" s="96"/>
      <c r="R82" s="96"/>
      <c r="S82" s="82"/>
      <c r="T82" s="45"/>
      <c r="U82" s="45"/>
      <c r="V82" s="45"/>
      <c r="W82" s="45"/>
      <c r="X82" s="45"/>
      <c r="Y82" s="45"/>
      <c r="Z82" s="45"/>
      <c r="AA82" s="45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32">
        <f t="shared" si="9"/>
        <v>0</v>
      </c>
      <c r="BB82" s="32">
        <f t="shared" si="10"/>
        <v>3</v>
      </c>
      <c r="BC82" s="32">
        <f t="shared" si="11"/>
        <v>4</v>
      </c>
      <c r="BD82" s="32">
        <f t="shared" si="12"/>
        <v>7</v>
      </c>
      <c r="BE82" s="33">
        <f t="shared" si="13"/>
        <v>57.14285714</v>
      </c>
    </row>
    <row r="83">
      <c r="A83" s="24">
        <v>6.0</v>
      </c>
      <c r="B83" s="24" t="s">
        <v>217</v>
      </c>
      <c r="C83" s="25" t="s">
        <v>218</v>
      </c>
      <c r="D83" s="26" t="s">
        <v>28</v>
      </c>
      <c r="E83" s="26" t="s">
        <v>28</v>
      </c>
      <c r="F83" s="37" t="s">
        <v>22</v>
      </c>
      <c r="G83" s="102" t="s">
        <v>28</v>
      </c>
      <c r="H83" s="102" t="s">
        <v>28</v>
      </c>
      <c r="I83" s="104" t="s">
        <v>22</v>
      </c>
      <c r="J83" s="104" t="s">
        <v>22</v>
      </c>
      <c r="K83" s="120"/>
      <c r="L83" s="96"/>
      <c r="M83" s="96"/>
      <c r="N83" s="96"/>
      <c r="O83" s="96"/>
      <c r="P83" s="96"/>
      <c r="Q83" s="96"/>
      <c r="R83" s="96"/>
      <c r="S83" s="96"/>
      <c r="T83" s="45"/>
      <c r="U83" s="45"/>
      <c r="V83" s="45"/>
      <c r="W83" s="45"/>
      <c r="X83" s="45"/>
      <c r="Y83" s="45"/>
      <c r="Z83" s="45"/>
      <c r="AA83" s="45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32">
        <f t="shared" si="9"/>
        <v>0</v>
      </c>
      <c r="BB83" s="32">
        <f t="shared" si="10"/>
        <v>3</v>
      </c>
      <c r="BC83" s="32">
        <f t="shared" si="11"/>
        <v>4</v>
      </c>
      <c r="BD83" s="32">
        <f t="shared" si="12"/>
        <v>7</v>
      </c>
      <c r="BE83" s="33">
        <f t="shared" si="13"/>
        <v>57.14285714</v>
      </c>
    </row>
    <row r="84">
      <c r="A84" s="24">
        <v>7.0</v>
      </c>
      <c r="B84" s="24" t="s">
        <v>221</v>
      </c>
      <c r="C84" s="25" t="s">
        <v>222</v>
      </c>
      <c r="D84" s="26" t="s">
        <v>28</v>
      </c>
      <c r="E84" s="26" t="s">
        <v>28</v>
      </c>
      <c r="F84" s="26" t="s">
        <v>28</v>
      </c>
      <c r="G84" s="102" t="s">
        <v>28</v>
      </c>
      <c r="H84" s="102" t="s">
        <v>28</v>
      </c>
      <c r="I84" s="102" t="s">
        <v>28</v>
      </c>
      <c r="J84" s="102" t="s">
        <v>28</v>
      </c>
      <c r="K84" s="120"/>
      <c r="L84" s="96"/>
      <c r="M84" s="96"/>
      <c r="N84" s="96"/>
      <c r="O84" s="96"/>
      <c r="P84" s="96"/>
      <c r="Q84" s="96"/>
      <c r="R84" s="96"/>
      <c r="S84" s="96"/>
      <c r="T84" s="45"/>
      <c r="U84" s="45"/>
      <c r="V84" s="45"/>
      <c r="W84" s="45"/>
      <c r="X84" s="45"/>
      <c r="Y84" s="45"/>
      <c r="Z84" s="45"/>
      <c r="AA84" s="45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32">
        <f t="shared" si="9"/>
        <v>0</v>
      </c>
      <c r="BB84" s="32">
        <f t="shared" si="10"/>
        <v>0</v>
      </c>
      <c r="BC84" s="32">
        <f t="shared" si="11"/>
        <v>7</v>
      </c>
      <c r="BD84" s="32">
        <f t="shared" si="12"/>
        <v>7</v>
      </c>
      <c r="BE84" s="33">
        <f t="shared" si="13"/>
        <v>100</v>
      </c>
    </row>
    <row r="85">
      <c r="A85" s="24">
        <v>8.0</v>
      </c>
      <c r="B85" s="24" t="s">
        <v>223</v>
      </c>
      <c r="C85" s="25" t="s">
        <v>224</v>
      </c>
      <c r="D85" s="26" t="s">
        <v>28</v>
      </c>
      <c r="E85" s="26" t="s">
        <v>28</v>
      </c>
      <c r="F85" s="26" t="s">
        <v>28</v>
      </c>
      <c r="G85" s="102" t="s">
        <v>28</v>
      </c>
      <c r="H85" s="102" t="s">
        <v>28</v>
      </c>
      <c r="I85" s="102" t="s">
        <v>28</v>
      </c>
      <c r="J85" s="102" t="s">
        <v>28</v>
      </c>
      <c r="K85" s="120"/>
      <c r="L85" s="96"/>
      <c r="M85" s="96"/>
      <c r="N85" s="96"/>
      <c r="O85" s="96"/>
      <c r="P85" s="96"/>
      <c r="Q85" s="96"/>
      <c r="R85" s="96"/>
      <c r="S85" s="96"/>
      <c r="T85" s="45"/>
      <c r="U85" s="45"/>
      <c r="V85" s="45"/>
      <c r="W85" s="45"/>
      <c r="X85" s="45"/>
      <c r="Y85" s="45"/>
      <c r="Z85" s="45"/>
      <c r="AA85" s="45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32">
        <f t="shared" si="9"/>
        <v>0</v>
      </c>
      <c r="BB85" s="32">
        <f t="shared" si="10"/>
        <v>0</v>
      </c>
      <c r="BC85" s="32">
        <f t="shared" si="11"/>
        <v>7</v>
      </c>
      <c r="BD85" s="32">
        <f t="shared" si="12"/>
        <v>7</v>
      </c>
      <c r="BE85" s="33">
        <f t="shared" si="13"/>
        <v>100</v>
      </c>
    </row>
    <row r="86">
      <c r="A86" s="24">
        <v>9.0</v>
      </c>
      <c r="B86" s="24" t="s">
        <v>225</v>
      </c>
      <c r="C86" s="25" t="s">
        <v>226</v>
      </c>
      <c r="D86" s="26" t="s">
        <v>28</v>
      </c>
      <c r="E86" s="26" t="s">
        <v>28</v>
      </c>
      <c r="F86" s="26" t="s">
        <v>28</v>
      </c>
      <c r="G86" s="104" t="s">
        <v>22</v>
      </c>
      <c r="H86" s="102" t="s">
        <v>28</v>
      </c>
      <c r="I86" s="102" t="s">
        <v>28</v>
      </c>
      <c r="J86" s="102" t="s">
        <v>28</v>
      </c>
      <c r="K86" s="120"/>
      <c r="L86" s="82"/>
      <c r="M86" s="96"/>
      <c r="N86" s="96"/>
      <c r="O86" s="96"/>
      <c r="P86" s="96"/>
      <c r="Q86" s="96"/>
      <c r="R86" s="96"/>
      <c r="S86" s="96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32">
        <f t="shared" si="9"/>
        <v>0</v>
      </c>
      <c r="BB86" s="32">
        <f t="shared" si="10"/>
        <v>1</v>
      </c>
      <c r="BC86" s="32">
        <f t="shared" si="11"/>
        <v>6</v>
      </c>
      <c r="BD86" s="32">
        <f t="shared" si="12"/>
        <v>7</v>
      </c>
      <c r="BE86" s="33">
        <f t="shared" si="13"/>
        <v>85.71428571</v>
      </c>
    </row>
    <row r="87">
      <c r="A87" s="24">
        <v>10.0</v>
      </c>
      <c r="B87" s="24" t="s">
        <v>227</v>
      </c>
      <c r="C87" s="25" t="s">
        <v>228</v>
      </c>
      <c r="D87" s="26" t="s">
        <v>28</v>
      </c>
      <c r="E87" s="26" t="s">
        <v>28</v>
      </c>
      <c r="F87" s="26" t="s">
        <v>28</v>
      </c>
      <c r="G87" s="102" t="s">
        <v>28</v>
      </c>
      <c r="H87" s="102" t="s">
        <v>28</v>
      </c>
      <c r="I87" s="102" t="s">
        <v>28</v>
      </c>
      <c r="J87" s="102" t="s">
        <v>28</v>
      </c>
      <c r="K87" s="120"/>
      <c r="L87" s="96"/>
      <c r="M87" s="96"/>
      <c r="N87" s="96"/>
      <c r="O87" s="96"/>
      <c r="P87" s="96"/>
      <c r="Q87" s="96"/>
      <c r="R87" s="96"/>
      <c r="S87" s="82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32">
        <f t="shared" si="9"/>
        <v>0</v>
      </c>
      <c r="BB87" s="32">
        <f t="shared" si="10"/>
        <v>0</v>
      </c>
      <c r="BC87" s="32">
        <f t="shared" si="11"/>
        <v>7</v>
      </c>
      <c r="BD87" s="32">
        <f t="shared" si="12"/>
        <v>7</v>
      </c>
      <c r="BE87" s="33">
        <f t="shared" si="13"/>
        <v>100</v>
      </c>
    </row>
    <row r="88">
      <c r="A88" s="24">
        <v>11.0</v>
      </c>
      <c r="B88" s="47" t="s">
        <v>229</v>
      </c>
      <c r="C88" s="85" t="s">
        <v>230</v>
      </c>
      <c r="D88" s="26" t="s">
        <v>28</v>
      </c>
      <c r="E88" s="26" t="s">
        <v>28</v>
      </c>
      <c r="F88" s="26" t="s">
        <v>28</v>
      </c>
      <c r="G88" s="104" t="s">
        <v>22</v>
      </c>
      <c r="H88" s="102" t="s">
        <v>28</v>
      </c>
      <c r="I88" s="102" t="s">
        <v>28</v>
      </c>
      <c r="J88" s="104" t="s">
        <v>22</v>
      </c>
      <c r="K88" s="120"/>
      <c r="L88" s="96"/>
      <c r="M88" s="96"/>
      <c r="N88" s="96"/>
      <c r="O88" s="96"/>
      <c r="P88" s="96"/>
      <c r="Q88" s="96"/>
      <c r="R88" s="96"/>
      <c r="S88" s="96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32">
        <f t="shared" si="9"/>
        <v>0</v>
      </c>
      <c r="BB88" s="32">
        <f t="shared" si="10"/>
        <v>2</v>
      </c>
      <c r="BC88" s="32">
        <f t="shared" si="11"/>
        <v>5</v>
      </c>
      <c r="BD88" s="32">
        <f t="shared" si="12"/>
        <v>7</v>
      </c>
      <c r="BE88" s="33">
        <f t="shared" si="13"/>
        <v>71.42857143</v>
      </c>
    </row>
    <row r="89">
      <c r="A89" s="24">
        <v>12.0</v>
      </c>
      <c r="B89" s="24" t="s">
        <v>231</v>
      </c>
      <c r="C89" s="25" t="s">
        <v>232</v>
      </c>
      <c r="D89" s="26" t="s">
        <v>28</v>
      </c>
      <c r="E89" s="26" t="s">
        <v>28</v>
      </c>
      <c r="F89" s="26" t="s">
        <v>28</v>
      </c>
      <c r="G89" s="102" t="s">
        <v>28</v>
      </c>
      <c r="H89" s="102" t="s">
        <v>28</v>
      </c>
      <c r="I89" s="104" t="s">
        <v>22</v>
      </c>
      <c r="J89" s="102" t="s">
        <v>28</v>
      </c>
      <c r="K89" s="120"/>
      <c r="L89" s="96"/>
      <c r="M89" s="96"/>
      <c r="N89" s="96"/>
      <c r="O89" s="82"/>
      <c r="P89" s="96"/>
      <c r="Q89" s="96"/>
      <c r="R89" s="96"/>
      <c r="S89" s="96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32">
        <f t="shared" si="9"/>
        <v>0</v>
      </c>
      <c r="BB89" s="32">
        <f t="shared" si="10"/>
        <v>1</v>
      </c>
      <c r="BC89" s="32">
        <f t="shared" si="11"/>
        <v>6</v>
      </c>
      <c r="BD89" s="32">
        <f t="shared" si="12"/>
        <v>7</v>
      </c>
      <c r="BE89" s="33">
        <f t="shared" si="13"/>
        <v>85.71428571</v>
      </c>
    </row>
    <row r="90">
      <c r="A90" s="24">
        <v>13.0</v>
      </c>
      <c r="B90" s="72" t="s">
        <v>233</v>
      </c>
      <c r="C90" s="73" t="s">
        <v>234</v>
      </c>
      <c r="D90" s="26" t="s">
        <v>28</v>
      </c>
      <c r="E90" s="37" t="s">
        <v>22</v>
      </c>
      <c r="F90" s="26" t="s">
        <v>28</v>
      </c>
      <c r="G90" s="104" t="s">
        <v>22</v>
      </c>
      <c r="H90" s="104" t="s">
        <v>22</v>
      </c>
      <c r="I90" s="104" t="s">
        <v>22</v>
      </c>
      <c r="J90" s="104" t="s">
        <v>22</v>
      </c>
      <c r="K90" s="120"/>
      <c r="L90" s="82"/>
      <c r="M90" s="96"/>
      <c r="N90" s="82"/>
      <c r="O90" s="96"/>
      <c r="P90" s="82"/>
      <c r="Q90" s="96"/>
      <c r="R90" s="96"/>
      <c r="S90" s="82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32">
        <f t="shared" si="9"/>
        <v>0</v>
      </c>
      <c r="BB90" s="32">
        <f t="shared" si="10"/>
        <v>5</v>
      </c>
      <c r="BC90" s="32">
        <f t="shared" si="11"/>
        <v>2</v>
      </c>
      <c r="BD90" s="32">
        <f t="shared" si="12"/>
        <v>7</v>
      </c>
      <c r="BE90" s="33">
        <f t="shared" si="13"/>
        <v>28.57142857</v>
      </c>
    </row>
    <row r="91">
      <c r="A91" s="24">
        <v>14.0</v>
      </c>
      <c r="B91" s="24" t="s">
        <v>235</v>
      </c>
      <c r="C91" s="25" t="s">
        <v>236</v>
      </c>
      <c r="D91" s="26" t="s">
        <v>28</v>
      </c>
      <c r="E91" s="26" t="s">
        <v>28</v>
      </c>
      <c r="F91" s="26" t="s">
        <v>28</v>
      </c>
      <c r="G91" s="102" t="s">
        <v>28</v>
      </c>
      <c r="H91" s="102" t="s">
        <v>28</v>
      </c>
      <c r="I91" s="102" t="s">
        <v>28</v>
      </c>
      <c r="J91" s="102" t="s">
        <v>28</v>
      </c>
      <c r="K91" s="120"/>
      <c r="L91" s="96"/>
      <c r="M91" s="96"/>
      <c r="N91" s="96"/>
      <c r="O91" s="96"/>
      <c r="P91" s="96"/>
      <c r="Q91" s="96"/>
      <c r="R91" s="96"/>
      <c r="S91" s="96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32">
        <f t="shared" si="9"/>
        <v>0</v>
      </c>
      <c r="BB91" s="32">
        <f t="shared" si="10"/>
        <v>0</v>
      </c>
      <c r="BC91" s="32">
        <f t="shared" si="11"/>
        <v>7</v>
      </c>
      <c r="BD91" s="32">
        <f t="shared" si="12"/>
        <v>7</v>
      </c>
      <c r="BE91" s="33">
        <f t="shared" si="13"/>
        <v>100</v>
      </c>
    </row>
    <row r="92">
      <c r="A92" s="24">
        <v>15.0</v>
      </c>
      <c r="B92" s="24" t="s">
        <v>237</v>
      </c>
      <c r="C92" s="25" t="s">
        <v>238</v>
      </c>
      <c r="D92" s="26" t="s">
        <v>28</v>
      </c>
      <c r="E92" s="26" t="s">
        <v>28</v>
      </c>
      <c r="F92" s="26" t="s">
        <v>28</v>
      </c>
      <c r="G92" s="102" t="s">
        <v>28</v>
      </c>
      <c r="H92" s="102" t="s">
        <v>28</v>
      </c>
      <c r="I92" s="102" t="s">
        <v>28</v>
      </c>
      <c r="J92" s="102" t="s">
        <v>28</v>
      </c>
      <c r="K92" s="120"/>
      <c r="L92" s="82"/>
      <c r="M92" s="96"/>
      <c r="N92" s="96"/>
      <c r="O92" s="96"/>
      <c r="P92" s="82"/>
      <c r="Q92" s="96"/>
      <c r="R92" s="96"/>
      <c r="S92" s="96"/>
      <c r="T92" s="45"/>
      <c r="U92" s="45"/>
      <c r="V92" s="45"/>
      <c r="W92" s="45"/>
      <c r="X92" s="45"/>
      <c r="Y92" s="45"/>
      <c r="Z92" s="45"/>
      <c r="AA92" s="45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32">
        <f t="shared" si="9"/>
        <v>0</v>
      </c>
      <c r="BB92" s="32">
        <f t="shared" si="10"/>
        <v>0</v>
      </c>
      <c r="BC92" s="32">
        <f t="shared" si="11"/>
        <v>7</v>
      </c>
      <c r="BD92" s="32">
        <f t="shared" si="12"/>
        <v>7</v>
      </c>
      <c r="BE92" s="33">
        <f t="shared" si="13"/>
        <v>100</v>
      </c>
    </row>
    <row r="93">
      <c r="A93" s="24">
        <v>16.0</v>
      </c>
      <c r="B93" s="24" t="s">
        <v>239</v>
      </c>
      <c r="C93" s="25" t="s">
        <v>240</v>
      </c>
      <c r="D93" s="26" t="s">
        <v>28</v>
      </c>
      <c r="E93" s="26" t="s">
        <v>28</v>
      </c>
      <c r="F93" s="26" t="s">
        <v>28</v>
      </c>
      <c r="G93" s="104" t="s">
        <v>22</v>
      </c>
      <c r="H93" s="104" t="s">
        <v>22</v>
      </c>
      <c r="I93" s="104" t="s">
        <v>22</v>
      </c>
      <c r="J93" s="102" t="s">
        <v>28</v>
      </c>
      <c r="K93" s="120"/>
      <c r="L93" s="82"/>
      <c r="M93" s="96"/>
      <c r="N93" s="96"/>
      <c r="O93" s="96"/>
      <c r="P93" s="82"/>
      <c r="Q93" s="96"/>
      <c r="R93" s="96"/>
      <c r="S93" s="82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32">
        <f t="shared" si="9"/>
        <v>0</v>
      </c>
      <c r="BB93" s="32">
        <f t="shared" si="10"/>
        <v>3</v>
      </c>
      <c r="BC93" s="32">
        <f t="shared" si="11"/>
        <v>4</v>
      </c>
      <c r="BD93" s="32">
        <f t="shared" si="12"/>
        <v>7</v>
      </c>
      <c r="BE93" s="33">
        <f t="shared" si="13"/>
        <v>57.14285714</v>
      </c>
    </row>
    <row r="94">
      <c r="A94" s="24">
        <v>17.0</v>
      </c>
      <c r="B94" s="47" t="s">
        <v>241</v>
      </c>
      <c r="C94" s="85" t="s">
        <v>242</v>
      </c>
      <c r="D94" s="37" t="s">
        <v>22</v>
      </c>
      <c r="E94" s="37" t="s">
        <v>22</v>
      </c>
      <c r="F94" s="37" t="s">
        <v>22</v>
      </c>
      <c r="G94" s="104" t="s">
        <v>22</v>
      </c>
      <c r="H94" s="102" t="s">
        <v>28</v>
      </c>
      <c r="I94" s="102" t="s">
        <v>28</v>
      </c>
      <c r="J94" s="104" t="s">
        <v>22</v>
      </c>
      <c r="K94" s="120"/>
      <c r="L94" s="82"/>
      <c r="M94" s="82"/>
      <c r="N94" s="96"/>
      <c r="O94" s="82"/>
      <c r="P94" s="82"/>
      <c r="Q94" s="96"/>
      <c r="R94" s="96"/>
      <c r="S94" s="82"/>
      <c r="T94" s="45"/>
      <c r="U94" s="45"/>
      <c r="V94" s="45"/>
      <c r="W94" s="45"/>
      <c r="X94" s="45"/>
      <c r="Y94" s="45"/>
      <c r="Z94" s="45"/>
      <c r="AA94" s="45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32">
        <f t="shared" si="9"/>
        <v>0</v>
      </c>
      <c r="BB94" s="32">
        <f t="shared" si="10"/>
        <v>5</v>
      </c>
      <c r="BC94" s="32">
        <f t="shared" si="11"/>
        <v>2</v>
      </c>
      <c r="BD94" s="32">
        <f t="shared" si="12"/>
        <v>7</v>
      </c>
      <c r="BE94" s="33">
        <f t="shared" si="13"/>
        <v>28.57142857</v>
      </c>
    </row>
    <row r="95">
      <c r="A95" s="24">
        <v>18.0</v>
      </c>
      <c r="B95" s="47" t="s">
        <v>243</v>
      </c>
      <c r="C95" s="25" t="s">
        <v>244</v>
      </c>
      <c r="D95" s="26" t="s">
        <v>28</v>
      </c>
      <c r="E95" s="37" t="s">
        <v>22</v>
      </c>
      <c r="F95" s="26" t="s">
        <v>28</v>
      </c>
      <c r="G95" s="104" t="s">
        <v>22</v>
      </c>
      <c r="H95" s="102" t="s">
        <v>28</v>
      </c>
      <c r="I95" s="104" t="s">
        <v>22</v>
      </c>
      <c r="J95" s="102" t="s">
        <v>28</v>
      </c>
      <c r="K95" s="120"/>
      <c r="L95" s="96"/>
      <c r="M95" s="96"/>
      <c r="N95" s="96"/>
      <c r="O95" s="96"/>
      <c r="P95" s="96"/>
      <c r="Q95" s="96"/>
      <c r="R95" s="96"/>
      <c r="S95" s="82"/>
      <c r="T95" s="45"/>
      <c r="U95" s="45"/>
      <c r="V95" s="45"/>
      <c r="W95" s="45"/>
      <c r="X95" s="45"/>
      <c r="Y95" s="45"/>
      <c r="Z95" s="45"/>
      <c r="AA95" s="45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32">
        <f t="shared" si="9"/>
        <v>0</v>
      </c>
      <c r="BB95" s="32">
        <f t="shared" si="10"/>
        <v>3</v>
      </c>
      <c r="BC95" s="32">
        <f t="shared" si="11"/>
        <v>4</v>
      </c>
      <c r="BD95" s="32">
        <f t="shared" si="12"/>
        <v>7</v>
      </c>
      <c r="BE95" s="33">
        <f t="shared" si="13"/>
        <v>57.14285714</v>
      </c>
    </row>
    <row r="96">
      <c r="A96" s="24">
        <v>19.0</v>
      </c>
      <c r="B96" s="24" t="s">
        <v>245</v>
      </c>
      <c r="C96" s="25" t="s">
        <v>246</v>
      </c>
      <c r="D96" s="37" t="s">
        <v>22</v>
      </c>
      <c r="E96" s="26" t="s">
        <v>28</v>
      </c>
      <c r="F96" s="26" t="s">
        <v>28</v>
      </c>
      <c r="G96" s="102" t="s">
        <v>28</v>
      </c>
      <c r="H96" s="102" t="s">
        <v>28</v>
      </c>
      <c r="I96" s="102" t="s">
        <v>28</v>
      </c>
      <c r="J96" s="102" t="s">
        <v>28</v>
      </c>
      <c r="K96" s="120"/>
      <c r="L96" s="106"/>
      <c r="M96" s="106"/>
      <c r="N96" s="106"/>
      <c r="O96" s="106"/>
      <c r="P96" s="106"/>
      <c r="Q96" s="106"/>
      <c r="R96" s="107"/>
      <c r="S96" s="107"/>
      <c r="T96" s="121"/>
      <c r="U96" s="121"/>
      <c r="V96" s="121"/>
      <c r="W96" s="121"/>
      <c r="X96" s="121"/>
      <c r="Y96" s="121"/>
      <c r="Z96" s="121"/>
      <c r="AA96" s="121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10">
        <f t="shared" si="9"/>
        <v>0</v>
      </c>
      <c r="BB96" s="110">
        <f t="shared" si="10"/>
        <v>1</v>
      </c>
      <c r="BC96" s="110">
        <f t="shared" si="11"/>
        <v>6</v>
      </c>
      <c r="BD96" s="110">
        <f t="shared" si="12"/>
        <v>7</v>
      </c>
      <c r="BE96" s="111">
        <f t="shared" si="13"/>
        <v>85.71428571</v>
      </c>
    </row>
    <row r="97">
      <c r="A97" s="24">
        <v>20.0</v>
      </c>
      <c r="B97" s="24" t="s">
        <v>247</v>
      </c>
      <c r="C97" s="25" t="s">
        <v>248</v>
      </c>
      <c r="D97" s="37" t="s">
        <v>22</v>
      </c>
      <c r="E97" s="26" t="s">
        <v>28</v>
      </c>
      <c r="F97" s="26" t="s">
        <v>28</v>
      </c>
      <c r="G97" s="102" t="s">
        <v>28</v>
      </c>
      <c r="H97" s="102" t="s">
        <v>28</v>
      </c>
      <c r="I97" s="104" t="s">
        <v>22</v>
      </c>
      <c r="J97" s="102" t="s">
        <v>28</v>
      </c>
      <c r="K97" s="120"/>
      <c r="L97" s="96"/>
      <c r="M97" s="82"/>
      <c r="N97" s="96"/>
      <c r="O97" s="96"/>
      <c r="P97" s="96"/>
      <c r="Q97" s="82"/>
      <c r="R97" s="96"/>
      <c r="S97" s="96"/>
      <c r="T97" s="45"/>
      <c r="U97" s="45"/>
      <c r="V97" s="45"/>
      <c r="W97" s="45"/>
      <c r="X97" s="45"/>
      <c r="Y97" s="45"/>
      <c r="Z97" s="45"/>
      <c r="AA97" s="45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32">
        <f t="shared" si="9"/>
        <v>0</v>
      </c>
      <c r="BB97" s="32">
        <f t="shared" si="10"/>
        <v>2</v>
      </c>
      <c r="BC97" s="32">
        <f t="shared" si="11"/>
        <v>5</v>
      </c>
      <c r="BD97" s="32">
        <f t="shared" si="12"/>
        <v>7</v>
      </c>
      <c r="BE97" s="33">
        <f t="shared" si="13"/>
        <v>71.42857143</v>
      </c>
    </row>
    <row r="98">
      <c r="A98" s="24">
        <v>21.0</v>
      </c>
      <c r="B98" s="24" t="s">
        <v>249</v>
      </c>
      <c r="C98" s="25" t="s">
        <v>250</v>
      </c>
      <c r="D98" s="37" t="s">
        <v>22</v>
      </c>
      <c r="E98" s="26" t="s">
        <v>28</v>
      </c>
      <c r="F98" s="26" t="s">
        <v>28</v>
      </c>
      <c r="G98" s="102" t="s">
        <v>28</v>
      </c>
      <c r="H98" s="104" t="s">
        <v>22</v>
      </c>
      <c r="I98" s="102" t="s">
        <v>28</v>
      </c>
      <c r="J98" s="104" t="s">
        <v>22</v>
      </c>
      <c r="K98" s="120"/>
      <c r="L98" s="96"/>
      <c r="M98" s="82"/>
      <c r="N98" s="82"/>
      <c r="O98" s="96"/>
      <c r="P98" s="96"/>
      <c r="Q98" s="96"/>
      <c r="R98" s="96"/>
      <c r="S98" s="96"/>
      <c r="T98" s="45"/>
      <c r="U98" s="45"/>
      <c r="V98" s="45"/>
      <c r="W98" s="45"/>
      <c r="X98" s="45"/>
      <c r="Y98" s="45"/>
      <c r="Z98" s="45"/>
      <c r="AA98" s="45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32">
        <f t="shared" si="9"/>
        <v>0</v>
      </c>
      <c r="BB98" s="32">
        <f t="shared" si="10"/>
        <v>3</v>
      </c>
      <c r="BC98" s="32">
        <f t="shared" si="11"/>
        <v>4</v>
      </c>
      <c r="BD98" s="32">
        <f t="shared" si="12"/>
        <v>7</v>
      </c>
      <c r="BE98" s="33">
        <f t="shared" si="13"/>
        <v>57.14285714</v>
      </c>
    </row>
    <row r="99">
      <c r="A99" s="24">
        <v>22.0</v>
      </c>
      <c r="B99" s="24" t="s">
        <v>253</v>
      </c>
      <c r="C99" s="25" t="s">
        <v>254</v>
      </c>
      <c r="D99" s="26" t="s">
        <v>28</v>
      </c>
      <c r="E99" s="26" t="s">
        <v>28</v>
      </c>
      <c r="F99" s="37" t="s">
        <v>22</v>
      </c>
      <c r="G99" s="104" t="s">
        <v>22</v>
      </c>
      <c r="H99" s="102" t="s">
        <v>28</v>
      </c>
      <c r="I99" s="102" t="s">
        <v>28</v>
      </c>
      <c r="J99" s="104" t="s">
        <v>22</v>
      </c>
      <c r="K99" s="120"/>
      <c r="L99" s="82"/>
      <c r="M99" s="96"/>
      <c r="N99" s="82"/>
      <c r="O99" s="96"/>
      <c r="P99" s="96"/>
      <c r="Q99" s="96"/>
      <c r="R99" s="96"/>
      <c r="S99" s="82"/>
      <c r="T99" s="45"/>
      <c r="U99" s="45"/>
      <c r="V99" s="45"/>
      <c r="W99" s="45"/>
      <c r="X99" s="45"/>
      <c r="Y99" s="45"/>
      <c r="Z99" s="45"/>
      <c r="AA99" s="45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32">
        <f t="shared" si="9"/>
        <v>0</v>
      </c>
      <c r="BB99" s="32">
        <f t="shared" si="10"/>
        <v>3</v>
      </c>
      <c r="BC99" s="32">
        <f t="shared" si="11"/>
        <v>4</v>
      </c>
      <c r="BD99" s="32">
        <f t="shared" si="12"/>
        <v>7</v>
      </c>
      <c r="BE99" s="33">
        <f t="shared" si="13"/>
        <v>57.14285714</v>
      </c>
    </row>
    <row r="100">
      <c r="A100" s="24">
        <v>23.0</v>
      </c>
      <c r="B100" s="24" t="s">
        <v>255</v>
      </c>
      <c r="C100" s="25" t="s">
        <v>256</v>
      </c>
      <c r="D100" s="26" t="s">
        <v>28</v>
      </c>
      <c r="E100" s="26" t="s">
        <v>28</v>
      </c>
      <c r="F100" s="26" t="s">
        <v>28</v>
      </c>
      <c r="G100" s="104" t="s">
        <v>22</v>
      </c>
      <c r="H100" s="102" t="s">
        <v>28</v>
      </c>
      <c r="I100" s="102" t="s">
        <v>28</v>
      </c>
      <c r="J100" s="104" t="s">
        <v>22</v>
      </c>
      <c r="K100" s="120"/>
      <c r="L100" s="96"/>
      <c r="M100" s="96"/>
      <c r="N100" s="82"/>
      <c r="O100" s="96"/>
      <c r="P100" s="96"/>
      <c r="Q100" s="96"/>
      <c r="R100" s="96"/>
      <c r="S100" s="82"/>
      <c r="T100" s="45"/>
      <c r="U100" s="45"/>
      <c r="V100" s="45"/>
      <c r="W100" s="45"/>
      <c r="X100" s="45"/>
      <c r="Y100" s="45"/>
      <c r="Z100" s="45"/>
      <c r="AA100" s="45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32">
        <f t="shared" si="9"/>
        <v>0</v>
      </c>
      <c r="BB100" s="32">
        <f t="shared" si="10"/>
        <v>2</v>
      </c>
      <c r="BC100" s="32">
        <f t="shared" si="11"/>
        <v>5</v>
      </c>
      <c r="BD100" s="32">
        <f t="shared" si="12"/>
        <v>7</v>
      </c>
      <c r="BE100" s="33">
        <f t="shared" si="13"/>
        <v>71.42857143</v>
      </c>
    </row>
    <row r="101">
      <c r="A101" s="24">
        <v>24.0</v>
      </c>
      <c r="B101" s="24" t="s">
        <v>257</v>
      </c>
      <c r="C101" s="25" t="s">
        <v>258</v>
      </c>
      <c r="D101" s="26" t="s">
        <v>28</v>
      </c>
      <c r="E101" s="26" t="s">
        <v>28</v>
      </c>
      <c r="F101" s="26" t="s">
        <v>28</v>
      </c>
      <c r="G101" s="102" t="s">
        <v>28</v>
      </c>
      <c r="H101" s="102" t="s">
        <v>28</v>
      </c>
      <c r="I101" s="102" t="s">
        <v>28</v>
      </c>
      <c r="J101" s="102" t="s">
        <v>28</v>
      </c>
      <c r="K101" s="120"/>
      <c r="L101" s="96"/>
      <c r="M101" s="96"/>
      <c r="N101" s="96"/>
      <c r="O101" s="96"/>
      <c r="P101" s="96"/>
      <c r="Q101" s="96"/>
      <c r="R101" s="96"/>
      <c r="S101" s="82"/>
      <c r="T101" s="45"/>
      <c r="U101" s="45"/>
      <c r="V101" s="45"/>
      <c r="W101" s="45"/>
      <c r="X101" s="45"/>
      <c r="Y101" s="45"/>
      <c r="Z101" s="45"/>
      <c r="AA101" s="45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32">
        <f t="shared" si="9"/>
        <v>0</v>
      </c>
      <c r="BB101" s="32">
        <f t="shared" si="10"/>
        <v>0</v>
      </c>
      <c r="BC101" s="32">
        <f t="shared" si="11"/>
        <v>7</v>
      </c>
      <c r="BD101" s="32">
        <f t="shared" si="12"/>
        <v>7</v>
      </c>
      <c r="BE101" s="33">
        <f t="shared" si="13"/>
        <v>100</v>
      </c>
    </row>
    <row r="102">
      <c r="A102" s="24">
        <v>25.0</v>
      </c>
      <c r="B102" s="24" t="s">
        <v>259</v>
      </c>
      <c r="C102" s="25" t="s">
        <v>260</v>
      </c>
      <c r="D102" s="26" t="s">
        <v>28</v>
      </c>
      <c r="E102" s="26" t="s">
        <v>28</v>
      </c>
      <c r="F102" s="26" t="s">
        <v>28</v>
      </c>
      <c r="G102" s="102" t="s">
        <v>28</v>
      </c>
      <c r="H102" s="102" t="s">
        <v>28</v>
      </c>
      <c r="I102" s="102" t="s">
        <v>28</v>
      </c>
      <c r="J102" s="104" t="s">
        <v>22</v>
      </c>
      <c r="K102" s="120"/>
      <c r="L102" s="96"/>
      <c r="M102" s="96"/>
      <c r="N102" s="96"/>
      <c r="O102" s="96"/>
      <c r="P102" s="96"/>
      <c r="Q102" s="96"/>
      <c r="R102" s="96"/>
      <c r="S102" s="96"/>
      <c r="T102" s="45"/>
      <c r="U102" s="45"/>
      <c r="V102" s="45"/>
      <c r="W102" s="45"/>
      <c r="X102" s="45"/>
      <c r="Y102" s="45"/>
      <c r="Z102" s="45"/>
      <c r="AA102" s="45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32">
        <f t="shared" si="9"/>
        <v>0</v>
      </c>
      <c r="BB102" s="32">
        <f t="shared" si="10"/>
        <v>1</v>
      </c>
      <c r="BC102" s="32">
        <f t="shared" si="11"/>
        <v>6</v>
      </c>
      <c r="BD102" s="32">
        <f t="shared" si="12"/>
        <v>7</v>
      </c>
      <c r="BE102" s="33">
        <f t="shared" si="13"/>
        <v>85.71428571</v>
      </c>
    </row>
    <row r="103">
      <c r="A103" s="24">
        <v>26.0</v>
      </c>
      <c r="B103" s="24" t="s">
        <v>261</v>
      </c>
      <c r="C103" s="25" t="s">
        <v>262</v>
      </c>
      <c r="D103" s="37" t="s">
        <v>22</v>
      </c>
      <c r="E103" s="37" t="s">
        <v>22</v>
      </c>
      <c r="F103" s="26" t="s">
        <v>28</v>
      </c>
      <c r="G103" s="102" t="s">
        <v>28</v>
      </c>
      <c r="H103" s="104" t="s">
        <v>22</v>
      </c>
      <c r="I103" s="104" t="s">
        <v>22</v>
      </c>
      <c r="J103" s="104" t="s">
        <v>22</v>
      </c>
      <c r="K103" s="120"/>
      <c r="L103" s="96"/>
      <c r="M103" s="96"/>
      <c r="N103" s="96"/>
      <c r="O103" s="96"/>
      <c r="P103" s="96"/>
      <c r="Q103" s="96"/>
      <c r="R103" s="96"/>
      <c r="S103" s="82"/>
      <c r="T103" s="45"/>
      <c r="U103" s="45"/>
      <c r="V103" s="45"/>
      <c r="W103" s="45"/>
      <c r="X103" s="45"/>
      <c r="Y103" s="45"/>
      <c r="Z103" s="45"/>
      <c r="AA103" s="45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32">
        <f t="shared" si="9"/>
        <v>0</v>
      </c>
      <c r="BB103" s="32">
        <f t="shared" si="10"/>
        <v>5</v>
      </c>
      <c r="BC103" s="32">
        <f t="shared" si="11"/>
        <v>2</v>
      </c>
      <c r="BD103" s="32">
        <f t="shared" si="12"/>
        <v>7</v>
      </c>
      <c r="BE103" s="33">
        <f t="shared" si="13"/>
        <v>28.57142857</v>
      </c>
    </row>
    <row r="104">
      <c r="A104" s="24">
        <v>27.0</v>
      </c>
      <c r="B104" s="24" t="s">
        <v>263</v>
      </c>
      <c r="C104" s="25" t="s">
        <v>264</v>
      </c>
      <c r="D104" s="26" t="s">
        <v>28</v>
      </c>
      <c r="E104" s="26" t="s">
        <v>28</v>
      </c>
      <c r="F104" s="26" t="s">
        <v>28</v>
      </c>
      <c r="G104" s="102" t="s">
        <v>28</v>
      </c>
      <c r="H104" s="102" t="s">
        <v>28</v>
      </c>
      <c r="I104" s="102" t="s">
        <v>28</v>
      </c>
      <c r="J104" s="104" t="s">
        <v>22</v>
      </c>
      <c r="K104" s="120"/>
      <c r="L104" s="96"/>
      <c r="M104" s="96"/>
      <c r="N104" s="82"/>
      <c r="O104" s="96"/>
      <c r="P104" s="96"/>
      <c r="Q104" s="96"/>
      <c r="R104" s="96"/>
      <c r="S104" s="96"/>
      <c r="T104" s="45"/>
      <c r="U104" s="45"/>
      <c r="V104" s="45"/>
      <c r="W104" s="45"/>
      <c r="X104" s="45"/>
      <c r="Y104" s="45"/>
      <c r="Z104" s="45"/>
      <c r="AA104" s="45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32">
        <f t="shared" si="9"/>
        <v>0</v>
      </c>
      <c r="BB104" s="32">
        <f t="shared" si="10"/>
        <v>1</v>
      </c>
      <c r="BC104" s="32">
        <f t="shared" si="11"/>
        <v>6</v>
      </c>
      <c r="BD104" s="32">
        <f t="shared" si="12"/>
        <v>7</v>
      </c>
      <c r="BE104" s="33">
        <f t="shared" si="13"/>
        <v>85.71428571</v>
      </c>
    </row>
    <row r="105">
      <c r="A105" s="24">
        <v>28.0</v>
      </c>
      <c r="B105" s="24" t="s">
        <v>265</v>
      </c>
      <c r="C105" s="25" t="s">
        <v>266</v>
      </c>
      <c r="D105" s="26" t="s">
        <v>28</v>
      </c>
      <c r="E105" s="37" t="s">
        <v>22</v>
      </c>
      <c r="F105" s="26" t="s">
        <v>28</v>
      </c>
      <c r="G105" s="104" t="s">
        <v>22</v>
      </c>
      <c r="H105" s="102" t="s">
        <v>28</v>
      </c>
      <c r="I105" s="102" t="s">
        <v>28</v>
      </c>
      <c r="J105" s="102" t="s">
        <v>28</v>
      </c>
      <c r="K105" s="120"/>
      <c r="L105" s="96"/>
      <c r="M105" s="96"/>
      <c r="N105" s="96"/>
      <c r="O105" s="96"/>
      <c r="P105" s="96"/>
      <c r="Q105" s="96"/>
      <c r="R105" s="96"/>
      <c r="S105" s="82"/>
      <c r="T105" s="45"/>
      <c r="U105" s="45"/>
      <c r="V105" s="45"/>
      <c r="W105" s="45"/>
      <c r="X105" s="45"/>
      <c r="Y105" s="45"/>
      <c r="Z105" s="45"/>
      <c r="AA105" s="45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32">
        <f t="shared" si="9"/>
        <v>0</v>
      </c>
      <c r="BB105" s="32">
        <f t="shared" si="10"/>
        <v>2</v>
      </c>
      <c r="BC105" s="32">
        <f t="shared" si="11"/>
        <v>5</v>
      </c>
      <c r="BD105" s="32">
        <f t="shared" si="12"/>
        <v>7</v>
      </c>
      <c r="BE105" s="33">
        <f t="shared" si="13"/>
        <v>71.42857143</v>
      </c>
    </row>
    <row r="106">
      <c r="A106" s="24">
        <v>29.0</v>
      </c>
      <c r="B106" s="24" t="s">
        <v>269</v>
      </c>
      <c r="C106" s="25" t="s">
        <v>270</v>
      </c>
      <c r="D106" s="26" t="s">
        <v>28</v>
      </c>
      <c r="E106" s="26" t="s">
        <v>28</v>
      </c>
      <c r="F106" s="26" t="s">
        <v>28</v>
      </c>
      <c r="G106" s="102" t="s">
        <v>28</v>
      </c>
      <c r="H106" s="104" t="s">
        <v>22</v>
      </c>
      <c r="I106" s="102" t="s">
        <v>28</v>
      </c>
      <c r="J106" s="102" t="s">
        <v>28</v>
      </c>
      <c r="K106" s="120"/>
      <c r="L106" s="96"/>
      <c r="M106" s="96"/>
      <c r="N106" s="96"/>
      <c r="O106" s="96"/>
      <c r="P106" s="96"/>
      <c r="Q106" s="96"/>
      <c r="R106" s="96"/>
      <c r="S106" s="82"/>
      <c r="T106" s="45"/>
      <c r="U106" s="45"/>
      <c r="V106" s="45"/>
      <c r="W106" s="45"/>
      <c r="X106" s="45"/>
      <c r="Y106" s="45"/>
      <c r="Z106" s="45"/>
      <c r="AA106" s="45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32">
        <f t="shared" si="9"/>
        <v>0</v>
      </c>
      <c r="BB106" s="32">
        <f t="shared" si="10"/>
        <v>1</v>
      </c>
      <c r="BC106" s="32">
        <f t="shared" si="11"/>
        <v>6</v>
      </c>
      <c r="BD106" s="32">
        <f t="shared" si="12"/>
        <v>7</v>
      </c>
      <c r="BE106" s="33">
        <f t="shared" si="13"/>
        <v>85.71428571</v>
      </c>
    </row>
    <row r="107">
      <c r="A107" s="24">
        <v>30.0</v>
      </c>
      <c r="B107" s="24" t="s">
        <v>271</v>
      </c>
      <c r="C107" s="25" t="s">
        <v>272</v>
      </c>
      <c r="D107" s="26" t="s">
        <v>28</v>
      </c>
      <c r="E107" s="26" t="s">
        <v>28</v>
      </c>
      <c r="F107" s="26" t="s">
        <v>28</v>
      </c>
      <c r="G107" s="102" t="s">
        <v>28</v>
      </c>
      <c r="H107" s="102" t="s">
        <v>28</v>
      </c>
      <c r="I107" s="102" t="s">
        <v>28</v>
      </c>
      <c r="J107" s="102" t="s">
        <v>28</v>
      </c>
      <c r="K107" s="120"/>
      <c r="L107" s="96"/>
      <c r="M107" s="96"/>
      <c r="N107" s="96"/>
      <c r="O107" s="96"/>
      <c r="P107" s="96"/>
      <c r="Q107" s="96"/>
      <c r="R107" s="96"/>
      <c r="S107" s="82"/>
      <c r="T107" s="45"/>
      <c r="U107" s="45"/>
      <c r="V107" s="45"/>
      <c r="W107" s="45"/>
      <c r="X107" s="45"/>
      <c r="Y107" s="45"/>
      <c r="Z107" s="45"/>
      <c r="AA107" s="45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32">
        <f t="shared" si="9"/>
        <v>0</v>
      </c>
      <c r="BB107" s="32">
        <f t="shared" si="10"/>
        <v>0</v>
      </c>
      <c r="BC107" s="32">
        <f t="shared" si="11"/>
        <v>7</v>
      </c>
      <c r="BD107" s="32">
        <f t="shared" si="12"/>
        <v>7</v>
      </c>
      <c r="BE107" s="33">
        <f t="shared" si="13"/>
        <v>100</v>
      </c>
    </row>
    <row r="108">
      <c r="A108" s="24">
        <v>31.0</v>
      </c>
      <c r="B108" s="24" t="s">
        <v>273</v>
      </c>
      <c r="C108" s="25" t="s">
        <v>274</v>
      </c>
      <c r="D108" s="26" t="s">
        <v>28</v>
      </c>
      <c r="E108" s="26" t="s">
        <v>28</v>
      </c>
      <c r="F108" s="26" t="s">
        <v>28</v>
      </c>
      <c r="G108" s="102" t="s">
        <v>28</v>
      </c>
      <c r="H108" s="102" t="s">
        <v>28</v>
      </c>
      <c r="I108" s="102" t="s">
        <v>28</v>
      </c>
      <c r="J108" s="102" t="s">
        <v>28</v>
      </c>
      <c r="K108" s="120"/>
      <c r="L108" s="96"/>
      <c r="M108" s="96"/>
      <c r="N108" s="96"/>
      <c r="O108" s="96"/>
      <c r="P108" s="96"/>
      <c r="Q108" s="96"/>
      <c r="R108" s="96"/>
      <c r="S108" s="82"/>
      <c r="T108" s="45"/>
      <c r="U108" s="45"/>
      <c r="V108" s="45"/>
      <c r="W108" s="45"/>
      <c r="X108" s="45"/>
      <c r="Y108" s="45"/>
      <c r="Z108" s="45"/>
      <c r="AA108" s="45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32">
        <f t="shared" si="9"/>
        <v>0</v>
      </c>
      <c r="BB108" s="32">
        <f t="shared" si="10"/>
        <v>0</v>
      </c>
      <c r="BC108" s="32">
        <f t="shared" si="11"/>
        <v>7</v>
      </c>
      <c r="BD108" s="32">
        <f t="shared" si="12"/>
        <v>7</v>
      </c>
      <c r="BE108" s="33">
        <f t="shared" si="13"/>
        <v>100</v>
      </c>
    </row>
    <row r="109">
      <c r="A109" s="24">
        <v>32.0</v>
      </c>
      <c r="B109" s="24" t="s">
        <v>275</v>
      </c>
      <c r="C109" s="25" t="s">
        <v>276</v>
      </c>
      <c r="D109" s="26" t="s">
        <v>28</v>
      </c>
      <c r="E109" s="26" t="s">
        <v>28</v>
      </c>
      <c r="F109" s="26" t="s">
        <v>28</v>
      </c>
      <c r="G109" s="102" t="s">
        <v>28</v>
      </c>
      <c r="H109" s="102" t="s">
        <v>28</v>
      </c>
      <c r="I109" s="102" t="s">
        <v>28</v>
      </c>
      <c r="J109" s="102" t="s">
        <v>28</v>
      </c>
      <c r="K109" s="120"/>
      <c r="L109" s="96"/>
      <c r="M109" s="96"/>
      <c r="N109" s="96"/>
      <c r="O109" s="96"/>
      <c r="P109" s="96"/>
      <c r="Q109" s="96"/>
      <c r="R109" s="96"/>
      <c r="S109" s="82"/>
      <c r="T109" s="45"/>
      <c r="U109" s="45"/>
      <c r="V109" s="45"/>
      <c r="W109" s="45"/>
      <c r="X109" s="45"/>
      <c r="Y109" s="45"/>
      <c r="Z109" s="45"/>
      <c r="AA109" s="45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32">
        <f t="shared" si="9"/>
        <v>0</v>
      </c>
      <c r="BB109" s="32">
        <f t="shared" si="10"/>
        <v>0</v>
      </c>
      <c r="BC109" s="32">
        <f t="shared" si="11"/>
        <v>7</v>
      </c>
      <c r="BD109" s="32">
        <f t="shared" si="12"/>
        <v>7</v>
      </c>
      <c r="BE109" s="33">
        <f t="shared" si="13"/>
        <v>100</v>
      </c>
    </row>
    <row r="110">
      <c r="A110" s="24">
        <v>33.0</v>
      </c>
      <c r="B110" s="24" t="s">
        <v>277</v>
      </c>
      <c r="C110" s="25" t="s">
        <v>278</v>
      </c>
      <c r="D110" s="37" t="s">
        <v>22</v>
      </c>
      <c r="E110" s="26" t="s">
        <v>28</v>
      </c>
      <c r="F110" s="37" t="s">
        <v>22</v>
      </c>
      <c r="G110" s="104" t="s">
        <v>22</v>
      </c>
      <c r="H110" s="104" t="s">
        <v>22</v>
      </c>
      <c r="I110" s="104" t="s">
        <v>22</v>
      </c>
      <c r="J110" s="104" t="s">
        <v>22</v>
      </c>
      <c r="K110" s="120"/>
      <c r="L110" s="96"/>
      <c r="M110" s="96"/>
      <c r="N110" s="82"/>
      <c r="O110" s="96"/>
      <c r="P110" s="82"/>
      <c r="Q110" s="96"/>
      <c r="R110" s="96"/>
      <c r="S110" s="82"/>
      <c r="T110" s="45"/>
      <c r="U110" s="45"/>
      <c r="V110" s="45"/>
      <c r="W110" s="45"/>
      <c r="X110" s="45"/>
      <c r="Y110" s="45"/>
      <c r="Z110" s="45"/>
      <c r="AA110" s="45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32">
        <f t="shared" si="9"/>
        <v>0</v>
      </c>
      <c r="BB110" s="32">
        <f t="shared" si="10"/>
        <v>6</v>
      </c>
      <c r="BC110" s="32">
        <f t="shared" si="11"/>
        <v>1</v>
      </c>
      <c r="BD110" s="32">
        <f t="shared" si="12"/>
        <v>7</v>
      </c>
      <c r="BE110" s="33">
        <f t="shared" si="13"/>
        <v>14.28571429</v>
      </c>
    </row>
    <row r="111">
      <c r="A111" s="24">
        <v>34.0</v>
      </c>
      <c r="B111" s="24" t="s">
        <v>279</v>
      </c>
      <c r="C111" s="25" t="s">
        <v>280</v>
      </c>
      <c r="D111" s="26" t="s">
        <v>28</v>
      </c>
      <c r="E111" s="26" t="s">
        <v>28</v>
      </c>
      <c r="F111" s="26" t="s">
        <v>28</v>
      </c>
      <c r="G111" s="102" t="s">
        <v>28</v>
      </c>
      <c r="H111" s="102" t="s">
        <v>28</v>
      </c>
      <c r="I111" s="102" t="s">
        <v>28</v>
      </c>
      <c r="J111" s="102" t="s">
        <v>28</v>
      </c>
      <c r="K111" s="120"/>
      <c r="L111" s="96"/>
      <c r="M111" s="96"/>
      <c r="N111" s="96"/>
      <c r="O111" s="96"/>
      <c r="P111" s="82"/>
      <c r="Q111" s="96"/>
      <c r="R111" s="96"/>
      <c r="S111" s="82"/>
      <c r="T111" s="45"/>
      <c r="U111" s="45"/>
      <c r="V111" s="45"/>
      <c r="W111" s="45"/>
      <c r="X111" s="45"/>
      <c r="Y111" s="45"/>
      <c r="Z111" s="45"/>
      <c r="AA111" s="45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32">
        <f t="shared" si="9"/>
        <v>0</v>
      </c>
      <c r="BB111" s="32">
        <f t="shared" si="10"/>
        <v>0</v>
      </c>
      <c r="BC111" s="32">
        <f t="shared" si="11"/>
        <v>7</v>
      </c>
      <c r="BD111" s="32">
        <f t="shared" si="12"/>
        <v>7</v>
      </c>
      <c r="BE111" s="33">
        <f t="shared" si="13"/>
        <v>100</v>
      </c>
    </row>
    <row r="112">
      <c r="A112" s="24">
        <v>35.0</v>
      </c>
      <c r="B112" s="24" t="s">
        <v>281</v>
      </c>
      <c r="C112" s="25" t="s">
        <v>282</v>
      </c>
      <c r="D112" s="26" t="s">
        <v>28</v>
      </c>
      <c r="E112" s="26" t="s">
        <v>28</v>
      </c>
      <c r="F112" s="26" t="s">
        <v>28</v>
      </c>
      <c r="G112" s="102" t="s">
        <v>28</v>
      </c>
      <c r="H112" s="104" t="s">
        <v>22</v>
      </c>
      <c r="I112" s="102" t="s">
        <v>28</v>
      </c>
      <c r="J112" s="104" t="s">
        <v>22</v>
      </c>
      <c r="K112" s="120"/>
      <c r="L112" s="96"/>
      <c r="M112" s="96"/>
      <c r="N112" s="96"/>
      <c r="O112" s="96"/>
      <c r="P112" s="96"/>
      <c r="Q112" s="96"/>
      <c r="R112" s="96"/>
      <c r="S112" s="82"/>
      <c r="T112" s="45"/>
      <c r="U112" s="45"/>
      <c r="V112" s="45"/>
      <c r="W112" s="45"/>
      <c r="X112" s="45"/>
      <c r="Y112" s="45"/>
      <c r="Z112" s="45"/>
      <c r="AA112" s="45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32">
        <f t="shared" si="9"/>
        <v>0</v>
      </c>
      <c r="BB112" s="32">
        <f t="shared" si="10"/>
        <v>2</v>
      </c>
      <c r="BC112" s="32">
        <f t="shared" si="11"/>
        <v>5</v>
      </c>
      <c r="BD112" s="32">
        <f t="shared" si="12"/>
        <v>7</v>
      </c>
      <c r="BE112" s="33">
        <f t="shared" si="13"/>
        <v>71.42857143</v>
      </c>
    </row>
    <row r="113">
      <c r="A113" s="24">
        <v>36.0</v>
      </c>
      <c r="B113" s="24" t="s">
        <v>283</v>
      </c>
      <c r="C113" s="25" t="s">
        <v>284</v>
      </c>
      <c r="D113" s="26" t="s">
        <v>28</v>
      </c>
      <c r="E113" s="26" t="s">
        <v>28</v>
      </c>
      <c r="F113" s="26" t="s">
        <v>28</v>
      </c>
      <c r="G113" s="102" t="s">
        <v>28</v>
      </c>
      <c r="H113" s="102" t="s">
        <v>28</v>
      </c>
      <c r="I113" s="102" t="s">
        <v>28</v>
      </c>
      <c r="J113" s="104" t="s">
        <v>22</v>
      </c>
      <c r="K113" s="120"/>
      <c r="L113" s="96"/>
      <c r="M113" s="96"/>
      <c r="N113" s="96"/>
      <c r="O113" s="96"/>
      <c r="P113" s="96"/>
      <c r="Q113" s="96"/>
      <c r="R113" s="96"/>
      <c r="S113" s="96"/>
      <c r="T113" s="45"/>
      <c r="U113" s="45"/>
      <c r="V113" s="45"/>
      <c r="W113" s="45"/>
      <c r="X113" s="45"/>
      <c r="Y113" s="45"/>
      <c r="Z113" s="45"/>
      <c r="AA113" s="45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32">
        <f t="shared" si="9"/>
        <v>0</v>
      </c>
      <c r="BB113" s="32">
        <f t="shared" si="10"/>
        <v>1</v>
      </c>
      <c r="BC113" s="32">
        <f t="shared" si="11"/>
        <v>6</v>
      </c>
      <c r="BD113" s="32">
        <f t="shared" si="12"/>
        <v>7</v>
      </c>
      <c r="BE113" s="33">
        <f t="shared" si="13"/>
        <v>85.71428571</v>
      </c>
    </row>
    <row r="114">
      <c r="A114" s="24">
        <v>37.0</v>
      </c>
      <c r="B114" s="24" t="s">
        <v>285</v>
      </c>
      <c r="C114" s="25" t="s">
        <v>286</v>
      </c>
      <c r="D114" s="26" t="s">
        <v>28</v>
      </c>
      <c r="E114" s="26" t="s">
        <v>28</v>
      </c>
      <c r="F114" s="26" t="s">
        <v>28</v>
      </c>
      <c r="G114" s="102" t="s">
        <v>28</v>
      </c>
      <c r="H114" s="102" t="s">
        <v>28</v>
      </c>
      <c r="I114" s="102" t="s">
        <v>28</v>
      </c>
      <c r="J114" s="102" t="s">
        <v>28</v>
      </c>
      <c r="K114" s="120"/>
      <c r="L114" s="82"/>
      <c r="M114" s="96"/>
      <c r="N114" s="96"/>
      <c r="O114" s="96"/>
      <c r="P114" s="96"/>
      <c r="Q114" s="82"/>
      <c r="R114" s="96"/>
      <c r="S114" s="82"/>
      <c r="T114" s="45"/>
      <c r="U114" s="45"/>
      <c r="V114" s="45"/>
      <c r="W114" s="45"/>
      <c r="X114" s="45"/>
      <c r="Y114" s="45"/>
      <c r="Z114" s="45"/>
      <c r="AA114" s="45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32">
        <f t="shared" si="9"/>
        <v>0</v>
      </c>
      <c r="BB114" s="32">
        <f t="shared" si="10"/>
        <v>0</v>
      </c>
      <c r="BC114" s="32">
        <f t="shared" si="11"/>
        <v>7</v>
      </c>
      <c r="BD114" s="32">
        <f t="shared" si="12"/>
        <v>7</v>
      </c>
      <c r="BE114" s="33">
        <f t="shared" si="13"/>
        <v>100</v>
      </c>
    </row>
    <row r="115">
      <c r="A115" s="24">
        <v>38.0</v>
      </c>
      <c r="B115" s="24" t="s">
        <v>287</v>
      </c>
      <c r="C115" s="25" t="s">
        <v>288</v>
      </c>
      <c r="D115" s="26" t="s">
        <v>28</v>
      </c>
      <c r="E115" s="37" t="s">
        <v>22</v>
      </c>
      <c r="F115" s="37" t="s">
        <v>22</v>
      </c>
      <c r="G115" s="104" t="s">
        <v>22</v>
      </c>
      <c r="H115" s="102" t="s">
        <v>28</v>
      </c>
      <c r="I115" s="102" t="s">
        <v>28</v>
      </c>
      <c r="J115" s="104" t="s">
        <v>22</v>
      </c>
      <c r="K115" s="120"/>
      <c r="L115" s="82"/>
      <c r="M115" s="96"/>
      <c r="N115" s="96"/>
      <c r="O115" s="82"/>
      <c r="P115" s="82"/>
      <c r="Q115" s="82"/>
      <c r="R115" s="96"/>
      <c r="S115" s="82"/>
      <c r="T115" s="45"/>
      <c r="U115" s="45"/>
      <c r="V115" s="45"/>
      <c r="W115" s="45"/>
      <c r="X115" s="45"/>
      <c r="Y115" s="45"/>
      <c r="Z115" s="45"/>
      <c r="AA115" s="45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32">
        <f t="shared" si="9"/>
        <v>0</v>
      </c>
      <c r="BB115" s="32">
        <f t="shared" si="10"/>
        <v>4</v>
      </c>
      <c r="BC115" s="32">
        <f t="shared" si="11"/>
        <v>3</v>
      </c>
      <c r="BD115" s="32">
        <f t="shared" si="12"/>
        <v>7</v>
      </c>
      <c r="BE115" s="33">
        <f t="shared" si="13"/>
        <v>42.85714286</v>
      </c>
    </row>
    <row r="116">
      <c r="A116" s="24">
        <v>39.0</v>
      </c>
      <c r="B116" s="24" t="s">
        <v>289</v>
      </c>
      <c r="C116" s="25" t="s">
        <v>290</v>
      </c>
      <c r="D116" s="26" t="s">
        <v>28</v>
      </c>
      <c r="E116" s="26" t="s">
        <v>28</v>
      </c>
      <c r="F116" s="26" t="s">
        <v>28</v>
      </c>
      <c r="G116" s="102" t="s">
        <v>28</v>
      </c>
      <c r="H116" s="102" t="s">
        <v>28</v>
      </c>
      <c r="I116" s="102" t="s">
        <v>28</v>
      </c>
      <c r="J116" s="102" t="s">
        <v>28</v>
      </c>
      <c r="K116" s="120"/>
      <c r="L116" s="96"/>
      <c r="M116" s="96"/>
      <c r="N116" s="96"/>
      <c r="O116" s="96"/>
      <c r="P116" s="96"/>
      <c r="Q116" s="96"/>
      <c r="R116" s="96"/>
      <c r="S116" s="96"/>
      <c r="T116" s="45"/>
      <c r="U116" s="45"/>
      <c r="V116" s="45"/>
      <c r="W116" s="45"/>
      <c r="X116" s="45"/>
      <c r="Y116" s="45"/>
      <c r="Z116" s="45"/>
      <c r="AA116" s="45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32">
        <f t="shared" si="9"/>
        <v>0</v>
      </c>
      <c r="BB116" s="32">
        <f t="shared" si="10"/>
        <v>0</v>
      </c>
      <c r="BC116" s="32">
        <f t="shared" si="11"/>
        <v>7</v>
      </c>
      <c r="BD116" s="32">
        <f t="shared" si="12"/>
        <v>7</v>
      </c>
      <c r="BE116" s="33">
        <f t="shared" si="13"/>
        <v>100</v>
      </c>
    </row>
    <row r="117">
      <c r="A117" s="24">
        <v>40.0</v>
      </c>
      <c r="B117" s="24" t="s">
        <v>291</v>
      </c>
      <c r="C117" s="25" t="s">
        <v>292</v>
      </c>
      <c r="D117" s="26" t="s">
        <v>28</v>
      </c>
      <c r="E117" s="26" t="s">
        <v>28</v>
      </c>
      <c r="F117" s="26" t="s">
        <v>28</v>
      </c>
      <c r="G117" s="104" t="s">
        <v>22</v>
      </c>
      <c r="H117" s="104" t="s">
        <v>22</v>
      </c>
      <c r="I117" s="104" t="s">
        <v>22</v>
      </c>
      <c r="J117" s="104" t="s">
        <v>22</v>
      </c>
      <c r="K117" s="120"/>
      <c r="L117" s="96"/>
      <c r="M117" s="96"/>
      <c r="N117" s="96"/>
      <c r="O117" s="96"/>
      <c r="P117" s="96"/>
      <c r="Q117" s="96"/>
      <c r="R117" s="96"/>
      <c r="S117" s="82"/>
      <c r="T117" s="45"/>
      <c r="U117" s="45"/>
      <c r="V117" s="45"/>
      <c r="W117" s="45"/>
      <c r="X117" s="45"/>
      <c r="Y117" s="45"/>
      <c r="Z117" s="45"/>
      <c r="AA117" s="45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32">
        <f t="shared" si="9"/>
        <v>0</v>
      </c>
      <c r="BB117" s="32">
        <f t="shared" si="10"/>
        <v>4</v>
      </c>
      <c r="BC117" s="32">
        <f t="shared" si="11"/>
        <v>3</v>
      </c>
      <c r="BD117" s="32">
        <f t="shared" si="12"/>
        <v>7</v>
      </c>
      <c r="BE117" s="33">
        <f t="shared" si="13"/>
        <v>42.85714286</v>
      </c>
    </row>
    <row r="118">
      <c r="A118" s="24">
        <v>41.0</v>
      </c>
      <c r="B118" s="24" t="s">
        <v>293</v>
      </c>
      <c r="C118" s="25" t="s">
        <v>294</v>
      </c>
      <c r="D118" s="26" t="s">
        <v>28</v>
      </c>
      <c r="E118" s="37" t="s">
        <v>22</v>
      </c>
      <c r="F118" s="26" t="s">
        <v>28</v>
      </c>
      <c r="G118" s="102" t="s">
        <v>28</v>
      </c>
      <c r="H118" s="104" t="s">
        <v>22</v>
      </c>
      <c r="I118" s="104" t="s">
        <v>22</v>
      </c>
      <c r="J118" s="102" t="s">
        <v>28</v>
      </c>
      <c r="K118" s="120"/>
      <c r="L118" s="96"/>
      <c r="M118" s="96"/>
      <c r="N118" s="96"/>
      <c r="O118" s="96"/>
      <c r="P118" s="96"/>
      <c r="Q118" s="96"/>
      <c r="R118" s="96"/>
      <c r="S118" s="82"/>
      <c r="T118" s="45"/>
      <c r="U118" s="45"/>
      <c r="V118" s="45"/>
      <c r="W118" s="45"/>
      <c r="X118" s="45"/>
      <c r="Y118" s="45"/>
      <c r="Z118" s="45"/>
      <c r="AA118" s="45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32">
        <f t="shared" si="9"/>
        <v>0</v>
      </c>
      <c r="BB118" s="32">
        <f t="shared" si="10"/>
        <v>3</v>
      </c>
      <c r="BC118" s="32">
        <f t="shared" si="11"/>
        <v>4</v>
      </c>
      <c r="BD118" s="32">
        <f t="shared" si="12"/>
        <v>7</v>
      </c>
      <c r="BE118" s="33">
        <f t="shared" si="13"/>
        <v>57.14285714</v>
      </c>
    </row>
    <row r="119">
      <c r="A119" s="24">
        <v>42.0</v>
      </c>
      <c r="B119" s="24" t="s">
        <v>295</v>
      </c>
      <c r="C119" s="25" t="s">
        <v>296</v>
      </c>
      <c r="D119" s="37" t="s">
        <v>22</v>
      </c>
      <c r="E119" s="26" t="s">
        <v>28</v>
      </c>
      <c r="F119" s="26" t="s">
        <v>28</v>
      </c>
      <c r="G119" s="102" t="s">
        <v>28</v>
      </c>
      <c r="H119" s="102" t="s">
        <v>28</v>
      </c>
      <c r="I119" s="102" t="s">
        <v>28</v>
      </c>
      <c r="J119" s="104" t="s">
        <v>22</v>
      </c>
      <c r="K119" s="120"/>
      <c r="L119" s="96"/>
      <c r="M119" s="96"/>
      <c r="N119" s="96"/>
      <c r="O119" s="96"/>
      <c r="P119" s="96"/>
      <c r="Q119" s="96"/>
      <c r="R119" s="96"/>
      <c r="S119" s="96"/>
      <c r="T119" s="45"/>
      <c r="U119" s="45"/>
      <c r="V119" s="45"/>
      <c r="W119" s="45"/>
      <c r="X119" s="45"/>
      <c r="Y119" s="45"/>
      <c r="Z119" s="45"/>
      <c r="AA119" s="45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32">
        <f t="shared" si="9"/>
        <v>0</v>
      </c>
      <c r="BB119" s="32">
        <f t="shared" si="10"/>
        <v>2</v>
      </c>
      <c r="BC119" s="32">
        <f t="shared" si="11"/>
        <v>5</v>
      </c>
      <c r="BD119" s="32">
        <f t="shared" si="12"/>
        <v>7</v>
      </c>
      <c r="BE119" s="33">
        <f t="shared" si="13"/>
        <v>71.42857143</v>
      </c>
    </row>
    <row r="120">
      <c r="A120" s="24">
        <v>43.0</v>
      </c>
      <c r="B120" s="24" t="s">
        <v>299</v>
      </c>
      <c r="C120" s="25" t="s">
        <v>300</v>
      </c>
      <c r="D120" s="26" t="s">
        <v>28</v>
      </c>
      <c r="E120" s="26" t="s">
        <v>28</v>
      </c>
      <c r="F120" s="37" t="s">
        <v>22</v>
      </c>
      <c r="G120" s="104" t="s">
        <v>22</v>
      </c>
      <c r="H120" s="102" t="s">
        <v>28</v>
      </c>
      <c r="I120" s="102" t="s">
        <v>28</v>
      </c>
      <c r="J120" s="102" t="s">
        <v>28</v>
      </c>
      <c r="K120" s="120"/>
      <c r="L120" s="96"/>
      <c r="M120" s="96"/>
      <c r="N120" s="82"/>
      <c r="O120" s="96"/>
      <c r="P120" s="96"/>
      <c r="Q120" s="96"/>
      <c r="R120" s="96"/>
      <c r="S120" s="96"/>
      <c r="T120" s="45"/>
      <c r="U120" s="45"/>
      <c r="V120" s="45"/>
      <c r="W120" s="45"/>
      <c r="X120" s="45"/>
      <c r="Y120" s="45"/>
      <c r="Z120" s="45"/>
      <c r="AA120" s="45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32">
        <f t="shared" si="9"/>
        <v>0</v>
      </c>
      <c r="BB120" s="32">
        <f t="shared" si="10"/>
        <v>2</v>
      </c>
      <c r="BC120" s="32">
        <f t="shared" si="11"/>
        <v>5</v>
      </c>
      <c r="BD120" s="32">
        <f t="shared" si="12"/>
        <v>7</v>
      </c>
      <c r="BE120" s="33">
        <f t="shared" si="13"/>
        <v>71.42857143</v>
      </c>
    </row>
    <row r="121">
      <c r="A121" s="24">
        <v>44.0</v>
      </c>
      <c r="B121" s="24" t="s">
        <v>301</v>
      </c>
      <c r="C121" s="25" t="s">
        <v>302</v>
      </c>
      <c r="D121" s="26" t="s">
        <v>28</v>
      </c>
      <c r="E121" s="37" t="s">
        <v>22</v>
      </c>
      <c r="F121" s="26" t="s">
        <v>28</v>
      </c>
      <c r="G121" s="104" t="s">
        <v>22</v>
      </c>
      <c r="H121" s="104" t="s">
        <v>22</v>
      </c>
      <c r="I121" s="104" t="s">
        <v>22</v>
      </c>
      <c r="J121" s="104" t="s">
        <v>22</v>
      </c>
      <c r="K121" s="120"/>
      <c r="L121" s="96"/>
      <c r="M121" s="96"/>
      <c r="N121" s="82"/>
      <c r="O121" s="96"/>
      <c r="P121" s="96"/>
      <c r="Q121" s="96"/>
      <c r="R121" s="96"/>
      <c r="S121" s="96"/>
      <c r="T121" s="45"/>
      <c r="U121" s="45"/>
      <c r="V121" s="45"/>
      <c r="W121" s="45"/>
      <c r="X121" s="45"/>
      <c r="Y121" s="45"/>
      <c r="Z121" s="45"/>
      <c r="AA121" s="45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32">
        <f t="shared" si="9"/>
        <v>0</v>
      </c>
      <c r="BB121" s="32">
        <f t="shared" si="10"/>
        <v>5</v>
      </c>
      <c r="BC121" s="32">
        <f t="shared" si="11"/>
        <v>2</v>
      </c>
      <c r="BD121" s="32">
        <f t="shared" si="12"/>
        <v>7</v>
      </c>
      <c r="BE121" s="33">
        <f t="shared" si="13"/>
        <v>28.57142857</v>
      </c>
    </row>
    <row r="122">
      <c r="A122" s="24">
        <v>45.0</v>
      </c>
      <c r="B122" s="24" t="s">
        <v>303</v>
      </c>
      <c r="C122" s="25" t="s">
        <v>304</v>
      </c>
      <c r="D122" s="26" t="s">
        <v>28</v>
      </c>
      <c r="E122" s="26" t="s">
        <v>28</v>
      </c>
      <c r="F122" s="26" t="s">
        <v>28</v>
      </c>
      <c r="G122" s="102" t="s">
        <v>28</v>
      </c>
      <c r="H122" s="102" t="s">
        <v>28</v>
      </c>
      <c r="I122" s="102" t="s">
        <v>28</v>
      </c>
      <c r="J122" s="102" t="s">
        <v>28</v>
      </c>
      <c r="K122" s="120"/>
      <c r="L122" s="96"/>
      <c r="M122" s="96"/>
      <c r="N122" s="82"/>
      <c r="O122" s="96"/>
      <c r="P122" s="82"/>
      <c r="Q122" s="96"/>
      <c r="R122" s="96"/>
      <c r="S122" s="82"/>
      <c r="T122" s="45"/>
      <c r="U122" s="45"/>
      <c r="V122" s="45"/>
      <c r="W122" s="45"/>
      <c r="X122" s="45"/>
      <c r="Y122" s="45"/>
      <c r="Z122" s="45"/>
      <c r="AA122" s="45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32">
        <f t="shared" si="9"/>
        <v>0</v>
      </c>
      <c r="BB122" s="32">
        <f t="shared" si="10"/>
        <v>0</v>
      </c>
      <c r="BC122" s="32">
        <f t="shared" si="11"/>
        <v>7</v>
      </c>
      <c r="BD122" s="32">
        <f t="shared" si="12"/>
        <v>7</v>
      </c>
      <c r="BE122" s="33">
        <f t="shared" si="13"/>
        <v>100</v>
      </c>
    </row>
    <row r="123">
      <c r="A123" s="24">
        <v>46.0</v>
      </c>
      <c r="B123" s="24" t="s">
        <v>307</v>
      </c>
      <c r="C123" s="25" t="s">
        <v>308</v>
      </c>
      <c r="D123" s="26" t="s">
        <v>28</v>
      </c>
      <c r="E123" s="26" t="s">
        <v>28</v>
      </c>
      <c r="F123" s="26" t="s">
        <v>28</v>
      </c>
      <c r="G123" s="102" t="s">
        <v>28</v>
      </c>
      <c r="H123" s="102" t="s">
        <v>28</v>
      </c>
      <c r="I123" s="102" t="s">
        <v>28</v>
      </c>
      <c r="J123" s="102" t="s">
        <v>28</v>
      </c>
      <c r="K123" s="120"/>
      <c r="L123" s="96"/>
      <c r="M123" s="96"/>
      <c r="N123" s="96"/>
      <c r="O123" s="96"/>
      <c r="P123" s="82"/>
      <c r="Q123" s="96"/>
      <c r="R123" s="96"/>
      <c r="S123" s="96"/>
      <c r="T123" s="45"/>
      <c r="U123" s="45"/>
      <c r="V123" s="45"/>
      <c r="W123" s="45"/>
      <c r="X123" s="45"/>
      <c r="Y123" s="45"/>
      <c r="Z123" s="45"/>
      <c r="AA123" s="45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32">
        <f t="shared" si="9"/>
        <v>0</v>
      </c>
      <c r="BB123" s="32">
        <f t="shared" si="10"/>
        <v>0</v>
      </c>
      <c r="BC123" s="32">
        <f t="shared" si="11"/>
        <v>7</v>
      </c>
      <c r="BD123" s="32">
        <f t="shared" si="12"/>
        <v>7</v>
      </c>
      <c r="BE123" s="33">
        <f t="shared" si="13"/>
        <v>100</v>
      </c>
    </row>
    <row r="124">
      <c r="A124" s="24">
        <v>47.0</v>
      </c>
      <c r="B124" s="24" t="s">
        <v>309</v>
      </c>
      <c r="C124" s="25" t="s">
        <v>310</v>
      </c>
      <c r="D124" s="26" t="s">
        <v>28</v>
      </c>
      <c r="E124" s="37" t="s">
        <v>22</v>
      </c>
      <c r="F124" s="26" t="s">
        <v>28</v>
      </c>
      <c r="G124" s="104" t="s">
        <v>22</v>
      </c>
      <c r="H124" s="104" t="s">
        <v>22</v>
      </c>
      <c r="I124" s="102" t="s">
        <v>28</v>
      </c>
      <c r="J124" s="102" t="s">
        <v>28</v>
      </c>
      <c r="K124" s="120"/>
      <c r="L124" s="82"/>
      <c r="M124" s="96"/>
      <c r="N124" s="82"/>
      <c r="O124" s="96"/>
      <c r="P124" s="82"/>
      <c r="Q124" s="96"/>
      <c r="R124" s="96"/>
      <c r="S124" s="96"/>
      <c r="T124" s="45"/>
      <c r="U124" s="45"/>
      <c r="V124" s="45"/>
      <c r="W124" s="45"/>
      <c r="X124" s="45"/>
      <c r="Y124" s="45"/>
      <c r="Z124" s="45"/>
      <c r="AA124" s="45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32">
        <f t="shared" si="9"/>
        <v>0</v>
      </c>
      <c r="BB124" s="32">
        <f t="shared" si="10"/>
        <v>3</v>
      </c>
      <c r="BC124" s="32">
        <f t="shared" si="11"/>
        <v>4</v>
      </c>
      <c r="BD124" s="32">
        <f t="shared" si="12"/>
        <v>7</v>
      </c>
      <c r="BE124" s="33">
        <f t="shared" si="13"/>
        <v>57.14285714</v>
      </c>
    </row>
    <row r="125">
      <c r="A125" s="24">
        <v>48.0</v>
      </c>
      <c r="B125" s="24" t="s">
        <v>313</v>
      </c>
      <c r="C125" s="25" t="s">
        <v>314</v>
      </c>
      <c r="D125" s="26" t="s">
        <v>28</v>
      </c>
      <c r="E125" s="26" t="s">
        <v>28</v>
      </c>
      <c r="F125" s="26" t="s">
        <v>28</v>
      </c>
      <c r="G125" s="26" t="s">
        <v>28</v>
      </c>
      <c r="H125" s="102" t="s">
        <v>28</v>
      </c>
      <c r="I125" s="102" t="s">
        <v>28</v>
      </c>
      <c r="J125" s="102" t="s">
        <v>28</v>
      </c>
      <c r="K125" s="120"/>
      <c r="L125" s="96"/>
      <c r="M125" s="96"/>
      <c r="N125" s="96"/>
      <c r="O125" s="96"/>
      <c r="P125" s="96"/>
      <c r="Q125" s="96"/>
      <c r="R125" s="96"/>
      <c r="S125" s="82"/>
      <c r="T125" s="45"/>
      <c r="U125" s="45"/>
      <c r="V125" s="45"/>
      <c r="W125" s="45"/>
      <c r="X125" s="45"/>
      <c r="Y125" s="45"/>
      <c r="Z125" s="45"/>
      <c r="AA125" s="45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32">
        <f t="shared" si="9"/>
        <v>0</v>
      </c>
      <c r="BB125" s="32">
        <f t="shared" si="10"/>
        <v>0</v>
      </c>
      <c r="BC125" s="32">
        <f t="shared" si="11"/>
        <v>7</v>
      </c>
      <c r="BD125" s="32">
        <f t="shared" si="12"/>
        <v>7</v>
      </c>
      <c r="BE125" s="33">
        <f t="shared" si="13"/>
        <v>100</v>
      </c>
    </row>
    <row r="126">
      <c r="A126" s="24">
        <v>49.0</v>
      </c>
      <c r="B126" s="24" t="s">
        <v>315</v>
      </c>
      <c r="C126" s="25" t="s">
        <v>316</v>
      </c>
      <c r="D126" s="26" t="s">
        <v>28</v>
      </c>
      <c r="E126" s="26" t="s">
        <v>28</v>
      </c>
      <c r="F126" s="26" t="s">
        <v>28</v>
      </c>
      <c r="G126" s="102" t="s">
        <v>28</v>
      </c>
      <c r="H126" s="102" t="s">
        <v>28</v>
      </c>
      <c r="I126" s="102" t="s">
        <v>28</v>
      </c>
      <c r="J126" s="102" t="s">
        <v>28</v>
      </c>
      <c r="K126" s="120"/>
      <c r="L126" s="96"/>
      <c r="M126" s="96"/>
      <c r="N126" s="96"/>
      <c r="O126" s="96"/>
      <c r="P126" s="96"/>
      <c r="Q126" s="96"/>
      <c r="R126" s="96"/>
      <c r="S126" s="96"/>
      <c r="T126" s="45"/>
      <c r="U126" s="45"/>
      <c r="V126" s="45"/>
      <c r="W126" s="45"/>
      <c r="X126" s="45"/>
      <c r="Y126" s="45"/>
      <c r="Z126" s="45"/>
      <c r="AA126" s="45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32">
        <f t="shared" si="9"/>
        <v>0</v>
      </c>
      <c r="BB126" s="32">
        <f t="shared" si="10"/>
        <v>0</v>
      </c>
      <c r="BC126" s="32">
        <f t="shared" si="11"/>
        <v>7</v>
      </c>
      <c r="BD126" s="32">
        <f t="shared" si="12"/>
        <v>7</v>
      </c>
      <c r="BE126" s="33">
        <f t="shared" si="13"/>
        <v>100</v>
      </c>
    </row>
    <row r="127">
      <c r="A127" s="24">
        <v>50.0</v>
      </c>
      <c r="B127" s="24" t="s">
        <v>317</v>
      </c>
      <c r="C127" s="25" t="s">
        <v>318</v>
      </c>
      <c r="D127" s="26" t="s">
        <v>28</v>
      </c>
      <c r="E127" s="26" t="s">
        <v>28</v>
      </c>
      <c r="F127" s="26" t="s">
        <v>28</v>
      </c>
      <c r="G127" s="102" t="s">
        <v>28</v>
      </c>
      <c r="H127" s="102" t="s">
        <v>28</v>
      </c>
      <c r="I127" s="104" t="s">
        <v>22</v>
      </c>
      <c r="J127" s="102" t="s">
        <v>28</v>
      </c>
      <c r="K127" s="120"/>
      <c r="L127" s="96"/>
      <c r="M127" s="96"/>
      <c r="N127" s="96"/>
      <c r="O127" s="96"/>
      <c r="P127" s="96"/>
      <c r="Q127" s="96"/>
      <c r="R127" s="96"/>
      <c r="S127" s="96"/>
      <c r="T127" s="45"/>
      <c r="U127" s="45"/>
      <c r="V127" s="45"/>
      <c r="W127" s="45"/>
      <c r="X127" s="45"/>
      <c r="Y127" s="45"/>
      <c r="Z127" s="45"/>
      <c r="AA127" s="45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32">
        <f t="shared" si="9"/>
        <v>0</v>
      </c>
      <c r="BB127" s="32">
        <f t="shared" si="10"/>
        <v>1</v>
      </c>
      <c r="BC127" s="32">
        <f t="shared" si="11"/>
        <v>6</v>
      </c>
      <c r="BD127" s="32">
        <f t="shared" si="12"/>
        <v>7</v>
      </c>
      <c r="BE127" s="33">
        <f t="shared" si="13"/>
        <v>85.71428571</v>
      </c>
    </row>
    <row r="128">
      <c r="A128" s="24">
        <v>51.0</v>
      </c>
      <c r="B128" s="24" t="s">
        <v>319</v>
      </c>
      <c r="C128" s="25" t="s">
        <v>320</v>
      </c>
      <c r="D128" s="37" t="s">
        <v>22</v>
      </c>
      <c r="E128" s="37" t="s">
        <v>22</v>
      </c>
      <c r="F128" s="26" t="s">
        <v>28</v>
      </c>
      <c r="G128" s="102" t="s">
        <v>28</v>
      </c>
      <c r="H128" s="102" t="s">
        <v>28</v>
      </c>
      <c r="I128" s="102" t="s">
        <v>28</v>
      </c>
      <c r="J128" s="104" t="s">
        <v>22</v>
      </c>
      <c r="K128" s="120"/>
      <c r="L128" s="96"/>
      <c r="M128" s="96"/>
      <c r="N128" s="96"/>
      <c r="O128" s="82"/>
      <c r="P128" s="96"/>
      <c r="Q128" s="96"/>
      <c r="R128" s="96"/>
      <c r="S128" s="82"/>
      <c r="T128" s="45"/>
      <c r="U128" s="45"/>
      <c r="V128" s="45"/>
      <c r="W128" s="45"/>
      <c r="X128" s="45"/>
      <c r="Y128" s="45"/>
      <c r="Z128" s="45"/>
      <c r="AA128" s="45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32">
        <f t="shared" si="9"/>
        <v>0</v>
      </c>
      <c r="BB128" s="32">
        <f t="shared" si="10"/>
        <v>3</v>
      </c>
      <c r="BC128" s="32">
        <f t="shared" si="11"/>
        <v>4</v>
      </c>
      <c r="BD128" s="32">
        <f t="shared" si="12"/>
        <v>7</v>
      </c>
      <c r="BE128" s="33">
        <f t="shared" si="13"/>
        <v>57.14285714</v>
      </c>
    </row>
    <row r="129">
      <c r="A129" s="35">
        <v>52.0</v>
      </c>
      <c r="B129" s="35" t="s">
        <v>321</v>
      </c>
      <c r="C129" s="36" t="s">
        <v>322</v>
      </c>
      <c r="D129" s="37" t="s">
        <v>28</v>
      </c>
      <c r="E129" s="37" t="s">
        <v>28</v>
      </c>
      <c r="F129" s="37" t="s">
        <v>22</v>
      </c>
      <c r="G129" s="37" t="s">
        <v>22</v>
      </c>
      <c r="H129" s="104" t="s">
        <v>28</v>
      </c>
      <c r="I129" s="104" t="s">
        <v>22</v>
      </c>
      <c r="J129" s="104" t="s">
        <v>28</v>
      </c>
      <c r="K129" s="104"/>
      <c r="L129" s="37"/>
      <c r="M129" s="37"/>
      <c r="N129" s="27"/>
      <c r="O129" s="37"/>
      <c r="P129" s="27"/>
      <c r="Q129" s="37"/>
      <c r="R129" s="27"/>
      <c r="S129" s="37"/>
      <c r="T129" s="39"/>
      <c r="U129" s="39"/>
      <c r="V129" s="39"/>
      <c r="W129" s="39"/>
      <c r="X129" s="39"/>
      <c r="Y129" s="39"/>
      <c r="Z129" s="39"/>
      <c r="AA129" s="39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1">
        <f t="shared" si="9"/>
        <v>0</v>
      </c>
      <c r="BB129" s="41">
        <f t="shared" si="10"/>
        <v>3</v>
      </c>
      <c r="BC129" s="41">
        <f t="shared" si="11"/>
        <v>4</v>
      </c>
      <c r="BD129" s="41">
        <f t="shared" si="12"/>
        <v>7</v>
      </c>
      <c r="BE129" s="42">
        <f t="shared" si="13"/>
        <v>57.14285714</v>
      </c>
    </row>
    <row r="130">
      <c r="A130" s="24">
        <v>53.0</v>
      </c>
      <c r="B130" s="24" t="s">
        <v>327</v>
      </c>
      <c r="C130" s="25" t="s">
        <v>328</v>
      </c>
      <c r="D130" s="26" t="s">
        <v>28</v>
      </c>
      <c r="E130" s="26" t="s">
        <v>28</v>
      </c>
      <c r="F130" s="26" t="s">
        <v>28</v>
      </c>
      <c r="G130" s="102" t="s">
        <v>28</v>
      </c>
      <c r="H130" s="102" t="s">
        <v>28</v>
      </c>
      <c r="I130" s="102" t="s">
        <v>28</v>
      </c>
      <c r="J130" s="102" t="s">
        <v>28</v>
      </c>
      <c r="K130" s="120"/>
      <c r="L130" s="96"/>
      <c r="M130" s="96"/>
      <c r="N130" s="96"/>
      <c r="O130" s="96"/>
      <c r="P130" s="96"/>
      <c r="Q130" s="96"/>
      <c r="R130" s="96"/>
      <c r="S130" s="82"/>
      <c r="T130" s="45"/>
      <c r="U130" s="45"/>
      <c r="V130" s="45"/>
      <c r="W130" s="45"/>
      <c r="X130" s="45"/>
      <c r="Y130" s="45"/>
      <c r="Z130" s="45"/>
      <c r="AA130" s="45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32">
        <f t="shared" si="9"/>
        <v>0</v>
      </c>
      <c r="BB130" s="32">
        <f t="shared" si="10"/>
        <v>0</v>
      </c>
      <c r="BC130" s="32">
        <f t="shared" si="11"/>
        <v>7</v>
      </c>
      <c r="BD130" s="32">
        <f t="shared" si="12"/>
        <v>7</v>
      </c>
      <c r="BE130" s="33">
        <f t="shared" si="13"/>
        <v>100</v>
      </c>
    </row>
    <row r="131">
      <c r="A131" s="24">
        <v>54.0</v>
      </c>
      <c r="B131" s="24" t="s">
        <v>329</v>
      </c>
      <c r="C131" s="25" t="s">
        <v>330</v>
      </c>
      <c r="D131" s="26" t="s">
        <v>28</v>
      </c>
      <c r="E131" s="26" t="s">
        <v>28</v>
      </c>
      <c r="F131" s="26" t="s">
        <v>28</v>
      </c>
      <c r="G131" s="102" t="s">
        <v>28</v>
      </c>
      <c r="H131" s="102" t="s">
        <v>28</v>
      </c>
      <c r="I131" s="102" t="s">
        <v>28</v>
      </c>
      <c r="J131" s="102" t="s">
        <v>28</v>
      </c>
      <c r="K131" s="120"/>
      <c r="L131" s="96"/>
      <c r="M131" s="96"/>
      <c r="N131" s="96"/>
      <c r="O131" s="96"/>
      <c r="P131" s="96"/>
      <c r="Q131" s="96"/>
      <c r="R131" s="96"/>
      <c r="S131" s="96"/>
      <c r="T131" s="45"/>
      <c r="U131" s="45"/>
      <c r="V131" s="45"/>
      <c r="W131" s="45"/>
      <c r="X131" s="45"/>
      <c r="Y131" s="45"/>
      <c r="Z131" s="45"/>
      <c r="AA131" s="45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32">
        <f t="shared" si="9"/>
        <v>0</v>
      </c>
      <c r="BB131" s="32">
        <f t="shared" si="10"/>
        <v>0</v>
      </c>
      <c r="BC131" s="32">
        <f t="shared" si="11"/>
        <v>7</v>
      </c>
      <c r="BD131" s="32">
        <f t="shared" si="12"/>
        <v>7</v>
      </c>
      <c r="BE131" s="33">
        <f t="shared" si="13"/>
        <v>100</v>
      </c>
    </row>
    <row r="132">
      <c r="A132" s="24">
        <v>55.0</v>
      </c>
      <c r="B132" s="24" t="s">
        <v>337</v>
      </c>
      <c r="C132" s="25" t="s">
        <v>338</v>
      </c>
      <c r="D132" s="26" t="s">
        <v>28</v>
      </c>
      <c r="E132" s="26" t="s">
        <v>28</v>
      </c>
      <c r="F132" s="26" t="s">
        <v>28</v>
      </c>
      <c r="G132" s="102" t="s">
        <v>28</v>
      </c>
      <c r="H132" s="102" t="s">
        <v>28</v>
      </c>
      <c r="I132" s="102" t="s">
        <v>28</v>
      </c>
      <c r="J132" s="102" t="s">
        <v>28</v>
      </c>
      <c r="K132" s="120"/>
      <c r="L132" s="96"/>
      <c r="M132" s="96"/>
      <c r="N132" s="96"/>
      <c r="O132" s="96"/>
      <c r="P132" s="96"/>
      <c r="Q132" s="96"/>
      <c r="R132" s="96"/>
      <c r="S132" s="96"/>
      <c r="T132" s="45"/>
      <c r="U132" s="45"/>
      <c r="V132" s="45"/>
      <c r="W132" s="45"/>
      <c r="X132" s="45"/>
      <c r="Y132" s="45"/>
      <c r="Z132" s="45"/>
      <c r="AA132" s="45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32">
        <f t="shared" si="9"/>
        <v>0</v>
      </c>
      <c r="BB132" s="32">
        <f t="shared" si="10"/>
        <v>0</v>
      </c>
      <c r="BC132" s="32">
        <f t="shared" si="11"/>
        <v>7</v>
      </c>
      <c r="BD132" s="32">
        <f t="shared" si="12"/>
        <v>7</v>
      </c>
      <c r="BE132" s="33">
        <f t="shared" si="13"/>
        <v>100</v>
      </c>
    </row>
    <row r="133">
      <c r="A133" s="24">
        <v>56.0</v>
      </c>
      <c r="B133" s="24" t="s">
        <v>341</v>
      </c>
      <c r="C133" s="25" t="s">
        <v>342</v>
      </c>
      <c r="D133" s="26" t="s">
        <v>28</v>
      </c>
      <c r="E133" s="26" t="s">
        <v>28</v>
      </c>
      <c r="F133" s="37" t="s">
        <v>22</v>
      </c>
      <c r="G133" s="104" t="s">
        <v>22</v>
      </c>
      <c r="H133" s="104" t="s">
        <v>22</v>
      </c>
      <c r="I133" s="102" t="s">
        <v>28</v>
      </c>
      <c r="J133" s="104" t="s">
        <v>22</v>
      </c>
      <c r="K133" s="120"/>
      <c r="L133" s="96"/>
      <c r="M133" s="96"/>
      <c r="N133" s="82"/>
      <c r="O133" s="96"/>
      <c r="P133" s="96"/>
      <c r="Q133" s="96"/>
      <c r="R133" s="96"/>
      <c r="S133" s="82"/>
      <c r="T133" s="45"/>
      <c r="U133" s="45"/>
      <c r="V133" s="45"/>
      <c r="W133" s="45"/>
      <c r="X133" s="45"/>
      <c r="Y133" s="45"/>
      <c r="Z133" s="45"/>
      <c r="AA133" s="45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32">
        <f t="shared" si="9"/>
        <v>0</v>
      </c>
      <c r="BB133" s="32">
        <f t="shared" si="10"/>
        <v>4</v>
      </c>
      <c r="BC133" s="32">
        <f t="shared" si="11"/>
        <v>3</v>
      </c>
      <c r="BD133" s="32">
        <f t="shared" si="12"/>
        <v>7</v>
      </c>
      <c r="BE133" s="33">
        <f t="shared" si="13"/>
        <v>42.85714286</v>
      </c>
    </row>
    <row r="134">
      <c r="A134" s="24">
        <v>57.0</v>
      </c>
      <c r="B134" s="24" t="s">
        <v>349</v>
      </c>
      <c r="C134" s="25" t="s">
        <v>350</v>
      </c>
      <c r="D134" s="26" t="s">
        <v>28</v>
      </c>
      <c r="E134" s="26" t="s">
        <v>28</v>
      </c>
      <c r="F134" s="26" t="s">
        <v>28</v>
      </c>
      <c r="G134" s="104" t="s">
        <v>22</v>
      </c>
      <c r="H134" s="102" t="s">
        <v>28</v>
      </c>
      <c r="I134" s="104" t="s">
        <v>22</v>
      </c>
      <c r="J134" s="104" t="s">
        <v>22</v>
      </c>
      <c r="K134" s="120"/>
      <c r="L134" s="96"/>
      <c r="M134" s="96"/>
      <c r="N134" s="82"/>
      <c r="O134" s="96"/>
      <c r="P134" s="96"/>
      <c r="Q134" s="96"/>
      <c r="R134" s="96"/>
      <c r="S134" s="96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32">
        <f t="shared" si="9"/>
        <v>0</v>
      </c>
      <c r="BB134" s="32">
        <f t="shared" si="10"/>
        <v>3</v>
      </c>
      <c r="BC134" s="32">
        <f t="shared" si="11"/>
        <v>4</v>
      </c>
      <c r="BD134" s="32">
        <f t="shared" si="12"/>
        <v>7</v>
      </c>
      <c r="BE134" s="33">
        <f t="shared" si="13"/>
        <v>57.14285714</v>
      </c>
    </row>
    <row r="135">
      <c r="A135" s="24">
        <v>58.0</v>
      </c>
      <c r="B135" s="24" t="s">
        <v>351</v>
      </c>
      <c r="C135" s="25" t="s">
        <v>352</v>
      </c>
      <c r="D135" s="37" t="s">
        <v>22</v>
      </c>
      <c r="E135" s="26" t="s">
        <v>28</v>
      </c>
      <c r="F135" s="26" t="s">
        <v>28</v>
      </c>
      <c r="G135" s="104" t="s">
        <v>22</v>
      </c>
      <c r="H135" s="104" t="s">
        <v>22</v>
      </c>
      <c r="I135" s="102" t="s">
        <v>28</v>
      </c>
      <c r="J135" s="104" t="s">
        <v>22</v>
      </c>
      <c r="K135" s="120"/>
      <c r="L135" s="96"/>
      <c r="M135" s="96"/>
      <c r="N135" s="96"/>
      <c r="O135" s="96"/>
      <c r="P135" s="82"/>
      <c r="Q135" s="96"/>
      <c r="R135" s="96"/>
      <c r="S135" s="96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32">
        <f t="shared" si="9"/>
        <v>0</v>
      </c>
      <c r="BB135" s="32">
        <f t="shared" si="10"/>
        <v>4</v>
      </c>
      <c r="BC135" s="32">
        <f t="shared" si="11"/>
        <v>3</v>
      </c>
      <c r="BD135" s="32">
        <f t="shared" si="12"/>
        <v>7</v>
      </c>
      <c r="BE135" s="33">
        <f t="shared" si="13"/>
        <v>42.85714286</v>
      </c>
    </row>
    <row r="136">
      <c r="A136" s="24">
        <v>59.0</v>
      </c>
      <c r="B136" s="24" t="s">
        <v>357</v>
      </c>
      <c r="C136" s="25" t="s">
        <v>358</v>
      </c>
      <c r="D136" s="26" t="s">
        <v>28</v>
      </c>
      <c r="E136" s="26" t="s">
        <v>28</v>
      </c>
      <c r="F136" s="26" t="s">
        <v>28</v>
      </c>
      <c r="G136" s="102" t="s">
        <v>28</v>
      </c>
      <c r="H136" s="102" t="s">
        <v>28</v>
      </c>
      <c r="I136" s="102" t="s">
        <v>28</v>
      </c>
      <c r="J136" s="102" t="s">
        <v>28</v>
      </c>
      <c r="K136" s="120"/>
      <c r="L136" s="82"/>
      <c r="M136" s="96"/>
      <c r="N136" s="96"/>
      <c r="O136" s="96"/>
      <c r="P136" s="96"/>
      <c r="Q136" s="96"/>
      <c r="R136" s="96"/>
      <c r="S136" s="82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32">
        <f t="shared" si="9"/>
        <v>0</v>
      </c>
      <c r="BB136" s="32">
        <f t="shared" si="10"/>
        <v>0</v>
      </c>
      <c r="BC136" s="32">
        <f t="shared" si="11"/>
        <v>7</v>
      </c>
      <c r="BD136" s="32">
        <f t="shared" si="12"/>
        <v>7</v>
      </c>
      <c r="BE136" s="33">
        <f t="shared" si="13"/>
        <v>100</v>
      </c>
    </row>
    <row r="137">
      <c r="A137" s="24">
        <v>60.0</v>
      </c>
      <c r="B137" s="24" t="s">
        <v>359</v>
      </c>
      <c r="C137" s="25" t="s">
        <v>360</v>
      </c>
      <c r="D137" s="37" t="s">
        <v>22</v>
      </c>
      <c r="E137" s="26" t="s">
        <v>28</v>
      </c>
      <c r="F137" s="26" t="s">
        <v>28</v>
      </c>
      <c r="G137" s="104" t="s">
        <v>22</v>
      </c>
      <c r="H137" s="104" t="s">
        <v>22</v>
      </c>
      <c r="I137" s="102" t="s">
        <v>28</v>
      </c>
      <c r="J137" s="104" t="s">
        <v>22</v>
      </c>
      <c r="K137" s="120"/>
      <c r="L137" s="82"/>
      <c r="M137" s="96"/>
      <c r="N137" s="96"/>
      <c r="O137" s="96"/>
      <c r="P137" s="82"/>
      <c r="Q137" s="96"/>
      <c r="R137" s="96"/>
      <c r="S137" s="96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32">
        <f t="shared" si="9"/>
        <v>0</v>
      </c>
      <c r="BB137" s="32">
        <f t="shared" si="10"/>
        <v>4</v>
      </c>
      <c r="BC137" s="32">
        <f t="shared" si="11"/>
        <v>3</v>
      </c>
      <c r="BD137" s="32">
        <f t="shared" si="12"/>
        <v>7</v>
      </c>
      <c r="BE137" s="33">
        <f t="shared" si="13"/>
        <v>42.85714286</v>
      </c>
    </row>
    <row r="138">
      <c r="A138" s="24">
        <v>61.0</v>
      </c>
      <c r="B138" s="74" t="s">
        <v>361</v>
      </c>
      <c r="C138" s="75" t="s">
        <v>362</v>
      </c>
      <c r="D138" s="26" t="s">
        <v>28</v>
      </c>
      <c r="E138" s="26" t="s">
        <v>28</v>
      </c>
      <c r="F138" s="26" t="s">
        <v>28</v>
      </c>
      <c r="G138" s="102" t="s">
        <v>28</v>
      </c>
      <c r="H138" s="104" t="s">
        <v>22</v>
      </c>
      <c r="I138" s="102" t="s">
        <v>28</v>
      </c>
      <c r="J138" s="102" t="s">
        <v>28</v>
      </c>
      <c r="K138" s="120"/>
      <c r="L138" s="96"/>
      <c r="M138" s="96"/>
      <c r="N138" s="96"/>
      <c r="O138" s="96"/>
      <c r="P138" s="96"/>
      <c r="Q138" s="96"/>
      <c r="R138" s="96"/>
      <c r="S138" s="82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32">
        <f t="shared" si="9"/>
        <v>0</v>
      </c>
      <c r="BB138" s="32">
        <f t="shared" si="10"/>
        <v>1</v>
      </c>
      <c r="BC138" s="32">
        <f t="shared" si="11"/>
        <v>6</v>
      </c>
      <c r="BD138" s="32">
        <f t="shared" si="12"/>
        <v>7</v>
      </c>
      <c r="BE138" s="33">
        <f t="shared" si="13"/>
        <v>85.71428571</v>
      </c>
    </row>
    <row r="139">
      <c r="A139" s="24">
        <v>62.0</v>
      </c>
      <c r="B139" s="24" t="s">
        <v>365</v>
      </c>
      <c r="C139" s="25" t="s">
        <v>366</v>
      </c>
      <c r="D139" s="37" t="s">
        <v>22</v>
      </c>
      <c r="E139" s="37" t="s">
        <v>22</v>
      </c>
      <c r="F139" s="26" t="s">
        <v>28</v>
      </c>
      <c r="G139" s="102" t="s">
        <v>28</v>
      </c>
      <c r="H139" s="102" t="s">
        <v>28</v>
      </c>
      <c r="I139" s="102" t="s">
        <v>28</v>
      </c>
      <c r="J139" s="104" t="s">
        <v>22</v>
      </c>
      <c r="K139" s="120"/>
      <c r="L139" s="82"/>
      <c r="M139" s="82"/>
      <c r="N139" s="82"/>
      <c r="O139" s="96"/>
      <c r="P139" s="96"/>
      <c r="Q139" s="82"/>
      <c r="R139" s="96"/>
      <c r="S139" s="82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32">
        <f t="shared" si="9"/>
        <v>0</v>
      </c>
      <c r="BB139" s="32">
        <f t="shared" si="10"/>
        <v>3</v>
      </c>
      <c r="BC139" s="32">
        <f t="shared" si="11"/>
        <v>4</v>
      </c>
      <c r="BD139" s="32">
        <f t="shared" si="12"/>
        <v>7</v>
      </c>
      <c r="BE139" s="33">
        <f t="shared" si="13"/>
        <v>57.14285714</v>
      </c>
    </row>
    <row r="140">
      <c r="A140" s="35">
        <v>63.0</v>
      </c>
      <c r="B140" s="35" t="s">
        <v>345</v>
      </c>
      <c r="C140" s="36" t="s">
        <v>346</v>
      </c>
      <c r="D140" s="37" t="s">
        <v>22</v>
      </c>
      <c r="E140" s="37" t="s">
        <v>28</v>
      </c>
      <c r="F140" s="37" t="s">
        <v>22</v>
      </c>
      <c r="G140" s="37" t="s">
        <v>22</v>
      </c>
      <c r="H140" s="37" t="s">
        <v>22</v>
      </c>
      <c r="I140" s="104" t="s">
        <v>22</v>
      </c>
      <c r="J140" s="104" t="s">
        <v>22</v>
      </c>
      <c r="K140" s="104"/>
      <c r="L140" s="27"/>
      <c r="M140" s="27"/>
      <c r="N140" s="27"/>
      <c r="O140" s="37"/>
      <c r="P140" s="27"/>
      <c r="Q140" s="37"/>
      <c r="R140" s="37"/>
      <c r="S140" s="27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41">
        <f t="shared" si="9"/>
        <v>0</v>
      </c>
      <c r="BB140" s="41">
        <f t="shared" si="10"/>
        <v>6</v>
      </c>
      <c r="BC140" s="41">
        <f t="shared" si="11"/>
        <v>1</v>
      </c>
      <c r="BD140" s="41">
        <f t="shared" si="12"/>
        <v>7</v>
      </c>
      <c r="BE140" s="42">
        <f t="shared" si="13"/>
        <v>14.28571429</v>
      </c>
    </row>
    <row r="141">
      <c r="A141" s="55"/>
      <c r="B141" s="55"/>
      <c r="C141" s="56" t="s">
        <v>191</v>
      </c>
      <c r="D141" s="112">
        <f t="shared" ref="D141:J141" si="14">COUNTIF(D78:D139,"P")+COUNTIF(D78:D139,"L")</f>
        <v>51</v>
      </c>
      <c r="E141" s="112">
        <f t="shared" si="14"/>
        <v>48</v>
      </c>
      <c r="F141" s="112">
        <f t="shared" si="14"/>
        <v>52</v>
      </c>
      <c r="G141" s="112">
        <f t="shared" si="14"/>
        <v>41</v>
      </c>
      <c r="H141" s="57">
        <f t="shared" si="14"/>
        <v>47</v>
      </c>
      <c r="I141" s="57">
        <f t="shared" si="14"/>
        <v>44</v>
      </c>
      <c r="J141" s="57">
        <f t="shared" si="14"/>
        <v>36</v>
      </c>
      <c r="K141" s="57"/>
      <c r="L141" s="57">
        <f t="shared" ref="L141:AZ141" si="15">COUNTIF(L78:L139,"P")+COUNTIF(L78:L139,"L")</f>
        <v>0</v>
      </c>
      <c r="M141" s="57">
        <f t="shared" si="15"/>
        <v>0</v>
      </c>
      <c r="N141" s="57">
        <f t="shared" si="15"/>
        <v>0</v>
      </c>
      <c r="O141" s="57">
        <f t="shared" si="15"/>
        <v>0</v>
      </c>
      <c r="P141" s="57">
        <f t="shared" si="15"/>
        <v>0</v>
      </c>
      <c r="Q141" s="57">
        <f t="shared" si="15"/>
        <v>0</v>
      </c>
      <c r="R141" s="57">
        <f t="shared" si="15"/>
        <v>0</v>
      </c>
      <c r="S141" s="57">
        <f t="shared" si="15"/>
        <v>0</v>
      </c>
      <c r="T141" s="57">
        <f t="shared" si="15"/>
        <v>0</v>
      </c>
      <c r="U141" s="57">
        <f t="shared" si="15"/>
        <v>0</v>
      </c>
      <c r="V141" s="57">
        <f t="shared" si="15"/>
        <v>0</v>
      </c>
      <c r="W141" s="57">
        <f t="shared" si="15"/>
        <v>0</v>
      </c>
      <c r="X141" s="57">
        <f t="shared" si="15"/>
        <v>0</v>
      </c>
      <c r="Y141" s="57">
        <f t="shared" si="15"/>
        <v>0</v>
      </c>
      <c r="Z141" s="57">
        <f t="shared" si="15"/>
        <v>0</v>
      </c>
      <c r="AA141" s="57">
        <f t="shared" si="15"/>
        <v>0</v>
      </c>
      <c r="AB141" s="57">
        <f t="shared" si="15"/>
        <v>0</v>
      </c>
      <c r="AC141" s="57">
        <f t="shared" si="15"/>
        <v>0</v>
      </c>
      <c r="AD141" s="57">
        <f t="shared" si="15"/>
        <v>0</v>
      </c>
      <c r="AE141" s="57">
        <f t="shared" si="15"/>
        <v>0</v>
      </c>
      <c r="AF141" s="57">
        <f t="shared" si="15"/>
        <v>0</v>
      </c>
      <c r="AG141" s="57">
        <f t="shared" si="15"/>
        <v>0</v>
      </c>
      <c r="AH141" s="57">
        <f t="shared" si="15"/>
        <v>0</v>
      </c>
      <c r="AI141" s="57">
        <f t="shared" si="15"/>
        <v>0</v>
      </c>
      <c r="AJ141" s="57">
        <f t="shared" si="15"/>
        <v>0</v>
      </c>
      <c r="AK141" s="57">
        <f t="shared" si="15"/>
        <v>0</v>
      </c>
      <c r="AL141" s="57">
        <f t="shared" si="15"/>
        <v>0</v>
      </c>
      <c r="AM141" s="57">
        <f t="shared" si="15"/>
        <v>0</v>
      </c>
      <c r="AN141" s="57">
        <f t="shared" si="15"/>
        <v>0</v>
      </c>
      <c r="AO141" s="57">
        <f t="shared" si="15"/>
        <v>0</v>
      </c>
      <c r="AP141" s="57">
        <f t="shared" si="15"/>
        <v>0</v>
      </c>
      <c r="AQ141" s="57">
        <f t="shared" si="15"/>
        <v>0</v>
      </c>
      <c r="AR141" s="57">
        <f t="shared" si="15"/>
        <v>0</v>
      </c>
      <c r="AS141" s="57">
        <f t="shared" si="15"/>
        <v>0</v>
      </c>
      <c r="AT141" s="57">
        <f t="shared" si="15"/>
        <v>0</v>
      </c>
      <c r="AU141" s="57">
        <f t="shared" si="15"/>
        <v>0</v>
      </c>
      <c r="AV141" s="57">
        <f t="shared" si="15"/>
        <v>0</v>
      </c>
      <c r="AW141" s="57">
        <f t="shared" si="15"/>
        <v>0</v>
      </c>
      <c r="AX141" s="57">
        <f t="shared" si="15"/>
        <v>0</v>
      </c>
      <c r="AY141" s="57">
        <f t="shared" si="15"/>
        <v>0</v>
      </c>
      <c r="AZ141" s="57">
        <f t="shared" si="15"/>
        <v>0</v>
      </c>
      <c r="BA141" s="32">
        <f t="shared" si="9"/>
        <v>0</v>
      </c>
      <c r="BB141" s="32">
        <f t="shared" si="10"/>
        <v>0</v>
      </c>
      <c r="BC141" s="32">
        <f t="shared" si="11"/>
        <v>0</v>
      </c>
      <c r="BD141" s="32">
        <f t="shared" si="12"/>
        <v>0</v>
      </c>
      <c r="BE141" s="33" t="str">
        <f t="shared" si="13"/>
        <v>#DIV/0!</v>
      </c>
    </row>
    <row r="142">
      <c r="A142" s="83" t="s">
        <v>491</v>
      </c>
      <c r="B142" s="55"/>
      <c r="C142" s="59" t="s">
        <v>192</v>
      </c>
      <c r="D142" s="114">
        <v>62.0</v>
      </c>
      <c r="E142" s="114">
        <v>62.0</v>
      </c>
      <c r="F142" s="114">
        <v>62.0</v>
      </c>
      <c r="G142" s="114">
        <v>62.0</v>
      </c>
      <c r="H142" s="114">
        <v>62.0</v>
      </c>
      <c r="I142" s="114">
        <v>62.0</v>
      </c>
      <c r="J142" s="114">
        <v>62.0</v>
      </c>
      <c r="K142" s="114"/>
      <c r="L142" s="114">
        <v>62.0</v>
      </c>
      <c r="M142" s="114">
        <v>62.0</v>
      </c>
      <c r="N142" s="114">
        <v>62.0</v>
      </c>
      <c r="O142" s="114">
        <v>62.0</v>
      </c>
      <c r="P142" s="114">
        <v>62.0</v>
      </c>
      <c r="Q142" s="114">
        <v>62.0</v>
      </c>
      <c r="R142" s="114">
        <v>62.0</v>
      </c>
      <c r="S142" s="114">
        <v>62.0</v>
      </c>
      <c r="T142" s="114">
        <v>62.0</v>
      </c>
      <c r="U142" s="114">
        <v>62.0</v>
      </c>
      <c r="V142" s="114">
        <v>62.0</v>
      </c>
      <c r="W142" s="114">
        <v>62.0</v>
      </c>
      <c r="X142" s="114">
        <v>62.0</v>
      </c>
      <c r="Y142" s="114">
        <v>62.0</v>
      </c>
      <c r="Z142" s="114">
        <v>62.0</v>
      </c>
      <c r="AA142" s="114">
        <v>62.0</v>
      </c>
      <c r="AB142" s="114">
        <v>62.0</v>
      </c>
      <c r="AC142" s="114">
        <v>62.0</v>
      </c>
      <c r="AD142" s="114">
        <v>62.0</v>
      </c>
      <c r="AE142" s="114">
        <v>62.0</v>
      </c>
      <c r="AF142" s="114">
        <v>62.0</v>
      </c>
      <c r="AG142" s="114">
        <v>62.0</v>
      </c>
      <c r="AH142" s="114">
        <v>62.0</v>
      </c>
      <c r="AI142" s="114">
        <v>62.0</v>
      </c>
      <c r="AJ142" s="114">
        <v>62.0</v>
      </c>
      <c r="AK142" s="114">
        <v>62.0</v>
      </c>
      <c r="AL142" s="114">
        <v>62.0</v>
      </c>
      <c r="AM142" s="114">
        <v>62.0</v>
      </c>
      <c r="AN142" s="114">
        <v>62.0</v>
      </c>
      <c r="AO142" s="114">
        <v>62.0</v>
      </c>
      <c r="AP142" s="114">
        <v>62.0</v>
      </c>
      <c r="AQ142" s="114">
        <v>62.0</v>
      </c>
      <c r="AR142" s="114">
        <v>62.0</v>
      </c>
      <c r="AS142" s="114">
        <v>62.0</v>
      </c>
      <c r="AT142" s="114">
        <v>62.0</v>
      </c>
      <c r="AU142" s="114">
        <v>62.0</v>
      </c>
      <c r="AV142" s="114">
        <v>62.0</v>
      </c>
      <c r="AW142" s="114">
        <v>62.0</v>
      </c>
      <c r="AX142" s="114">
        <v>62.0</v>
      </c>
      <c r="AY142" s="114">
        <v>62.0</v>
      </c>
      <c r="AZ142" s="114">
        <v>62.0</v>
      </c>
      <c r="BA142" s="55"/>
      <c r="BB142" s="55"/>
      <c r="BC142" s="55"/>
      <c r="BD142" s="55"/>
      <c r="BE142" s="76"/>
    </row>
    <row r="143">
      <c r="A143" s="55"/>
      <c r="B143" s="55"/>
      <c r="C143" s="62" t="s">
        <v>193</v>
      </c>
      <c r="D143" s="115">
        <f t="shared" ref="D143:J143" si="16">SUM(D141/D142)*100</f>
        <v>82.25806452</v>
      </c>
      <c r="E143" s="115">
        <f t="shared" si="16"/>
        <v>77.41935484</v>
      </c>
      <c r="F143" s="115">
        <f t="shared" si="16"/>
        <v>83.87096774</v>
      </c>
      <c r="G143" s="115">
        <f t="shared" si="16"/>
        <v>66.12903226</v>
      </c>
      <c r="H143" s="63">
        <f t="shared" si="16"/>
        <v>75.80645161</v>
      </c>
      <c r="I143" s="63">
        <f t="shared" si="16"/>
        <v>70.96774194</v>
      </c>
      <c r="J143" s="63">
        <f t="shared" si="16"/>
        <v>58.06451613</v>
      </c>
      <c r="K143" s="63"/>
      <c r="L143" s="63">
        <f t="shared" ref="L143:AZ143" si="17">SUM(L141/L142)*100</f>
        <v>0</v>
      </c>
      <c r="M143" s="63">
        <f t="shared" si="17"/>
        <v>0</v>
      </c>
      <c r="N143" s="63">
        <f t="shared" si="17"/>
        <v>0</v>
      </c>
      <c r="O143" s="63">
        <f t="shared" si="17"/>
        <v>0</v>
      </c>
      <c r="P143" s="63">
        <f t="shared" si="17"/>
        <v>0</v>
      </c>
      <c r="Q143" s="63">
        <f t="shared" si="17"/>
        <v>0</v>
      </c>
      <c r="R143" s="63">
        <f t="shared" si="17"/>
        <v>0</v>
      </c>
      <c r="S143" s="63">
        <f t="shared" si="17"/>
        <v>0</v>
      </c>
      <c r="T143" s="63">
        <f t="shared" si="17"/>
        <v>0</v>
      </c>
      <c r="U143" s="63">
        <f t="shared" si="17"/>
        <v>0</v>
      </c>
      <c r="V143" s="63">
        <f t="shared" si="17"/>
        <v>0</v>
      </c>
      <c r="W143" s="63">
        <f t="shared" si="17"/>
        <v>0</v>
      </c>
      <c r="X143" s="63">
        <f t="shared" si="17"/>
        <v>0</v>
      </c>
      <c r="Y143" s="63">
        <f t="shared" si="17"/>
        <v>0</v>
      </c>
      <c r="Z143" s="63">
        <f t="shared" si="17"/>
        <v>0</v>
      </c>
      <c r="AA143" s="63">
        <f t="shared" si="17"/>
        <v>0</v>
      </c>
      <c r="AB143" s="63">
        <f t="shared" si="17"/>
        <v>0</v>
      </c>
      <c r="AC143" s="63">
        <f t="shared" si="17"/>
        <v>0</v>
      </c>
      <c r="AD143" s="63">
        <f t="shared" si="17"/>
        <v>0</v>
      </c>
      <c r="AE143" s="63">
        <f t="shared" si="17"/>
        <v>0</v>
      </c>
      <c r="AF143" s="63">
        <f t="shared" si="17"/>
        <v>0</v>
      </c>
      <c r="AG143" s="63">
        <f t="shared" si="17"/>
        <v>0</v>
      </c>
      <c r="AH143" s="63">
        <f t="shared" si="17"/>
        <v>0</v>
      </c>
      <c r="AI143" s="63">
        <f t="shared" si="17"/>
        <v>0</v>
      </c>
      <c r="AJ143" s="63">
        <f t="shared" si="17"/>
        <v>0</v>
      </c>
      <c r="AK143" s="63">
        <f t="shared" si="17"/>
        <v>0</v>
      </c>
      <c r="AL143" s="63">
        <f t="shared" si="17"/>
        <v>0</v>
      </c>
      <c r="AM143" s="63">
        <f t="shared" si="17"/>
        <v>0</v>
      </c>
      <c r="AN143" s="63">
        <f t="shared" si="17"/>
        <v>0</v>
      </c>
      <c r="AO143" s="63">
        <f t="shared" si="17"/>
        <v>0</v>
      </c>
      <c r="AP143" s="63">
        <f t="shared" si="17"/>
        <v>0</v>
      </c>
      <c r="AQ143" s="63">
        <f t="shared" si="17"/>
        <v>0</v>
      </c>
      <c r="AR143" s="63">
        <f t="shared" si="17"/>
        <v>0</v>
      </c>
      <c r="AS143" s="63">
        <f t="shared" si="17"/>
        <v>0</v>
      </c>
      <c r="AT143" s="63">
        <f t="shared" si="17"/>
        <v>0</v>
      </c>
      <c r="AU143" s="63">
        <f t="shared" si="17"/>
        <v>0</v>
      </c>
      <c r="AV143" s="63">
        <f t="shared" si="17"/>
        <v>0</v>
      </c>
      <c r="AW143" s="63">
        <f t="shared" si="17"/>
        <v>0</v>
      </c>
      <c r="AX143" s="63">
        <f t="shared" si="17"/>
        <v>0</v>
      </c>
      <c r="AY143" s="63">
        <f t="shared" si="17"/>
        <v>0</v>
      </c>
      <c r="AZ143" s="63">
        <f t="shared" si="17"/>
        <v>0</v>
      </c>
      <c r="BA143" s="55"/>
      <c r="BB143" s="55"/>
      <c r="BC143" s="55"/>
      <c r="BD143" s="55"/>
      <c r="BE143" s="76"/>
    </row>
    <row r="144">
      <c r="D144" s="123"/>
      <c r="E144" s="123"/>
      <c r="F144" s="123"/>
      <c r="G144" s="123"/>
    </row>
    <row r="145">
      <c r="D145" s="123"/>
      <c r="E145" s="123"/>
      <c r="F145" s="123"/>
      <c r="G145" s="123"/>
    </row>
    <row r="146">
      <c r="D146" s="123"/>
      <c r="E146" s="123"/>
      <c r="F146" s="123"/>
      <c r="G146" s="123"/>
    </row>
    <row r="147">
      <c r="D147" s="123"/>
      <c r="E147" s="123"/>
      <c r="F147" s="123"/>
      <c r="G147" s="123"/>
    </row>
    <row r="148">
      <c r="D148" s="123"/>
      <c r="E148" s="123"/>
      <c r="F148" s="123"/>
      <c r="G148" s="123"/>
    </row>
    <row r="149">
      <c r="D149" s="123"/>
      <c r="E149" s="123"/>
      <c r="F149" s="123"/>
      <c r="G149" s="123"/>
    </row>
    <row r="150">
      <c r="D150" s="123"/>
      <c r="E150" s="123"/>
      <c r="F150" s="123"/>
      <c r="G150" s="123"/>
    </row>
    <row r="151">
      <c r="D151" s="123"/>
      <c r="E151" s="123"/>
      <c r="F151" s="123"/>
      <c r="G151" s="123"/>
    </row>
    <row r="152">
      <c r="D152" s="123"/>
      <c r="E152" s="123"/>
      <c r="F152" s="123"/>
      <c r="G152" s="123"/>
    </row>
    <row r="153">
      <c r="D153" s="123"/>
      <c r="E153" s="123"/>
      <c r="F153" s="123"/>
      <c r="G153" s="123"/>
    </row>
    <row r="154">
      <c r="D154" s="123"/>
      <c r="E154" s="123"/>
      <c r="F154" s="123"/>
      <c r="G154" s="123"/>
    </row>
    <row r="155">
      <c r="D155" s="123"/>
      <c r="E155" s="123"/>
      <c r="F155" s="123"/>
      <c r="G155" s="123"/>
    </row>
    <row r="156">
      <c r="D156" s="123"/>
      <c r="E156" s="123"/>
      <c r="F156" s="123"/>
      <c r="G156" s="123"/>
    </row>
    <row r="157">
      <c r="D157" s="123"/>
      <c r="E157" s="123"/>
      <c r="F157" s="123"/>
      <c r="G157" s="123"/>
    </row>
    <row r="158">
      <c r="D158" s="123"/>
      <c r="E158" s="123"/>
      <c r="F158" s="123"/>
      <c r="G158" s="123"/>
      <c r="L158" s="124" t="s">
        <v>492</v>
      </c>
    </row>
    <row r="159">
      <c r="D159" s="123"/>
      <c r="E159" s="123"/>
      <c r="F159" s="123"/>
      <c r="G159" s="123"/>
    </row>
    <row r="160">
      <c r="D160" s="123"/>
      <c r="E160" s="123"/>
      <c r="F160" s="123"/>
      <c r="G160" s="123"/>
    </row>
    <row r="161">
      <c r="D161" s="123"/>
      <c r="E161" s="123"/>
      <c r="F161" s="123"/>
      <c r="G161" s="123"/>
    </row>
    <row r="162">
      <c r="D162" s="123"/>
      <c r="E162" s="123"/>
      <c r="F162" s="123"/>
      <c r="G162" s="123"/>
    </row>
    <row r="163">
      <c r="D163" s="123"/>
      <c r="E163" s="123"/>
      <c r="F163" s="123"/>
      <c r="G163" s="123"/>
    </row>
    <row r="164">
      <c r="D164" s="123"/>
      <c r="E164" s="123"/>
      <c r="F164" s="123"/>
      <c r="G164" s="123"/>
    </row>
    <row r="165">
      <c r="D165" s="123"/>
      <c r="E165" s="123"/>
      <c r="F165" s="123"/>
      <c r="G165" s="123"/>
    </row>
    <row r="166">
      <c r="D166" s="123"/>
      <c r="E166" s="123"/>
      <c r="F166" s="123"/>
      <c r="G166" s="123"/>
    </row>
    <row r="167">
      <c r="D167" s="123"/>
      <c r="E167" s="123"/>
      <c r="F167" s="123"/>
      <c r="G167" s="123"/>
    </row>
    <row r="168">
      <c r="D168" s="123"/>
      <c r="E168" s="123"/>
      <c r="F168" s="123"/>
      <c r="G168" s="123"/>
    </row>
    <row r="169">
      <c r="D169" s="123"/>
      <c r="E169" s="123"/>
      <c r="F169" s="123"/>
      <c r="G169" s="123"/>
    </row>
    <row r="170">
      <c r="D170" s="123"/>
      <c r="E170" s="123"/>
      <c r="F170" s="123"/>
      <c r="G170" s="123"/>
    </row>
    <row r="171">
      <c r="D171" s="123"/>
      <c r="E171" s="123"/>
      <c r="F171" s="123"/>
      <c r="G171" s="123"/>
    </row>
    <row r="172">
      <c r="D172" s="123"/>
      <c r="E172" s="123"/>
      <c r="F172" s="123"/>
      <c r="G172" s="123"/>
    </row>
    <row r="173">
      <c r="D173" s="123"/>
      <c r="E173" s="123"/>
      <c r="F173" s="123"/>
      <c r="G173" s="123"/>
    </row>
    <row r="174">
      <c r="D174" s="123"/>
      <c r="E174" s="123"/>
      <c r="F174" s="123"/>
      <c r="G174" s="123"/>
    </row>
    <row r="175">
      <c r="D175" s="123"/>
      <c r="E175" s="123"/>
      <c r="F175" s="123"/>
      <c r="G175" s="123"/>
    </row>
    <row r="176">
      <c r="D176" s="123"/>
      <c r="E176" s="123"/>
      <c r="F176" s="123"/>
      <c r="G176" s="123"/>
    </row>
    <row r="177">
      <c r="D177" s="123"/>
      <c r="E177" s="123"/>
      <c r="F177" s="123"/>
      <c r="G177" s="123"/>
    </row>
    <row r="178">
      <c r="D178" s="123"/>
      <c r="E178" s="123"/>
      <c r="F178" s="123"/>
      <c r="G178" s="123"/>
    </row>
    <row r="179">
      <c r="D179" s="123"/>
      <c r="E179" s="123"/>
      <c r="F179" s="123"/>
      <c r="G179" s="123"/>
    </row>
    <row r="180">
      <c r="D180" s="123"/>
      <c r="E180" s="123"/>
      <c r="F180" s="123"/>
      <c r="G180" s="123"/>
    </row>
    <row r="181">
      <c r="D181" s="123"/>
      <c r="E181" s="123"/>
      <c r="F181" s="123"/>
      <c r="G181" s="123"/>
    </row>
    <row r="182">
      <c r="D182" s="123"/>
      <c r="E182" s="123"/>
      <c r="F182" s="123"/>
      <c r="G182" s="123"/>
    </row>
    <row r="183">
      <c r="D183" s="123"/>
      <c r="E183" s="123"/>
      <c r="F183" s="123"/>
      <c r="G183" s="123"/>
    </row>
    <row r="184">
      <c r="D184" s="123"/>
      <c r="E184" s="123"/>
      <c r="F184" s="123"/>
      <c r="G184" s="123"/>
    </row>
    <row r="185">
      <c r="D185" s="123"/>
      <c r="E185" s="123"/>
      <c r="F185" s="123"/>
      <c r="G185" s="123"/>
    </row>
    <row r="186">
      <c r="D186" s="123"/>
      <c r="E186" s="123"/>
      <c r="F186" s="123"/>
      <c r="G186" s="123"/>
    </row>
    <row r="187">
      <c r="D187" s="123"/>
      <c r="E187" s="123"/>
      <c r="F187" s="123"/>
      <c r="G187" s="123"/>
    </row>
    <row r="188">
      <c r="D188" s="123"/>
      <c r="E188" s="123"/>
      <c r="F188" s="123"/>
      <c r="G188" s="123"/>
    </row>
    <row r="189">
      <c r="D189" s="123"/>
      <c r="E189" s="123"/>
      <c r="F189" s="123"/>
      <c r="G189" s="123"/>
    </row>
    <row r="190">
      <c r="D190" s="123"/>
      <c r="E190" s="123"/>
      <c r="F190" s="123"/>
      <c r="G190" s="123"/>
    </row>
    <row r="191">
      <c r="D191" s="123"/>
      <c r="E191" s="123"/>
      <c r="F191" s="123"/>
      <c r="G191" s="123"/>
    </row>
    <row r="192">
      <c r="D192" s="123"/>
      <c r="E192" s="123"/>
      <c r="F192" s="123"/>
      <c r="G192" s="123"/>
    </row>
    <row r="193">
      <c r="D193" s="123"/>
      <c r="E193" s="123"/>
      <c r="F193" s="123"/>
      <c r="G193" s="123"/>
    </row>
    <row r="194">
      <c r="D194" s="123"/>
      <c r="E194" s="123"/>
      <c r="F194" s="123"/>
      <c r="G194" s="123"/>
    </row>
    <row r="195">
      <c r="D195" s="123"/>
      <c r="E195" s="123"/>
      <c r="F195" s="123"/>
      <c r="G195" s="123"/>
    </row>
    <row r="196">
      <c r="D196" s="123"/>
      <c r="E196" s="123"/>
      <c r="F196" s="123"/>
      <c r="G196" s="123"/>
    </row>
    <row r="197">
      <c r="D197" s="123"/>
      <c r="E197" s="123"/>
      <c r="F197" s="123"/>
      <c r="G197" s="123"/>
    </row>
    <row r="198">
      <c r="D198" s="123"/>
      <c r="E198" s="123"/>
      <c r="F198" s="123"/>
      <c r="G198" s="123"/>
    </row>
    <row r="199">
      <c r="D199" s="123"/>
      <c r="E199" s="123"/>
      <c r="F199" s="123"/>
      <c r="G199" s="123"/>
    </row>
    <row r="200">
      <c r="D200" s="123"/>
      <c r="E200" s="123"/>
      <c r="F200" s="123"/>
      <c r="G200" s="123"/>
    </row>
    <row r="201">
      <c r="D201" s="123"/>
      <c r="E201" s="123"/>
      <c r="F201" s="123"/>
      <c r="G201" s="123"/>
    </row>
    <row r="202">
      <c r="D202" s="123"/>
      <c r="E202" s="123"/>
      <c r="F202" s="123"/>
      <c r="G202" s="123"/>
    </row>
    <row r="203">
      <c r="D203" s="123"/>
      <c r="E203" s="123"/>
      <c r="F203" s="123"/>
      <c r="G203" s="123"/>
    </row>
    <row r="204">
      <c r="D204" s="123"/>
      <c r="E204" s="123"/>
      <c r="F204" s="123"/>
      <c r="G204" s="123"/>
    </row>
    <row r="205">
      <c r="D205" s="123"/>
      <c r="E205" s="123"/>
      <c r="F205" s="123"/>
      <c r="G205" s="123"/>
    </row>
    <row r="206">
      <c r="D206" s="123"/>
      <c r="E206" s="123"/>
      <c r="F206" s="123"/>
      <c r="G206" s="123"/>
    </row>
    <row r="207">
      <c r="D207" s="123"/>
      <c r="E207" s="123"/>
      <c r="F207" s="123"/>
      <c r="G207" s="123"/>
    </row>
    <row r="208">
      <c r="D208" s="123"/>
      <c r="E208" s="123"/>
      <c r="F208" s="123"/>
      <c r="G208" s="123"/>
    </row>
    <row r="209">
      <c r="D209" s="123"/>
      <c r="E209" s="123"/>
      <c r="F209" s="123"/>
      <c r="G209" s="123"/>
    </row>
    <row r="210">
      <c r="D210" s="123"/>
      <c r="E210" s="123"/>
      <c r="F210" s="123"/>
      <c r="G210" s="123"/>
    </row>
    <row r="211">
      <c r="D211" s="123"/>
      <c r="E211" s="123"/>
      <c r="F211" s="123"/>
      <c r="G211" s="123"/>
    </row>
    <row r="212">
      <c r="D212" s="123"/>
      <c r="E212" s="123"/>
      <c r="F212" s="123"/>
      <c r="G212" s="123"/>
    </row>
    <row r="213">
      <c r="D213" s="123"/>
      <c r="E213" s="123"/>
      <c r="F213" s="123"/>
      <c r="G213" s="123"/>
    </row>
    <row r="214">
      <c r="D214" s="123"/>
      <c r="E214" s="123"/>
      <c r="F214" s="123"/>
      <c r="G214" s="123"/>
    </row>
    <row r="215">
      <c r="D215" s="123"/>
      <c r="E215" s="123"/>
      <c r="F215" s="123"/>
      <c r="G215" s="123"/>
    </row>
    <row r="216">
      <c r="D216" s="123"/>
      <c r="E216" s="123"/>
      <c r="F216" s="123"/>
      <c r="G216" s="123"/>
    </row>
    <row r="217">
      <c r="D217" s="123"/>
      <c r="E217" s="123"/>
      <c r="F217" s="123"/>
      <c r="G217" s="123"/>
    </row>
    <row r="218">
      <c r="D218" s="123"/>
      <c r="E218" s="123"/>
      <c r="F218" s="123"/>
      <c r="G218" s="123"/>
    </row>
    <row r="219">
      <c r="D219" s="123"/>
      <c r="E219" s="123"/>
      <c r="F219" s="123"/>
      <c r="G219" s="123"/>
    </row>
    <row r="220">
      <c r="D220" s="123"/>
      <c r="E220" s="123"/>
      <c r="F220" s="123"/>
      <c r="G220" s="123"/>
    </row>
    <row r="221">
      <c r="D221" s="123"/>
      <c r="E221" s="123"/>
      <c r="F221" s="123"/>
      <c r="G221" s="123"/>
    </row>
    <row r="222">
      <c r="D222" s="123"/>
      <c r="E222" s="123"/>
      <c r="F222" s="123"/>
      <c r="G222" s="123"/>
    </row>
    <row r="223">
      <c r="D223" s="123"/>
      <c r="E223" s="123"/>
      <c r="F223" s="123"/>
      <c r="G223" s="123"/>
    </row>
    <row r="224">
      <c r="D224" s="123"/>
      <c r="E224" s="123"/>
      <c r="F224" s="123"/>
      <c r="G224" s="123"/>
    </row>
    <row r="225">
      <c r="D225" s="123"/>
      <c r="E225" s="123"/>
      <c r="F225" s="123"/>
      <c r="G225" s="123"/>
    </row>
    <row r="226">
      <c r="D226" s="123"/>
      <c r="E226" s="123"/>
      <c r="F226" s="123"/>
      <c r="G226" s="123"/>
    </row>
    <row r="227">
      <c r="D227" s="123"/>
      <c r="E227" s="123"/>
      <c r="F227" s="123"/>
      <c r="G227" s="123"/>
    </row>
    <row r="228">
      <c r="D228" s="123"/>
      <c r="E228" s="123"/>
      <c r="F228" s="123"/>
      <c r="G228" s="123"/>
    </row>
    <row r="229">
      <c r="D229" s="123"/>
      <c r="E229" s="123"/>
      <c r="F229" s="123"/>
      <c r="G229" s="123"/>
    </row>
    <row r="230">
      <c r="D230" s="123"/>
      <c r="E230" s="123"/>
      <c r="F230" s="123"/>
      <c r="G230" s="123"/>
    </row>
    <row r="231">
      <c r="D231" s="123"/>
      <c r="E231" s="123"/>
      <c r="F231" s="123"/>
      <c r="G231" s="123"/>
    </row>
    <row r="232">
      <c r="D232" s="123"/>
      <c r="E232" s="123"/>
      <c r="F232" s="123"/>
      <c r="G232" s="123"/>
    </row>
    <row r="233">
      <c r="D233" s="123"/>
      <c r="E233" s="123"/>
      <c r="F233" s="123"/>
      <c r="G233" s="123"/>
    </row>
    <row r="234">
      <c r="D234" s="123"/>
      <c r="E234" s="123"/>
      <c r="F234" s="123"/>
      <c r="G234" s="123"/>
    </row>
    <row r="235">
      <c r="D235" s="123"/>
      <c r="E235" s="123"/>
      <c r="F235" s="123"/>
      <c r="G235" s="123"/>
    </row>
    <row r="236">
      <c r="D236" s="123"/>
      <c r="E236" s="123"/>
      <c r="F236" s="123"/>
      <c r="G236" s="123"/>
    </row>
    <row r="237">
      <c r="D237" s="123"/>
      <c r="E237" s="123"/>
      <c r="F237" s="123"/>
      <c r="G237" s="123"/>
    </row>
    <row r="238">
      <c r="D238" s="123"/>
      <c r="E238" s="123"/>
      <c r="F238" s="123"/>
      <c r="G238" s="123"/>
    </row>
    <row r="239">
      <c r="D239" s="123"/>
      <c r="E239" s="123"/>
      <c r="F239" s="123"/>
      <c r="G239" s="123"/>
    </row>
    <row r="240">
      <c r="D240" s="123"/>
      <c r="E240" s="123"/>
      <c r="F240" s="123"/>
      <c r="G240" s="123"/>
    </row>
    <row r="241">
      <c r="D241" s="123"/>
      <c r="E241" s="123"/>
      <c r="F241" s="123"/>
      <c r="G241" s="123"/>
    </row>
    <row r="242">
      <c r="D242" s="123"/>
      <c r="E242" s="123"/>
      <c r="F242" s="123"/>
      <c r="G242" s="123"/>
    </row>
    <row r="243">
      <c r="D243" s="123"/>
      <c r="E243" s="123"/>
      <c r="F243" s="123"/>
      <c r="G243" s="123"/>
    </row>
    <row r="244">
      <c r="D244" s="123"/>
      <c r="E244" s="123"/>
      <c r="F244" s="123"/>
      <c r="G244" s="123"/>
    </row>
    <row r="245">
      <c r="D245" s="123"/>
      <c r="E245" s="123"/>
      <c r="F245" s="123"/>
      <c r="G245" s="123"/>
    </row>
    <row r="246">
      <c r="D246" s="123"/>
      <c r="E246" s="123"/>
      <c r="F246" s="123"/>
      <c r="G246" s="123"/>
    </row>
    <row r="247">
      <c r="D247" s="123"/>
      <c r="E247" s="123"/>
      <c r="F247" s="123"/>
      <c r="G247" s="123"/>
    </row>
    <row r="248">
      <c r="D248" s="123"/>
      <c r="E248" s="123"/>
      <c r="F248" s="123"/>
      <c r="G248" s="123"/>
    </row>
    <row r="249">
      <c r="D249" s="123"/>
      <c r="E249" s="123"/>
      <c r="F249" s="123"/>
      <c r="G249" s="123"/>
    </row>
    <row r="250">
      <c r="D250" s="123"/>
      <c r="E250" s="123"/>
      <c r="F250" s="123"/>
      <c r="G250" s="123"/>
    </row>
    <row r="251">
      <c r="D251" s="123"/>
      <c r="E251" s="123"/>
      <c r="F251" s="123"/>
      <c r="G251" s="123"/>
    </row>
    <row r="252">
      <c r="D252" s="123"/>
      <c r="E252" s="123"/>
      <c r="F252" s="123"/>
      <c r="G252" s="123"/>
    </row>
    <row r="253">
      <c r="D253" s="123"/>
      <c r="E253" s="123"/>
      <c r="F253" s="123"/>
      <c r="G253" s="123"/>
    </row>
    <row r="254">
      <c r="D254" s="123"/>
      <c r="E254" s="123"/>
      <c r="F254" s="123"/>
      <c r="G254" s="123"/>
    </row>
    <row r="255">
      <c r="D255" s="123"/>
      <c r="E255" s="123"/>
      <c r="F255" s="123"/>
      <c r="G255" s="123"/>
    </row>
    <row r="256">
      <c r="D256" s="123"/>
      <c r="E256" s="123"/>
      <c r="F256" s="123"/>
      <c r="G256" s="123"/>
    </row>
    <row r="257">
      <c r="D257" s="123"/>
      <c r="E257" s="123"/>
      <c r="F257" s="123"/>
      <c r="G257" s="123"/>
    </row>
    <row r="258">
      <c r="D258" s="123"/>
      <c r="E258" s="123"/>
      <c r="F258" s="123"/>
      <c r="G258" s="123"/>
    </row>
    <row r="259">
      <c r="D259" s="123"/>
      <c r="E259" s="123"/>
      <c r="F259" s="123"/>
      <c r="G259" s="123"/>
    </row>
    <row r="260">
      <c r="D260" s="123"/>
      <c r="E260" s="123"/>
      <c r="F260" s="123"/>
      <c r="G260" s="123"/>
    </row>
    <row r="261">
      <c r="D261" s="123"/>
      <c r="E261" s="123"/>
      <c r="F261" s="123"/>
      <c r="G261" s="123"/>
    </row>
    <row r="262">
      <c r="D262" s="123"/>
      <c r="E262" s="123"/>
      <c r="F262" s="123"/>
      <c r="G262" s="123"/>
    </row>
    <row r="263">
      <c r="D263" s="123"/>
      <c r="E263" s="123"/>
      <c r="F263" s="123"/>
      <c r="G263" s="123"/>
    </row>
    <row r="264">
      <c r="D264" s="123"/>
      <c r="E264" s="123"/>
      <c r="F264" s="123"/>
      <c r="G264" s="123"/>
    </row>
    <row r="265">
      <c r="D265" s="123"/>
      <c r="E265" s="123"/>
      <c r="F265" s="123"/>
      <c r="G265" s="123"/>
    </row>
    <row r="266">
      <c r="D266" s="123"/>
      <c r="E266" s="123"/>
      <c r="F266" s="123"/>
      <c r="G266" s="123"/>
    </row>
    <row r="267">
      <c r="D267" s="123"/>
      <c r="E267" s="123"/>
      <c r="F267" s="123"/>
      <c r="G267" s="123"/>
    </row>
    <row r="268">
      <c r="D268" s="123"/>
      <c r="E268" s="123"/>
      <c r="F268" s="123"/>
      <c r="G268" s="123"/>
    </row>
    <row r="269">
      <c r="D269" s="123"/>
      <c r="E269" s="123"/>
      <c r="F269" s="123"/>
      <c r="G269" s="123"/>
    </row>
    <row r="270">
      <c r="D270" s="123"/>
      <c r="E270" s="123"/>
      <c r="F270" s="123"/>
      <c r="G270" s="123"/>
    </row>
    <row r="271">
      <c r="D271" s="123"/>
      <c r="E271" s="123"/>
      <c r="F271" s="123"/>
      <c r="G271" s="123"/>
    </row>
    <row r="272">
      <c r="D272" s="123"/>
      <c r="E272" s="123"/>
      <c r="F272" s="123"/>
      <c r="G272" s="123"/>
    </row>
    <row r="273">
      <c r="D273" s="123"/>
      <c r="E273" s="123"/>
      <c r="F273" s="123"/>
      <c r="G273" s="123"/>
    </row>
    <row r="274">
      <c r="D274" s="123"/>
      <c r="E274" s="123"/>
      <c r="F274" s="123"/>
      <c r="G274" s="123"/>
    </row>
    <row r="275">
      <c r="D275" s="123"/>
      <c r="E275" s="123"/>
      <c r="F275" s="123"/>
      <c r="G275" s="123"/>
    </row>
    <row r="276">
      <c r="D276" s="123"/>
      <c r="E276" s="123"/>
      <c r="F276" s="123"/>
      <c r="G276" s="123"/>
    </row>
    <row r="277">
      <c r="D277" s="123"/>
      <c r="E277" s="123"/>
      <c r="F277" s="123"/>
      <c r="G277" s="123"/>
    </row>
    <row r="278">
      <c r="D278" s="123"/>
      <c r="E278" s="123"/>
      <c r="F278" s="123"/>
      <c r="G278" s="123"/>
    </row>
    <row r="279">
      <c r="D279" s="123"/>
      <c r="E279" s="123"/>
      <c r="F279" s="123"/>
      <c r="G279" s="123"/>
    </row>
    <row r="280">
      <c r="D280" s="123"/>
      <c r="E280" s="123"/>
      <c r="F280" s="123"/>
      <c r="G280" s="123"/>
    </row>
    <row r="281">
      <c r="D281" s="123"/>
      <c r="E281" s="123"/>
      <c r="F281" s="123"/>
      <c r="G281" s="123"/>
    </row>
    <row r="282">
      <c r="D282" s="123"/>
      <c r="E282" s="123"/>
      <c r="F282" s="123"/>
      <c r="G282" s="123"/>
    </row>
    <row r="283">
      <c r="D283" s="123"/>
      <c r="E283" s="123"/>
      <c r="F283" s="123"/>
      <c r="G283" s="123"/>
    </row>
    <row r="284">
      <c r="D284" s="123"/>
      <c r="E284" s="123"/>
      <c r="F284" s="123"/>
      <c r="G284" s="123"/>
    </row>
    <row r="285">
      <c r="D285" s="123"/>
      <c r="E285" s="123"/>
      <c r="F285" s="123"/>
      <c r="G285" s="123"/>
    </row>
    <row r="286">
      <c r="D286" s="123"/>
      <c r="E286" s="123"/>
      <c r="F286" s="123"/>
      <c r="G286" s="123"/>
    </row>
    <row r="287">
      <c r="D287" s="123"/>
      <c r="E287" s="123"/>
      <c r="F287" s="123"/>
      <c r="G287" s="123"/>
    </row>
    <row r="288">
      <c r="D288" s="123"/>
      <c r="E288" s="123"/>
      <c r="F288" s="123"/>
      <c r="G288" s="123"/>
    </row>
    <row r="289">
      <c r="D289" s="123"/>
      <c r="E289" s="123"/>
      <c r="F289" s="123"/>
      <c r="G289" s="123"/>
    </row>
    <row r="290">
      <c r="D290" s="123"/>
      <c r="E290" s="123"/>
      <c r="F290" s="123"/>
      <c r="G290" s="123"/>
    </row>
    <row r="291">
      <c r="D291" s="123"/>
      <c r="E291" s="123"/>
      <c r="F291" s="123"/>
      <c r="G291" s="123"/>
    </row>
    <row r="292">
      <c r="D292" s="123"/>
      <c r="E292" s="123"/>
      <c r="F292" s="123"/>
      <c r="G292" s="123"/>
    </row>
    <row r="293">
      <c r="D293" s="123"/>
      <c r="E293" s="123"/>
      <c r="F293" s="123"/>
      <c r="G293" s="123"/>
    </row>
    <row r="294">
      <c r="D294" s="123"/>
      <c r="E294" s="123"/>
      <c r="F294" s="123"/>
      <c r="G294" s="123"/>
    </row>
    <row r="295">
      <c r="D295" s="123"/>
      <c r="E295" s="123"/>
      <c r="F295" s="123"/>
      <c r="G295" s="123"/>
    </row>
    <row r="296">
      <c r="D296" s="123"/>
      <c r="E296" s="123"/>
      <c r="F296" s="123"/>
      <c r="G296" s="123"/>
    </row>
    <row r="297">
      <c r="D297" s="123"/>
      <c r="E297" s="123"/>
      <c r="F297" s="123"/>
      <c r="G297" s="123"/>
    </row>
    <row r="298">
      <c r="D298" s="123"/>
      <c r="E298" s="123"/>
      <c r="F298" s="123"/>
      <c r="G298" s="123"/>
    </row>
    <row r="299">
      <c r="D299" s="123"/>
      <c r="E299" s="123"/>
      <c r="F299" s="123"/>
      <c r="G299" s="123"/>
    </row>
    <row r="300">
      <c r="D300" s="123"/>
      <c r="E300" s="123"/>
      <c r="F300" s="123"/>
      <c r="G300" s="123"/>
    </row>
    <row r="301">
      <c r="D301" s="123"/>
      <c r="E301" s="123"/>
      <c r="F301" s="123"/>
      <c r="G301" s="123"/>
    </row>
    <row r="302">
      <c r="D302" s="123"/>
      <c r="E302" s="123"/>
      <c r="F302" s="123"/>
      <c r="G302" s="123"/>
    </row>
    <row r="303">
      <c r="D303" s="123"/>
      <c r="E303" s="123"/>
      <c r="F303" s="123"/>
      <c r="G303" s="123"/>
    </row>
    <row r="304">
      <c r="D304" s="123"/>
      <c r="E304" s="123"/>
      <c r="F304" s="123"/>
      <c r="G304" s="123"/>
    </row>
    <row r="305">
      <c r="D305" s="123"/>
      <c r="E305" s="123"/>
      <c r="F305" s="123"/>
      <c r="G305" s="123"/>
    </row>
    <row r="306">
      <c r="D306" s="123"/>
      <c r="E306" s="123"/>
      <c r="F306" s="123"/>
      <c r="G306" s="123"/>
    </row>
    <row r="307">
      <c r="D307" s="123"/>
      <c r="E307" s="123"/>
      <c r="F307" s="123"/>
      <c r="G307" s="123"/>
    </row>
    <row r="308">
      <c r="D308" s="123"/>
      <c r="E308" s="123"/>
      <c r="F308" s="123"/>
      <c r="G308" s="123"/>
    </row>
    <row r="309">
      <c r="D309" s="123"/>
      <c r="E309" s="123"/>
      <c r="F309" s="123"/>
      <c r="G309" s="123"/>
    </row>
    <row r="310">
      <c r="D310" s="123"/>
      <c r="E310" s="123"/>
      <c r="F310" s="123"/>
      <c r="G310" s="123"/>
    </row>
    <row r="311">
      <c r="D311" s="123"/>
      <c r="E311" s="123"/>
      <c r="F311" s="123"/>
      <c r="G311" s="123"/>
    </row>
    <row r="312">
      <c r="D312" s="123"/>
      <c r="E312" s="123"/>
      <c r="F312" s="123"/>
      <c r="G312" s="123"/>
    </row>
    <row r="313">
      <c r="D313" s="123"/>
      <c r="E313" s="123"/>
      <c r="F313" s="123"/>
      <c r="G313" s="123"/>
    </row>
    <row r="314">
      <c r="D314" s="123"/>
      <c r="E314" s="123"/>
      <c r="F314" s="123"/>
      <c r="G314" s="123"/>
    </row>
    <row r="315">
      <c r="D315" s="123"/>
      <c r="E315" s="123"/>
      <c r="F315" s="123"/>
      <c r="G315" s="123"/>
    </row>
    <row r="316">
      <c r="D316" s="123"/>
      <c r="E316" s="123"/>
      <c r="F316" s="123"/>
      <c r="G316" s="123"/>
    </row>
    <row r="317">
      <c r="D317" s="123"/>
      <c r="E317" s="123"/>
      <c r="F317" s="123"/>
      <c r="G317" s="123"/>
    </row>
    <row r="318">
      <c r="D318" s="123"/>
      <c r="E318" s="123"/>
      <c r="F318" s="123"/>
      <c r="G318" s="123"/>
    </row>
    <row r="319">
      <c r="D319" s="123"/>
      <c r="E319" s="123"/>
      <c r="F319" s="123"/>
      <c r="G319" s="123"/>
    </row>
    <row r="320">
      <c r="D320" s="123"/>
      <c r="E320" s="123"/>
      <c r="F320" s="123"/>
      <c r="G320" s="123"/>
    </row>
    <row r="321">
      <c r="D321" s="123"/>
      <c r="E321" s="123"/>
      <c r="F321" s="123"/>
      <c r="G321" s="123"/>
    </row>
    <row r="322">
      <c r="D322" s="123"/>
      <c r="E322" s="123"/>
      <c r="F322" s="123"/>
      <c r="G322" s="123"/>
    </row>
    <row r="323">
      <c r="D323" s="123"/>
      <c r="E323" s="123"/>
      <c r="F323" s="123"/>
      <c r="G323" s="123"/>
    </row>
    <row r="324">
      <c r="D324" s="123"/>
      <c r="E324" s="123"/>
      <c r="F324" s="123"/>
      <c r="G324" s="123"/>
    </row>
    <row r="325">
      <c r="D325" s="123"/>
      <c r="E325" s="123"/>
      <c r="F325" s="123"/>
      <c r="G325" s="123"/>
    </row>
    <row r="326">
      <c r="D326" s="123"/>
      <c r="E326" s="123"/>
      <c r="F326" s="123"/>
      <c r="G326" s="123"/>
    </row>
    <row r="327">
      <c r="D327" s="123"/>
      <c r="E327" s="123"/>
      <c r="F327" s="123"/>
      <c r="G327" s="123"/>
    </row>
    <row r="328">
      <c r="D328" s="123"/>
      <c r="E328" s="123"/>
      <c r="F328" s="123"/>
      <c r="G328" s="123"/>
    </row>
    <row r="329">
      <c r="D329" s="123"/>
      <c r="E329" s="123"/>
      <c r="F329" s="123"/>
      <c r="G329" s="123"/>
    </row>
    <row r="330">
      <c r="D330" s="123"/>
      <c r="E330" s="123"/>
      <c r="F330" s="123"/>
      <c r="G330" s="123"/>
    </row>
    <row r="331">
      <c r="D331" s="123"/>
      <c r="E331" s="123"/>
      <c r="F331" s="123"/>
      <c r="G331" s="123"/>
    </row>
    <row r="332">
      <c r="D332" s="123"/>
      <c r="E332" s="123"/>
      <c r="F332" s="123"/>
      <c r="G332" s="123"/>
    </row>
    <row r="333">
      <c r="D333" s="123"/>
      <c r="E333" s="123"/>
      <c r="F333" s="123"/>
      <c r="G333" s="123"/>
    </row>
    <row r="334">
      <c r="D334" s="123"/>
      <c r="E334" s="123"/>
      <c r="F334" s="123"/>
      <c r="G334" s="123"/>
    </row>
    <row r="335">
      <c r="D335" s="123"/>
      <c r="E335" s="123"/>
      <c r="F335" s="123"/>
      <c r="G335" s="123"/>
    </row>
    <row r="336">
      <c r="D336" s="123"/>
      <c r="E336" s="123"/>
      <c r="F336" s="123"/>
      <c r="G336" s="123"/>
    </row>
    <row r="337">
      <c r="D337" s="123"/>
      <c r="E337" s="123"/>
      <c r="F337" s="123"/>
      <c r="G337" s="123"/>
    </row>
    <row r="338">
      <c r="D338" s="123"/>
      <c r="E338" s="123"/>
      <c r="F338" s="123"/>
      <c r="G338" s="123"/>
    </row>
    <row r="339">
      <c r="D339" s="123"/>
      <c r="E339" s="123"/>
      <c r="F339" s="123"/>
      <c r="G339" s="123"/>
    </row>
    <row r="340">
      <c r="D340" s="123"/>
      <c r="E340" s="123"/>
      <c r="F340" s="123"/>
      <c r="G340" s="123"/>
    </row>
    <row r="341">
      <c r="D341" s="123"/>
      <c r="E341" s="123"/>
      <c r="F341" s="123"/>
      <c r="G341" s="123"/>
    </row>
    <row r="342">
      <c r="D342" s="123"/>
      <c r="E342" s="123"/>
      <c r="F342" s="123"/>
      <c r="G342" s="123"/>
    </row>
    <row r="343">
      <c r="D343" s="123"/>
      <c r="E343" s="123"/>
      <c r="F343" s="123"/>
      <c r="G343" s="123"/>
    </row>
    <row r="344">
      <c r="D344" s="123"/>
      <c r="E344" s="123"/>
      <c r="F344" s="123"/>
      <c r="G344" s="123"/>
    </row>
    <row r="345">
      <c r="D345" s="123"/>
      <c r="E345" s="123"/>
      <c r="F345" s="123"/>
      <c r="G345" s="123"/>
    </row>
    <row r="346">
      <c r="D346" s="123"/>
      <c r="E346" s="123"/>
      <c r="F346" s="123"/>
      <c r="G346" s="123"/>
    </row>
    <row r="347">
      <c r="D347" s="123"/>
      <c r="E347" s="123"/>
      <c r="F347" s="123"/>
      <c r="G347" s="123"/>
    </row>
    <row r="348">
      <c r="D348" s="123"/>
      <c r="E348" s="123"/>
      <c r="F348" s="123"/>
      <c r="G348" s="123"/>
    </row>
    <row r="349">
      <c r="D349" s="123"/>
      <c r="E349" s="123"/>
      <c r="F349" s="123"/>
      <c r="G349" s="123"/>
    </row>
    <row r="350">
      <c r="D350" s="123"/>
      <c r="E350" s="123"/>
      <c r="F350" s="123"/>
      <c r="G350" s="123"/>
    </row>
    <row r="351">
      <c r="D351" s="123"/>
      <c r="E351" s="123"/>
      <c r="F351" s="123"/>
      <c r="G351" s="123"/>
    </row>
    <row r="352">
      <c r="D352" s="123"/>
      <c r="E352" s="123"/>
      <c r="F352" s="123"/>
      <c r="G352" s="123"/>
    </row>
    <row r="353">
      <c r="D353" s="123"/>
      <c r="E353" s="123"/>
      <c r="F353" s="123"/>
      <c r="G353" s="123"/>
    </row>
    <row r="354">
      <c r="D354" s="123"/>
      <c r="E354" s="123"/>
      <c r="F354" s="123"/>
      <c r="G354" s="123"/>
    </row>
    <row r="355">
      <c r="D355" s="123"/>
      <c r="E355" s="123"/>
      <c r="F355" s="123"/>
      <c r="G355" s="123"/>
    </row>
    <row r="356">
      <c r="D356" s="123"/>
      <c r="E356" s="123"/>
      <c r="F356" s="123"/>
      <c r="G356" s="123"/>
    </row>
    <row r="357">
      <c r="D357" s="123"/>
      <c r="E357" s="123"/>
      <c r="F357" s="123"/>
      <c r="G357" s="123"/>
    </row>
    <row r="358">
      <c r="D358" s="123"/>
      <c r="E358" s="123"/>
      <c r="F358" s="123"/>
      <c r="G358" s="123"/>
    </row>
    <row r="359">
      <c r="D359" s="123"/>
      <c r="E359" s="123"/>
      <c r="F359" s="123"/>
      <c r="G359" s="123"/>
    </row>
    <row r="360">
      <c r="D360" s="123"/>
      <c r="E360" s="123"/>
      <c r="F360" s="123"/>
      <c r="G360" s="123"/>
    </row>
    <row r="361">
      <c r="D361" s="123"/>
      <c r="E361" s="123"/>
      <c r="F361" s="123"/>
      <c r="G361" s="123"/>
    </row>
    <row r="362">
      <c r="D362" s="123"/>
      <c r="E362" s="123"/>
      <c r="F362" s="123"/>
      <c r="G362" s="123"/>
    </row>
    <row r="363">
      <c r="D363" s="123"/>
      <c r="E363" s="123"/>
      <c r="F363" s="123"/>
      <c r="G363" s="123"/>
    </row>
    <row r="364">
      <c r="D364" s="123"/>
      <c r="E364" s="123"/>
      <c r="F364" s="123"/>
      <c r="G364" s="123"/>
    </row>
    <row r="365">
      <c r="D365" s="123"/>
      <c r="E365" s="123"/>
      <c r="F365" s="123"/>
      <c r="G365" s="123"/>
    </row>
    <row r="366">
      <c r="D366" s="123"/>
      <c r="E366" s="123"/>
      <c r="F366" s="123"/>
      <c r="G366" s="123"/>
    </row>
    <row r="367">
      <c r="D367" s="123"/>
      <c r="E367" s="123"/>
      <c r="F367" s="123"/>
      <c r="G367" s="123"/>
    </row>
    <row r="368">
      <c r="D368" s="123"/>
      <c r="E368" s="123"/>
      <c r="F368" s="123"/>
      <c r="G368" s="123"/>
    </row>
    <row r="369">
      <c r="D369" s="123"/>
      <c r="E369" s="123"/>
      <c r="F369" s="123"/>
      <c r="G369" s="123"/>
    </row>
    <row r="370">
      <c r="D370" s="123"/>
      <c r="E370" s="123"/>
      <c r="F370" s="123"/>
      <c r="G370" s="123"/>
    </row>
    <row r="371">
      <c r="D371" s="123"/>
      <c r="E371" s="123"/>
      <c r="F371" s="123"/>
      <c r="G371" s="123"/>
    </row>
    <row r="372">
      <c r="D372" s="123"/>
      <c r="E372" s="123"/>
      <c r="F372" s="123"/>
      <c r="G372" s="123"/>
    </row>
    <row r="373">
      <c r="D373" s="123"/>
      <c r="E373" s="123"/>
      <c r="F373" s="123"/>
      <c r="G373" s="123"/>
    </row>
    <row r="374">
      <c r="D374" s="123"/>
      <c r="E374" s="123"/>
      <c r="F374" s="123"/>
      <c r="G374" s="123"/>
    </row>
    <row r="375">
      <c r="D375" s="123"/>
      <c r="E375" s="123"/>
      <c r="F375" s="123"/>
      <c r="G375" s="123"/>
    </row>
    <row r="376">
      <c r="D376" s="123"/>
      <c r="E376" s="123"/>
      <c r="F376" s="123"/>
      <c r="G376" s="123"/>
    </row>
    <row r="377">
      <c r="D377" s="123"/>
      <c r="E377" s="123"/>
      <c r="F377" s="123"/>
      <c r="G377" s="123"/>
    </row>
    <row r="378">
      <c r="D378" s="123"/>
      <c r="E378" s="123"/>
      <c r="F378" s="123"/>
      <c r="G378" s="123"/>
    </row>
    <row r="379">
      <c r="D379" s="123"/>
      <c r="E379" s="123"/>
      <c r="F379" s="123"/>
      <c r="G379" s="123"/>
    </row>
    <row r="380">
      <c r="D380" s="123"/>
      <c r="E380" s="123"/>
      <c r="F380" s="123"/>
      <c r="G380" s="123"/>
    </row>
    <row r="381">
      <c r="D381" s="123"/>
      <c r="E381" s="123"/>
      <c r="F381" s="123"/>
      <c r="G381" s="123"/>
    </row>
    <row r="382">
      <c r="D382" s="123"/>
      <c r="E382" s="123"/>
      <c r="F382" s="123"/>
      <c r="G382" s="123"/>
    </row>
    <row r="383">
      <c r="D383" s="123"/>
      <c r="E383" s="123"/>
      <c r="F383" s="123"/>
      <c r="G383" s="123"/>
    </row>
    <row r="384">
      <c r="D384" s="123"/>
      <c r="E384" s="123"/>
      <c r="F384" s="123"/>
      <c r="G384" s="123"/>
    </row>
    <row r="385">
      <c r="D385" s="123"/>
      <c r="E385" s="123"/>
      <c r="F385" s="123"/>
      <c r="G385" s="123"/>
    </row>
    <row r="386">
      <c r="D386" s="123"/>
      <c r="E386" s="123"/>
      <c r="F386" s="123"/>
      <c r="G386" s="123"/>
    </row>
    <row r="387">
      <c r="D387" s="123"/>
      <c r="E387" s="123"/>
      <c r="F387" s="123"/>
      <c r="G387" s="123"/>
    </row>
    <row r="388">
      <c r="D388" s="123"/>
      <c r="E388" s="123"/>
      <c r="F388" s="123"/>
      <c r="G388" s="123"/>
    </row>
    <row r="389">
      <c r="D389" s="123"/>
      <c r="E389" s="123"/>
      <c r="F389" s="123"/>
      <c r="G389" s="123"/>
    </row>
    <row r="390">
      <c r="D390" s="123"/>
      <c r="E390" s="123"/>
      <c r="F390" s="123"/>
      <c r="G390" s="123"/>
    </row>
    <row r="391">
      <c r="D391" s="123"/>
      <c r="E391" s="123"/>
      <c r="F391" s="123"/>
      <c r="G391" s="123"/>
    </row>
    <row r="392">
      <c r="D392" s="123"/>
      <c r="E392" s="123"/>
      <c r="F392" s="123"/>
      <c r="G392" s="123"/>
    </row>
    <row r="393">
      <c r="D393" s="123"/>
      <c r="E393" s="123"/>
      <c r="F393" s="123"/>
      <c r="G393" s="123"/>
    </row>
    <row r="394">
      <c r="D394" s="123"/>
      <c r="E394" s="123"/>
      <c r="F394" s="123"/>
      <c r="G394" s="123"/>
    </row>
    <row r="395">
      <c r="D395" s="123"/>
      <c r="E395" s="123"/>
      <c r="F395" s="123"/>
      <c r="G395" s="123"/>
    </row>
    <row r="396">
      <c r="D396" s="123"/>
      <c r="E396" s="123"/>
      <c r="F396" s="123"/>
      <c r="G396" s="123"/>
    </row>
    <row r="397">
      <c r="D397" s="123"/>
      <c r="E397" s="123"/>
      <c r="F397" s="123"/>
      <c r="G397" s="123"/>
    </row>
    <row r="398">
      <c r="D398" s="123"/>
      <c r="E398" s="123"/>
      <c r="F398" s="123"/>
      <c r="G398" s="123"/>
    </row>
    <row r="399">
      <c r="D399" s="123"/>
      <c r="E399" s="123"/>
      <c r="F399" s="123"/>
      <c r="G399" s="123"/>
    </row>
    <row r="400">
      <c r="D400" s="123"/>
      <c r="E400" s="123"/>
      <c r="F400" s="123"/>
      <c r="G400" s="123"/>
    </row>
    <row r="401">
      <c r="D401" s="123"/>
      <c r="E401" s="123"/>
      <c r="F401" s="123"/>
      <c r="G401" s="123"/>
    </row>
    <row r="402">
      <c r="D402" s="123"/>
      <c r="E402" s="123"/>
      <c r="F402" s="123"/>
      <c r="G402" s="123"/>
    </row>
    <row r="403">
      <c r="D403" s="123"/>
      <c r="E403" s="123"/>
      <c r="F403" s="123"/>
      <c r="G403" s="123"/>
    </row>
    <row r="404">
      <c r="D404" s="123"/>
      <c r="E404" s="123"/>
      <c r="F404" s="123"/>
      <c r="G404" s="123"/>
    </row>
    <row r="405">
      <c r="D405" s="123"/>
      <c r="E405" s="123"/>
      <c r="F405" s="123"/>
      <c r="G405" s="123"/>
    </row>
    <row r="406">
      <c r="D406" s="123"/>
      <c r="E406" s="123"/>
      <c r="F406" s="123"/>
      <c r="G406" s="123"/>
    </row>
    <row r="407">
      <c r="D407" s="123"/>
      <c r="E407" s="123"/>
      <c r="F407" s="123"/>
      <c r="G407" s="123"/>
    </row>
    <row r="408">
      <c r="D408" s="123"/>
      <c r="E408" s="123"/>
      <c r="F408" s="123"/>
      <c r="G408" s="123"/>
    </row>
    <row r="409">
      <c r="D409" s="123"/>
      <c r="E409" s="123"/>
      <c r="F409" s="123"/>
      <c r="G409" s="123"/>
    </row>
    <row r="410">
      <c r="D410" s="123"/>
      <c r="E410" s="123"/>
      <c r="F410" s="123"/>
      <c r="G410" s="123"/>
    </row>
    <row r="411">
      <c r="D411" s="123"/>
      <c r="E411" s="123"/>
      <c r="F411" s="123"/>
      <c r="G411" s="123"/>
    </row>
    <row r="412">
      <c r="D412" s="123"/>
      <c r="E412" s="123"/>
      <c r="F412" s="123"/>
      <c r="G412" s="123"/>
    </row>
    <row r="413">
      <c r="D413" s="123"/>
      <c r="E413" s="123"/>
      <c r="F413" s="123"/>
      <c r="G413" s="123"/>
    </row>
    <row r="414">
      <c r="D414" s="123"/>
      <c r="E414" s="123"/>
      <c r="F414" s="123"/>
      <c r="G414" s="123"/>
    </row>
    <row r="415">
      <c r="D415" s="123"/>
      <c r="E415" s="123"/>
      <c r="F415" s="123"/>
      <c r="G415" s="123"/>
    </row>
    <row r="416">
      <c r="D416" s="123"/>
      <c r="E416" s="123"/>
      <c r="F416" s="123"/>
      <c r="G416" s="123"/>
    </row>
    <row r="417">
      <c r="D417" s="123"/>
      <c r="E417" s="123"/>
      <c r="F417" s="123"/>
      <c r="G417" s="123"/>
    </row>
    <row r="418">
      <c r="D418" s="123"/>
      <c r="E418" s="123"/>
      <c r="F418" s="123"/>
      <c r="G418" s="123"/>
    </row>
    <row r="419">
      <c r="D419" s="123"/>
      <c r="E419" s="123"/>
      <c r="F419" s="123"/>
      <c r="G419" s="123"/>
    </row>
    <row r="420">
      <c r="D420" s="123"/>
      <c r="E420" s="123"/>
      <c r="F420" s="123"/>
      <c r="G420" s="123"/>
    </row>
    <row r="421">
      <c r="D421" s="123"/>
      <c r="E421" s="123"/>
      <c r="F421" s="123"/>
      <c r="G421" s="123"/>
    </row>
    <row r="422">
      <c r="D422" s="123"/>
      <c r="E422" s="123"/>
      <c r="F422" s="123"/>
      <c r="G422" s="123"/>
    </row>
    <row r="423">
      <c r="D423" s="123"/>
      <c r="E423" s="123"/>
      <c r="F423" s="123"/>
      <c r="G423" s="123"/>
    </row>
    <row r="424">
      <c r="D424" s="123"/>
      <c r="E424" s="123"/>
      <c r="F424" s="123"/>
      <c r="G424" s="123"/>
    </row>
    <row r="425">
      <c r="D425" s="123"/>
      <c r="E425" s="123"/>
      <c r="F425" s="123"/>
      <c r="G425" s="123"/>
    </row>
    <row r="426">
      <c r="D426" s="123"/>
      <c r="E426" s="123"/>
      <c r="F426" s="123"/>
      <c r="G426" s="123"/>
    </row>
    <row r="427">
      <c r="D427" s="123"/>
      <c r="E427" s="123"/>
      <c r="F427" s="123"/>
      <c r="G427" s="123"/>
    </row>
    <row r="428">
      <c r="D428" s="123"/>
      <c r="E428" s="123"/>
      <c r="F428" s="123"/>
      <c r="G428" s="123"/>
    </row>
    <row r="429">
      <c r="D429" s="123"/>
      <c r="E429" s="123"/>
      <c r="F429" s="123"/>
      <c r="G429" s="123"/>
    </row>
    <row r="430">
      <c r="D430" s="123"/>
      <c r="E430" s="123"/>
      <c r="F430" s="123"/>
      <c r="G430" s="123"/>
    </row>
    <row r="431">
      <c r="D431" s="123"/>
      <c r="E431" s="123"/>
      <c r="F431" s="123"/>
      <c r="G431" s="123"/>
    </row>
    <row r="432">
      <c r="D432" s="123"/>
      <c r="E432" s="123"/>
      <c r="F432" s="123"/>
      <c r="G432" s="123"/>
    </row>
    <row r="433">
      <c r="D433" s="123"/>
      <c r="E433" s="123"/>
      <c r="F433" s="123"/>
      <c r="G433" s="123"/>
    </row>
    <row r="434">
      <c r="D434" s="123"/>
      <c r="E434" s="123"/>
      <c r="F434" s="123"/>
      <c r="G434" s="123"/>
    </row>
    <row r="435">
      <c r="D435" s="123"/>
      <c r="E435" s="123"/>
      <c r="F435" s="123"/>
      <c r="G435" s="123"/>
    </row>
    <row r="436">
      <c r="D436" s="123"/>
      <c r="E436" s="123"/>
      <c r="F436" s="123"/>
      <c r="G436" s="123"/>
    </row>
    <row r="437">
      <c r="D437" s="123"/>
      <c r="E437" s="123"/>
      <c r="F437" s="123"/>
      <c r="G437" s="123"/>
    </row>
    <row r="438">
      <c r="D438" s="123"/>
      <c r="E438" s="123"/>
      <c r="F438" s="123"/>
      <c r="G438" s="123"/>
    </row>
    <row r="439">
      <c r="D439" s="123"/>
      <c r="E439" s="123"/>
      <c r="F439" s="123"/>
      <c r="G439" s="123"/>
    </row>
    <row r="440">
      <c r="D440" s="123"/>
      <c r="E440" s="123"/>
      <c r="F440" s="123"/>
      <c r="G440" s="123"/>
    </row>
    <row r="441">
      <c r="D441" s="123"/>
      <c r="E441" s="123"/>
      <c r="F441" s="123"/>
      <c r="G441" s="123"/>
    </row>
    <row r="442">
      <c r="D442" s="123"/>
      <c r="E442" s="123"/>
      <c r="F442" s="123"/>
      <c r="G442" s="123"/>
    </row>
    <row r="443">
      <c r="D443" s="123"/>
      <c r="E443" s="123"/>
      <c r="F443" s="123"/>
      <c r="G443" s="123"/>
    </row>
    <row r="444">
      <c r="D444" s="123"/>
      <c r="E444" s="123"/>
      <c r="F444" s="123"/>
      <c r="G444" s="123"/>
    </row>
    <row r="445">
      <c r="D445" s="123"/>
      <c r="E445" s="123"/>
      <c r="F445" s="123"/>
      <c r="G445" s="123"/>
    </row>
    <row r="446">
      <c r="D446" s="123"/>
      <c r="E446" s="123"/>
      <c r="F446" s="123"/>
      <c r="G446" s="123"/>
    </row>
    <row r="447">
      <c r="D447" s="123"/>
      <c r="E447" s="123"/>
      <c r="F447" s="123"/>
      <c r="G447" s="123"/>
    </row>
    <row r="448">
      <c r="D448" s="123"/>
      <c r="E448" s="123"/>
      <c r="F448" s="123"/>
      <c r="G448" s="123"/>
    </row>
    <row r="449">
      <c r="D449" s="123"/>
      <c r="E449" s="123"/>
      <c r="F449" s="123"/>
      <c r="G449" s="123"/>
    </row>
    <row r="450">
      <c r="D450" s="123"/>
      <c r="E450" s="123"/>
      <c r="F450" s="123"/>
      <c r="G450" s="123"/>
    </row>
    <row r="451">
      <c r="D451" s="123"/>
      <c r="E451" s="123"/>
      <c r="F451" s="123"/>
      <c r="G451" s="123"/>
    </row>
    <row r="452">
      <c r="D452" s="123"/>
      <c r="E452" s="123"/>
      <c r="F452" s="123"/>
      <c r="G452" s="123"/>
    </row>
    <row r="453">
      <c r="D453" s="123"/>
      <c r="E453" s="123"/>
      <c r="F453" s="123"/>
      <c r="G453" s="123"/>
    </row>
    <row r="454">
      <c r="D454" s="123"/>
      <c r="E454" s="123"/>
      <c r="F454" s="123"/>
      <c r="G454" s="123"/>
    </row>
    <row r="455">
      <c r="D455" s="123"/>
      <c r="E455" s="123"/>
      <c r="F455" s="123"/>
      <c r="G455" s="123"/>
    </row>
    <row r="456">
      <c r="D456" s="123"/>
      <c r="E456" s="123"/>
      <c r="F456" s="123"/>
      <c r="G456" s="123"/>
    </row>
    <row r="457">
      <c r="D457" s="123"/>
      <c r="E457" s="123"/>
      <c r="F457" s="123"/>
      <c r="G457" s="123"/>
    </row>
    <row r="458">
      <c r="D458" s="123"/>
      <c r="E458" s="123"/>
      <c r="F458" s="123"/>
      <c r="G458" s="123"/>
    </row>
    <row r="459">
      <c r="D459" s="123"/>
      <c r="E459" s="123"/>
      <c r="F459" s="123"/>
      <c r="G459" s="123"/>
    </row>
    <row r="460">
      <c r="D460" s="123"/>
      <c r="E460" s="123"/>
      <c r="F460" s="123"/>
      <c r="G460" s="123"/>
    </row>
    <row r="461">
      <c r="D461" s="123"/>
      <c r="E461" s="123"/>
      <c r="F461" s="123"/>
      <c r="G461" s="123"/>
    </row>
    <row r="462">
      <c r="D462" s="123"/>
      <c r="E462" s="123"/>
      <c r="F462" s="123"/>
      <c r="G462" s="123"/>
    </row>
    <row r="463">
      <c r="D463" s="123"/>
      <c r="E463" s="123"/>
      <c r="F463" s="123"/>
      <c r="G463" s="123"/>
    </row>
    <row r="464">
      <c r="D464" s="123"/>
      <c r="E464" s="123"/>
      <c r="F464" s="123"/>
      <c r="G464" s="123"/>
    </row>
    <row r="465">
      <c r="D465" s="123"/>
      <c r="E465" s="123"/>
      <c r="F465" s="123"/>
      <c r="G465" s="123"/>
    </row>
    <row r="466">
      <c r="D466" s="123"/>
      <c r="E466" s="123"/>
      <c r="F466" s="123"/>
      <c r="G466" s="123"/>
    </row>
    <row r="467">
      <c r="D467" s="123"/>
      <c r="E467" s="123"/>
      <c r="F467" s="123"/>
      <c r="G467" s="123"/>
    </row>
    <row r="468">
      <c r="D468" s="123"/>
      <c r="E468" s="123"/>
      <c r="F468" s="123"/>
      <c r="G468" s="123"/>
    </row>
    <row r="469">
      <c r="D469" s="123"/>
      <c r="E469" s="123"/>
      <c r="F469" s="123"/>
      <c r="G469" s="123"/>
    </row>
    <row r="470">
      <c r="D470" s="123"/>
      <c r="E470" s="123"/>
      <c r="F470" s="123"/>
      <c r="G470" s="123"/>
    </row>
    <row r="471">
      <c r="D471" s="123"/>
      <c r="E471" s="123"/>
      <c r="F471" s="123"/>
      <c r="G471" s="123"/>
    </row>
    <row r="472">
      <c r="D472" s="123"/>
      <c r="E472" s="123"/>
      <c r="F472" s="123"/>
      <c r="G472" s="123"/>
    </row>
    <row r="473">
      <c r="D473" s="123"/>
      <c r="E473" s="123"/>
      <c r="F473" s="123"/>
      <c r="G473" s="123"/>
    </row>
    <row r="474">
      <c r="D474" s="123"/>
      <c r="E474" s="123"/>
      <c r="F474" s="123"/>
      <c r="G474" s="123"/>
    </row>
    <row r="475">
      <c r="D475" s="123"/>
      <c r="E475" s="123"/>
      <c r="F475" s="123"/>
      <c r="G475" s="123"/>
    </row>
    <row r="476">
      <c r="D476" s="123"/>
      <c r="E476" s="123"/>
      <c r="F476" s="123"/>
      <c r="G476" s="123"/>
    </row>
    <row r="477">
      <c r="D477" s="123"/>
      <c r="E477" s="123"/>
      <c r="F477" s="123"/>
      <c r="G477" s="123"/>
    </row>
    <row r="478">
      <c r="D478" s="123"/>
      <c r="E478" s="123"/>
      <c r="F478" s="123"/>
      <c r="G478" s="123"/>
    </row>
    <row r="479">
      <c r="D479" s="123"/>
      <c r="E479" s="123"/>
      <c r="F479" s="123"/>
      <c r="G479" s="123"/>
    </row>
    <row r="480">
      <c r="D480" s="123"/>
      <c r="E480" s="123"/>
      <c r="F480" s="123"/>
      <c r="G480" s="123"/>
    </row>
    <row r="481">
      <c r="D481" s="123"/>
      <c r="E481" s="123"/>
      <c r="F481" s="123"/>
      <c r="G481" s="123"/>
    </row>
    <row r="482">
      <c r="D482" s="123"/>
      <c r="E482" s="123"/>
      <c r="F482" s="123"/>
      <c r="G482" s="123"/>
    </row>
    <row r="483">
      <c r="D483" s="123"/>
      <c r="E483" s="123"/>
      <c r="F483" s="123"/>
      <c r="G483" s="123"/>
    </row>
    <row r="484">
      <c r="D484" s="123"/>
      <c r="E484" s="123"/>
      <c r="F484" s="123"/>
      <c r="G484" s="123"/>
    </row>
    <row r="485">
      <c r="D485" s="123"/>
      <c r="E485" s="123"/>
      <c r="F485" s="123"/>
      <c r="G485" s="123"/>
    </row>
    <row r="486">
      <c r="D486" s="123"/>
      <c r="E486" s="123"/>
      <c r="F486" s="123"/>
      <c r="G486" s="123"/>
    </row>
    <row r="487">
      <c r="D487" s="123"/>
      <c r="E487" s="123"/>
      <c r="F487" s="123"/>
      <c r="G487" s="123"/>
    </row>
    <row r="488">
      <c r="D488" s="123"/>
      <c r="E488" s="123"/>
      <c r="F488" s="123"/>
      <c r="G488" s="123"/>
    </row>
    <row r="489">
      <c r="D489" s="123"/>
      <c r="E489" s="123"/>
      <c r="F489" s="123"/>
      <c r="G489" s="123"/>
    </row>
    <row r="490">
      <c r="D490" s="123"/>
      <c r="E490" s="123"/>
      <c r="F490" s="123"/>
      <c r="G490" s="123"/>
    </row>
    <row r="491">
      <c r="D491" s="123"/>
      <c r="E491" s="123"/>
      <c r="F491" s="123"/>
      <c r="G491" s="123"/>
    </row>
    <row r="492">
      <c r="D492" s="123"/>
      <c r="E492" s="123"/>
      <c r="F492" s="123"/>
      <c r="G492" s="123"/>
    </row>
    <row r="493">
      <c r="D493" s="123"/>
      <c r="E493" s="123"/>
      <c r="F493" s="123"/>
      <c r="G493" s="123"/>
    </row>
    <row r="494">
      <c r="D494" s="123"/>
      <c r="E494" s="123"/>
      <c r="F494" s="123"/>
      <c r="G494" s="123"/>
    </row>
    <row r="495">
      <c r="D495" s="123"/>
      <c r="E495" s="123"/>
      <c r="F495" s="123"/>
      <c r="G495" s="123"/>
    </row>
    <row r="496">
      <c r="D496" s="123"/>
      <c r="E496" s="123"/>
      <c r="F496" s="123"/>
      <c r="G496" s="123"/>
    </row>
    <row r="497">
      <c r="D497" s="123"/>
      <c r="E497" s="123"/>
      <c r="F497" s="123"/>
      <c r="G497" s="123"/>
    </row>
    <row r="498">
      <c r="D498" s="123"/>
      <c r="E498" s="123"/>
      <c r="F498" s="123"/>
      <c r="G498" s="123"/>
    </row>
    <row r="499">
      <c r="D499" s="123"/>
      <c r="E499" s="123"/>
      <c r="F499" s="123"/>
      <c r="G499" s="123"/>
    </row>
    <row r="500">
      <c r="D500" s="123"/>
      <c r="E500" s="123"/>
      <c r="F500" s="123"/>
      <c r="G500" s="123"/>
    </row>
    <row r="501">
      <c r="D501" s="123"/>
      <c r="E501" s="123"/>
      <c r="F501" s="123"/>
      <c r="G501" s="123"/>
    </row>
    <row r="502">
      <c r="D502" s="123"/>
      <c r="E502" s="123"/>
      <c r="F502" s="123"/>
      <c r="G502" s="123"/>
    </row>
    <row r="503">
      <c r="D503" s="123"/>
      <c r="E503" s="123"/>
      <c r="F503" s="123"/>
      <c r="G503" s="123"/>
    </row>
    <row r="504">
      <c r="D504" s="123"/>
      <c r="E504" s="123"/>
      <c r="F504" s="123"/>
      <c r="G504" s="123"/>
    </row>
    <row r="505">
      <c r="D505" s="123"/>
      <c r="E505" s="123"/>
      <c r="F505" s="123"/>
      <c r="G505" s="123"/>
    </row>
    <row r="506">
      <c r="D506" s="123"/>
      <c r="E506" s="123"/>
      <c r="F506" s="123"/>
      <c r="G506" s="123"/>
    </row>
    <row r="507">
      <c r="D507" s="123"/>
      <c r="E507" s="123"/>
      <c r="F507" s="123"/>
      <c r="G507" s="123"/>
    </row>
    <row r="508">
      <c r="D508" s="123"/>
      <c r="E508" s="123"/>
      <c r="F508" s="123"/>
      <c r="G508" s="123"/>
    </row>
    <row r="509">
      <c r="D509" s="123"/>
      <c r="E509" s="123"/>
      <c r="F509" s="123"/>
      <c r="G509" s="123"/>
    </row>
    <row r="510">
      <c r="D510" s="123"/>
      <c r="E510" s="123"/>
      <c r="F510" s="123"/>
      <c r="G510" s="123"/>
    </row>
    <row r="511">
      <c r="D511" s="123"/>
      <c r="E511" s="123"/>
      <c r="F511" s="123"/>
      <c r="G511" s="123"/>
    </row>
    <row r="512">
      <c r="D512" s="123"/>
      <c r="E512" s="123"/>
      <c r="F512" s="123"/>
      <c r="G512" s="123"/>
    </row>
    <row r="513">
      <c r="D513" s="123"/>
      <c r="E513" s="123"/>
      <c r="F513" s="123"/>
      <c r="G513" s="123"/>
    </row>
    <row r="514">
      <c r="D514" s="123"/>
      <c r="E514" s="123"/>
      <c r="F514" s="123"/>
      <c r="G514" s="123"/>
    </row>
    <row r="515">
      <c r="D515" s="123"/>
      <c r="E515" s="123"/>
      <c r="F515" s="123"/>
      <c r="G515" s="123"/>
    </row>
    <row r="516">
      <c r="D516" s="123"/>
      <c r="E516" s="123"/>
      <c r="F516" s="123"/>
      <c r="G516" s="123"/>
    </row>
    <row r="517">
      <c r="D517" s="123"/>
      <c r="E517" s="123"/>
      <c r="F517" s="123"/>
      <c r="G517" s="123"/>
    </row>
    <row r="518">
      <c r="D518" s="123"/>
      <c r="E518" s="123"/>
      <c r="F518" s="123"/>
      <c r="G518" s="123"/>
    </row>
    <row r="519">
      <c r="D519" s="123"/>
      <c r="E519" s="123"/>
      <c r="F519" s="123"/>
      <c r="G519" s="123"/>
    </row>
    <row r="520">
      <c r="D520" s="123"/>
      <c r="E520" s="123"/>
      <c r="F520" s="123"/>
      <c r="G520" s="123"/>
    </row>
    <row r="521">
      <c r="D521" s="123"/>
      <c r="E521" s="123"/>
      <c r="F521" s="123"/>
      <c r="G521" s="123"/>
    </row>
    <row r="522">
      <c r="D522" s="123"/>
      <c r="E522" s="123"/>
      <c r="F522" s="123"/>
      <c r="G522" s="123"/>
    </row>
    <row r="523">
      <c r="D523" s="123"/>
      <c r="E523" s="123"/>
      <c r="F523" s="123"/>
      <c r="G523" s="123"/>
    </row>
    <row r="524">
      <c r="D524" s="123"/>
      <c r="E524" s="123"/>
      <c r="F524" s="123"/>
      <c r="G524" s="123"/>
    </row>
    <row r="525">
      <c r="D525" s="123"/>
      <c r="E525" s="123"/>
      <c r="F525" s="123"/>
      <c r="G525" s="123"/>
    </row>
    <row r="526">
      <c r="D526" s="123"/>
      <c r="E526" s="123"/>
      <c r="F526" s="123"/>
      <c r="G526" s="123"/>
    </row>
    <row r="527">
      <c r="D527" s="123"/>
      <c r="E527" s="123"/>
      <c r="F527" s="123"/>
      <c r="G527" s="123"/>
    </row>
    <row r="528">
      <c r="D528" s="123"/>
      <c r="E528" s="123"/>
      <c r="F528" s="123"/>
      <c r="G528" s="123"/>
    </row>
    <row r="529">
      <c r="D529" s="123"/>
      <c r="E529" s="123"/>
      <c r="F529" s="123"/>
      <c r="G529" s="123"/>
    </row>
    <row r="530">
      <c r="D530" s="123"/>
      <c r="E530" s="123"/>
      <c r="F530" s="123"/>
      <c r="G530" s="123"/>
    </row>
    <row r="531">
      <c r="D531" s="123"/>
      <c r="E531" s="123"/>
      <c r="F531" s="123"/>
      <c r="G531" s="123"/>
    </row>
    <row r="532">
      <c r="D532" s="123"/>
      <c r="E532" s="123"/>
      <c r="F532" s="123"/>
      <c r="G532" s="123"/>
    </row>
    <row r="533">
      <c r="D533" s="123"/>
      <c r="E533" s="123"/>
      <c r="F533" s="123"/>
      <c r="G533" s="123"/>
    </row>
    <row r="534">
      <c r="D534" s="123"/>
      <c r="E534" s="123"/>
      <c r="F534" s="123"/>
      <c r="G534" s="123"/>
    </row>
    <row r="535">
      <c r="D535" s="123"/>
      <c r="E535" s="123"/>
      <c r="F535" s="123"/>
      <c r="G535" s="123"/>
    </row>
    <row r="536">
      <c r="D536" s="123"/>
      <c r="E536" s="123"/>
      <c r="F536" s="123"/>
      <c r="G536" s="123"/>
    </row>
    <row r="537">
      <c r="D537" s="123"/>
      <c r="E537" s="123"/>
      <c r="F537" s="123"/>
      <c r="G537" s="123"/>
    </row>
    <row r="538">
      <c r="D538" s="123"/>
      <c r="E538" s="123"/>
      <c r="F538" s="123"/>
      <c r="G538" s="123"/>
    </row>
    <row r="539">
      <c r="D539" s="123"/>
      <c r="E539" s="123"/>
      <c r="F539" s="123"/>
      <c r="G539" s="123"/>
    </row>
    <row r="540">
      <c r="D540" s="123"/>
      <c r="E540" s="123"/>
      <c r="F540" s="123"/>
      <c r="G540" s="123"/>
    </row>
    <row r="541">
      <c r="D541" s="123"/>
      <c r="E541" s="123"/>
      <c r="F541" s="123"/>
      <c r="G541" s="123"/>
    </row>
    <row r="542">
      <c r="D542" s="123"/>
      <c r="E542" s="123"/>
      <c r="F542" s="123"/>
      <c r="G542" s="123"/>
    </row>
    <row r="543">
      <c r="D543" s="123"/>
      <c r="E543" s="123"/>
      <c r="F543" s="123"/>
      <c r="G543" s="123"/>
    </row>
    <row r="544">
      <c r="D544" s="123"/>
      <c r="E544" s="123"/>
      <c r="F544" s="123"/>
      <c r="G544" s="123"/>
    </row>
    <row r="545">
      <c r="D545" s="123"/>
      <c r="E545" s="123"/>
      <c r="F545" s="123"/>
      <c r="G545" s="123"/>
    </row>
    <row r="546">
      <c r="D546" s="123"/>
      <c r="E546" s="123"/>
      <c r="F546" s="123"/>
      <c r="G546" s="123"/>
    </row>
    <row r="547">
      <c r="D547" s="123"/>
      <c r="E547" s="123"/>
      <c r="F547" s="123"/>
      <c r="G547" s="123"/>
    </row>
    <row r="548">
      <c r="D548" s="123"/>
      <c r="E548" s="123"/>
      <c r="F548" s="123"/>
      <c r="G548" s="123"/>
    </row>
    <row r="549">
      <c r="D549" s="123"/>
      <c r="E549" s="123"/>
      <c r="F549" s="123"/>
      <c r="G549" s="123"/>
    </row>
    <row r="550">
      <c r="D550" s="123"/>
      <c r="E550" s="123"/>
      <c r="F550" s="123"/>
      <c r="G550" s="123"/>
    </row>
    <row r="551">
      <c r="D551" s="123"/>
      <c r="E551" s="123"/>
      <c r="F551" s="123"/>
      <c r="G551" s="123"/>
    </row>
    <row r="552">
      <c r="D552" s="123"/>
      <c r="E552" s="123"/>
      <c r="F552" s="123"/>
      <c r="G552" s="123"/>
    </row>
    <row r="553">
      <c r="D553" s="123"/>
      <c r="E553" s="123"/>
      <c r="F553" s="123"/>
      <c r="G553" s="123"/>
    </row>
    <row r="554">
      <c r="D554" s="123"/>
      <c r="E554" s="123"/>
      <c r="F554" s="123"/>
      <c r="G554" s="123"/>
    </row>
    <row r="555">
      <c r="D555" s="123"/>
      <c r="E555" s="123"/>
      <c r="F555" s="123"/>
      <c r="G555" s="123"/>
    </row>
    <row r="556">
      <c r="D556" s="123"/>
      <c r="E556" s="123"/>
      <c r="F556" s="123"/>
      <c r="G556" s="123"/>
    </row>
    <row r="557">
      <c r="D557" s="123"/>
      <c r="E557" s="123"/>
      <c r="F557" s="123"/>
      <c r="G557" s="123"/>
    </row>
    <row r="558">
      <c r="D558" s="123"/>
      <c r="E558" s="123"/>
      <c r="F558" s="123"/>
      <c r="G558" s="123"/>
    </row>
    <row r="559">
      <c r="D559" s="123"/>
      <c r="E559" s="123"/>
      <c r="F559" s="123"/>
      <c r="G559" s="123"/>
    </row>
    <row r="560">
      <c r="D560" s="123"/>
      <c r="E560" s="123"/>
      <c r="F560" s="123"/>
      <c r="G560" s="123"/>
    </row>
    <row r="561">
      <c r="D561" s="123"/>
      <c r="E561" s="123"/>
      <c r="F561" s="123"/>
      <c r="G561" s="123"/>
    </row>
    <row r="562">
      <c r="D562" s="123"/>
      <c r="E562" s="123"/>
      <c r="F562" s="123"/>
      <c r="G562" s="123"/>
    </row>
    <row r="563">
      <c r="D563" s="123"/>
      <c r="E563" s="123"/>
      <c r="F563" s="123"/>
      <c r="G563" s="123"/>
    </row>
    <row r="564">
      <c r="D564" s="123"/>
      <c r="E564" s="123"/>
      <c r="F564" s="123"/>
      <c r="G564" s="123"/>
    </row>
    <row r="565">
      <c r="D565" s="123"/>
      <c r="E565" s="123"/>
      <c r="F565" s="123"/>
      <c r="G565" s="123"/>
    </row>
    <row r="566">
      <c r="D566" s="123"/>
      <c r="E566" s="123"/>
      <c r="F566" s="123"/>
      <c r="G566" s="123"/>
    </row>
    <row r="567">
      <c r="D567" s="123"/>
      <c r="E567" s="123"/>
      <c r="F567" s="123"/>
      <c r="G567" s="123"/>
    </row>
    <row r="568">
      <c r="D568" s="123"/>
      <c r="E568" s="123"/>
      <c r="F568" s="123"/>
      <c r="G568" s="123"/>
    </row>
    <row r="569">
      <c r="D569" s="123"/>
      <c r="E569" s="123"/>
      <c r="F569" s="123"/>
      <c r="G569" s="123"/>
    </row>
    <row r="570">
      <c r="D570" s="123"/>
      <c r="E570" s="123"/>
      <c r="F570" s="123"/>
      <c r="G570" s="123"/>
    </row>
    <row r="571">
      <c r="D571" s="123"/>
      <c r="E571" s="123"/>
      <c r="F571" s="123"/>
      <c r="G571" s="123"/>
    </row>
    <row r="572">
      <c r="D572" s="123"/>
      <c r="E572" s="123"/>
      <c r="F572" s="123"/>
      <c r="G572" s="123"/>
    </row>
    <row r="573">
      <c r="D573" s="123"/>
      <c r="E573" s="123"/>
      <c r="F573" s="123"/>
      <c r="G573" s="123"/>
    </row>
    <row r="574">
      <c r="D574" s="123"/>
      <c r="E574" s="123"/>
      <c r="F574" s="123"/>
      <c r="G574" s="123"/>
    </row>
    <row r="575">
      <c r="D575" s="123"/>
      <c r="E575" s="123"/>
      <c r="F575" s="123"/>
      <c r="G575" s="123"/>
    </row>
    <row r="576">
      <c r="D576" s="123"/>
      <c r="E576" s="123"/>
      <c r="F576" s="123"/>
      <c r="G576" s="123"/>
    </row>
    <row r="577">
      <c r="D577" s="123"/>
      <c r="E577" s="123"/>
      <c r="F577" s="123"/>
      <c r="G577" s="123"/>
    </row>
    <row r="578">
      <c r="D578" s="123"/>
      <c r="E578" s="123"/>
      <c r="F578" s="123"/>
      <c r="G578" s="123"/>
    </row>
    <row r="579">
      <c r="D579" s="123"/>
      <c r="E579" s="123"/>
      <c r="F579" s="123"/>
      <c r="G579" s="123"/>
    </row>
    <row r="580">
      <c r="D580" s="123"/>
      <c r="E580" s="123"/>
      <c r="F580" s="123"/>
      <c r="G580" s="123"/>
    </row>
    <row r="581">
      <c r="D581" s="123"/>
      <c r="E581" s="123"/>
      <c r="F581" s="123"/>
      <c r="G581" s="123"/>
    </row>
    <row r="582">
      <c r="D582" s="123"/>
      <c r="E582" s="123"/>
      <c r="F582" s="123"/>
      <c r="G582" s="123"/>
    </row>
    <row r="583">
      <c r="D583" s="123"/>
      <c r="E583" s="123"/>
      <c r="F583" s="123"/>
      <c r="G583" s="123"/>
    </row>
    <row r="584">
      <c r="D584" s="123"/>
      <c r="E584" s="123"/>
      <c r="F584" s="123"/>
      <c r="G584" s="123"/>
    </row>
    <row r="585">
      <c r="D585" s="123"/>
      <c r="E585" s="123"/>
      <c r="F585" s="123"/>
      <c r="G585" s="123"/>
    </row>
    <row r="586">
      <c r="D586" s="123"/>
      <c r="E586" s="123"/>
      <c r="F586" s="123"/>
      <c r="G586" s="123"/>
    </row>
    <row r="587">
      <c r="D587" s="123"/>
      <c r="E587" s="123"/>
      <c r="F587" s="123"/>
      <c r="G587" s="123"/>
    </row>
    <row r="588">
      <c r="D588" s="123"/>
      <c r="E588" s="123"/>
      <c r="F588" s="123"/>
      <c r="G588" s="123"/>
    </row>
    <row r="589">
      <c r="D589" s="123"/>
      <c r="E589" s="123"/>
      <c r="F589" s="123"/>
      <c r="G589" s="123"/>
    </row>
    <row r="590">
      <c r="D590" s="123"/>
      <c r="E590" s="123"/>
      <c r="F590" s="123"/>
      <c r="G590" s="123"/>
    </row>
    <row r="591">
      <c r="D591" s="123"/>
      <c r="E591" s="123"/>
      <c r="F591" s="123"/>
      <c r="G591" s="123"/>
    </row>
    <row r="592">
      <c r="D592" s="123"/>
      <c r="E592" s="123"/>
      <c r="F592" s="123"/>
      <c r="G592" s="123"/>
    </row>
    <row r="593">
      <c r="D593" s="123"/>
      <c r="E593" s="123"/>
      <c r="F593" s="123"/>
      <c r="G593" s="123"/>
    </row>
    <row r="594">
      <c r="D594" s="123"/>
      <c r="E594" s="123"/>
      <c r="F594" s="123"/>
      <c r="G594" s="123"/>
    </row>
    <row r="595">
      <c r="D595" s="123"/>
      <c r="E595" s="123"/>
      <c r="F595" s="123"/>
      <c r="G595" s="123"/>
    </row>
    <row r="596">
      <c r="D596" s="123"/>
      <c r="E596" s="123"/>
      <c r="F596" s="123"/>
      <c r="G596" s="123"/>
    </row>
    <row r="597">
      <c r="D597" s="123"/>
      <c r="E597" s="123"/>
      <c r="F597" s="123"/>
      <c r="G597" s="123"/>
    </row>
    <row r="598">
      <c r="D598" s="123"/>
      <c r="E598" s="123"/>
      <c r="F598" s="123"/>
      <c r="G598" s="123"/>
    </row>
    <row r="599">
      <c r="D599" s="123"/>
      <c r="E599" s="123"/>
      <c r="F599" s="123"/>
      <c r="G599" s="123"/>
    </row>
    <row r="600">
      <c r="D600" s="123"/>
      <c r="E600" s="123"/>
      <c r="F600" s="123"/>
      <c r="G600" s="123"/>
    </row>
    <row r="601">
      <c r="D601" s="123"/>
      <c r="E601" s="123"/>
      <c r="F601" s="123"/>
      <c r="G601" s="123"/>
    </row>
    <row r="602">
      <c r="D602" s="123"/>
      <c r="E602" s="123"/>
      <c r="F602" s="123"/>
      <c r="G602" s="123"/>
    </row>
    <row r="603">
      <c r="D603" s="123"/>
      <c r="E603" s="123"/>
      <c r="F603" s="123"/>
      <c r="G603" s="123"/>
    </row>
    <row r="604">
      <c r="D604" s="123"/>
      <c r="E604" s="123"/>
      <c r="F604" s="123"/>
      <c r="G604" s="123"/>
    </row>
    <row r="605">
      <c r="D605" s="123"/>
      <c r="E605" s="123"/>
      <c r="F605" s="123"/>
      <c r="G605" s="123"/>
    </row>
    <row r="606">
      <c r="D606" s="123"/>
      <c r="E606" s="123"/>
      <c r="F606" s="123"/>
      <c r="G606" s="123"/>
    </row>
    <row r="607">
      <c r="D607" s="123"/>
      <c r="E607" s="123"/>
      <c r="F607" s="123"/>
      <c r="G607" s="123"/>
    </row>
    <row r="608">
      <c r="D608" s="123"/>
      <c r="E608" s="123"/>
      <c r="F608" s="123"/>
      <c r="G608" s="123"/>
    </row>
    <row r="609">
      <c r="D609" s="123"/>
      <c r="E609" s="123"/>
      <c r="F609" s="123"/>
      <c r="G609" s="123"/>
    </row>
    <row r="610">
      <c r="D610" s="123"/>
      <c r="E610" s="123"/>
      <c r="F610" s="123"/>
      <c r="G610" s="123"/>
    </row>
    <row r="611">
      <c r="D611" s="123"/>
      <c r="E611" s="123"/>
      <c r="F611" s="123"/>
      <c r="G611" s="123"/>
    </row>
    <row r="612">
      <c r="D612" s="123"/>
      <c r="E612" s="123"/>
      <c r="F612" s="123"/>
      <c r="G612" s="123"/>
    </row>
    <row r="613">
      <c r="D613" s="123"/>
      <c r="E613" s="123"/>
      <c r="F613" s="123"/>
      <c r="G613" s="123"/>
    </row>
    <row r="614">
      <c r="D614" s="123"/>
      <c r="E614" s="123"/>
      <c r="F614" s="123"/>
      <c r="G614" s="123"/>
    </row>
    <row r="615">
      <c r="D615" s="123"/>
      <c r="E615" s="123"/>
      <c r="F615" s="123"/>
      <c r="G615" s="123"/>
    </row>
    <row r="616">
      <c r="D616" s="123"/>
      <c r="E616" s="123"/>
      <c r="F616" s="123"/>
      <c r="G616" s="123"/>
    </row>
    <row r="617">
      <c r="D617" s="123"/>
      <c r="E617" s="123"/>
      <c r="F617" s="123"/>
      <c r="G617" s="123"/>
    </row>
    <row r="618">
      <c r="D618" s="123"/>
      <c r="E618" s="123"/>
      <c r="F618" s="123"/>
      <c r="G618" s="123"/>
    </row>
    <row r="619">
      <c r="D619" s="123"/>
      <c r="E619" s="123"/>
      <c r="F619" s="123"/>
      <c r="G619" s="123"/>
    </row>
    <row r="620">
      <c r="D620" s="123"/>
      <c r="E620" s="123"/>
      <c r="F620" s="123"/>
      <c r="G620" s="123"/>
    </row>
    <row r="621">
      <c r="D621" s="123"/>
      <c r="E621" s="123"/>
      <c r="F621" s="123"/>
      <c r="G621" s="123"/>
    </row>
    <row r="622">
      <c r="D622" s="123"/>
      <c r="E622" s="123"/>
      <c r="F622" s="123"/>
      <c r="G622" s="123"/>
    </row>
    <row r="623">
      <c r="D623" s="123"/>
      <c r="E623" s="123"/>
      <c r="F623" s="123"/>
      <c r="G623" s="123"/>
    </row>
    <row r="624">
      <c r="D624" s="123"/>
      <c r="E624" s="123"/>
      <c r="F624" s="123"/>
      <c r="G624" s="123"/>
    </row>
    <row r="625">
      <c r="D625" s="123"/>
      <c r="E625" s="123"/>
      <c r="F625" s="123"/>
      <c r="G625" s="123"/>
    </row>
    <row r="626">
      <c r="D626" s="123"/>
      <c r="E626" s="123"/>
      <c r="F626" s="123"/>
      <c r="G626" s="123"/>
    </row>
    <row r="627">
      <c r="D627" s="123"/>
      <c r="E627" s="123"/>
      <c r="F627" s="123"/>
      <c r="G627" s="123"/>
    </row>
    <row r="628">
      <c r="D628" s="123"/>
      <c r="E628" s="123"/>
      <c r="F628" s="123"/>
      <c r="G628" s="123"/>
    </row>
    <row r="629">
      <c r="D629" s="123"/>
      <c r="E629" s="123"/>
      <c r="F629" s="123"/>
      <c r="G629" s="123"/>
    </row>
    <row r="630">
      <c r="D630" s="123"/>
      <c r="E630" s="123"/>
      <c r="F630" s="123"/>
      <c r="G630" s="123"/>
    </row>
    <row r="631">
      <c r="D631" s="123"/>
      <c r="E631" s="123"/>
      <c r="F631" s="123"/>
      <c r="G631" s="123"/>
    </row>
    <row r="632">
      <c r="D632" s="123"/>
      <c r="E632" s="123"/>
      <c r="F632" s="123"/>
      <c r="G632" s="123"/>
    </row>
    <row r="633">
      <c r="D633" s="123"/>
      <c r="E633" s="123"/>
      <c r="F633" s="123"/>
      <c r="G633" s="123"/>
    </row>
    <row r="634">
      <c r="D634" s="123"/>
      <c r="E634" s="123"/>
      <c r="F634" s="123"/>
      <c r="G634" s="123"/>
    </row>
    <row r="635">
      <c r="D635" s="123"/>
      <c r="E635" s="123"/>
      <c r="F635" s="123"/>
      <c r="G635" s="123"/>
    </row>
    <row r="636">
      <c r="D636" s="123"/>
      <c r="E636" s="123"/>
      <c r="F636" s="123"/>
      <c r="G636" s="123"/>
    </row>
    <row r="637">
      <c r="D637" s="123"/>
      <c r="E637" s="123"/>
      <c r="F637" s="123"/>
      <c r="G637" s="123"/>
    </row>
    <row r="638">
      <c r="D638" s="123"/>
      <c r="E638" s="123"/>
      <c r="F638" s="123"/>
      <c r="G638" s="123"/>
    </row>
    <row r="639">
      <c r="D639" s="123"/>
      <c r="E639" s="123"/>
      <c r="F639" s="123"/>
      <c r="G639" s="123"/>
    </row>
    <row r="640">
      <c r="D640" s="123"/>
      <c r="E640" s="123"/>
      <c r="F640" s="123"/>
      <c r="G640" s="123"/>
    </row>
    <row r="641">
      <c r="D641" s="123"/>
      <c r="E641" s="123"/>
      <c r="F641" s="123"/>
      <c r="G641" s="123"/>
    </row>
    <row r="642">
      <c r="D642" s="123"/>
      <c r="E642" s="123"/>
      <c r="F642" s="123"/>
      <c r="G642" s="123"/>
    </row>
    <row r="643">
      <c r="D643" s="123"/>
      <c r="E643" s="123"/>
      <c r="F643" s="123"/>
      <c r="G643" s="123"/>
    </row>
    <row r="644">
      <c r="D644" s="123"/>
      <c r="E644" s="123"/>
      <c r="F644" s="123"/>
      <c r="G644" s="123"/>
    </row>
    <row r="645">
      <c r="D645" s="123"/>
      <c r="E645" s="123"/>
      <c r="F645" s="123"/>
      <c r="G645" s="123"/>
    </row>
    <row r="646">
      <c r="D646" s="123"/>
      <c r="E646" s="123"/>
      <c r="F646" s="123"/>
      <c r="G646" s="123"/>
    </row>
    <row r="647">
      <c r="D647" s="123"/>
      <c r="E647" s="123"/>
      <c r="F647" s="123"/>
      <c r="G647" s="123"/>
    </row>
    <row r="648">
      <c r="D648" s="123"/>
      <c r="E648" s="123"/>
      <c r="F648" s="123"/>
      <c r="G648" s="123"/>
    </row>
    <row r="649">
      <c r="D649" s="123"/>
      <c r="E649" s="123"/>
      <c r="F649" s="123"/>
      <c r="G649" s="123"/>
    </row>
    <row r="650">
      <c r="D650" s="123"/>
      <c r="E650" s="123"/>
      <c r="F650" s="123"/>
      <c r="G650" s="123"/>
    </row>
    <row r="651">
      <c r="D651" s="123"/>
      <c r="E651" s="123"/>
      <c r="F651" s="123"/>
      <c r="G651" s="123"/>
    </row>
    <row r="652">
      <c r="D652" s="123"/>
      <c r="E652" s="123"/>
      <c r="F652" s="123"/>
      <c r="G652" s="123"/>
    </row>
    <row r="653">
      <c r="D653" s="123"/>
      <c r="E653" s="123"/>
      <c r="F653" s="123"/>
      <c r="G653" s="123"/>
    </row>
    <row r="654">
      <c r="D654" s="123"/>
      <c r="E654" s="123"/>
      <c r="F654" s="123"/>
      <c r="G654" s="123"/>
    </row>
    <row r="655">
      <c r="D655" s="123"/>
      <c r="E655" s="123"/>
      <c r="F655" s="123"/>
      <c r="G655" s="123"/>
    </row>
    <row r="656">
      <c r="D656" s="123"/>
      <c r="E656" s="123"/>
      <c r="F656" s="123"/>
      <c r="G656" s="123"/>
    </row>
    <row r="657">
      <c r="D657" s="123"/>
      <c r="E657" s="123"/>
      <c r="F657" s="123"/>
      <c r="G657" s="123"/>
    </row>
    <row r="658">
      <c r="D658" s="123"/>
      <c r="E658" s="123"/>
      <c r="F658" s="123"/>
      <c r="G658" s="123"/>
    </row>
    <row r="659">
      <c r="D659" s="123"/>
      <c r="E659" s="123"/>
      <c r="F659" s="123"/>
      <c r="G659" s="123"/>
    </row>
    <row r="660">
      <c r="D660" s="123"/>
      <c r="E660" s="123"/>
      <c r="F660" s="123"/>
      <c r="G660" s="123"/>
    </row>
    <row r="661">
      <c r="D661" s="123"/>
      <c r="E661" s="123"/>
      <c r="F661" s="123"/>
      <c r="G661" s="123"/>
    </row>
    <row r="662">
      <c r="D662" s="123"/>
      <c r="E662" s="123"/>
      <c r="F662" s="123"/>
      <c r="G662" s="123"/>
    </row>
    <row r="663">
      <c r="D663" s="123"/>
      <c r="E663" s="123"/>
      <c r="F663" s="123"/>
      <c r="G663" s="123"/>
    </row>
    <row r="664">
      <c r="D664" s="123"/>
      <c r="E664" s="123"/>
      <c r="F664" s="123"/>
      <c r="G664" s="123"/>
    </row>
    <row r="665">
      <c r="D665" s="123"/>
      <c r="E665" s="123"/>
      <c r="F665" s="123"/>
      <c r="G665" s="123"/>
    </row>
    <row r="666">
      <c r="D666" s="123"/>
      <c r="E666" s="123"/>
      <c r="F666" s="123"/>
      <c r="G666" s="123"/>
    </row>
    <row r="667">
      <c r="D667" s="123"/>
      <c r="E667" s="123"/>
      <c r="F667" s="123"/>
      <c r="G667" s="123"/>
    </row>
    <row r="668">
      <c r="D668" s="123"/>
      <c r="E668" s="123"/>
      <c r="F668" s="123"/>
      <c r="G668" s="123"/>
    </row>
    <row r="669">
      <c r="D669" s="123"/>
      <c r="E669" s="123"/>
      <c r="F669" s="123"/>
      <c r="G669" s="123"/>
    </row>
    <row r="670">
      <c r="D670" s="123"/>
      <c r="E670" s="123"/>
      <c r="F670" s="123"/>
      <c r="G670" s="123"/>
    </row>
    <row r="671">
      <c r="D671" s="123"/>
      <c r="E671" s="123"/>
      <c r="F671" s="123"/>
      <c r="G671" s="123"/>
    </row>
    <row r="672">
      <c r="D672" s="123"/>
      <c r="E672" s="123"/>
      <c r="F672" s="123"/>
      <c r="G672" s="123"/>
    </row>
    <row r="673">
      <c r="D673" s="123"/>
      <c r="E673" s="123"/>
      <c r="F673" s="123"/>
      <c r="G673" s="123"/>
    </row>
    <row r="674">
      <c r="D674" s="123"/>
      <c r="E674" s="123"/>
      <c r="F674" s="123"/>
      <c r="G674" s="123"/>
    </row>
    <row r="675">
      <c r="D675" s="123"/>
      <c r="E675" s="123"/>
      <c r="F675" s="123"/>
      <c r="G675" s="123"/>
    </row>
    <row r="676">
      <c r="D676" s="123"/>
      <c r="E676" s="123"/>
      <c r="F676" s="123"/>
      <c r="G676" s="123"/>
    </row>
    <row r="677">
      <c r="D677" s="123"/>
      <c r="E677" s="123"/>
      <c r="F677" s="123"/>
      <c r="G677" s="123"/>
    </row>
    <row r="678">
      <c r="D678" s="123"/>
      <c r="E678" s="123"/>
      <c r="F678" s="123"/>
      <c r="G678" s="123"/>
    </row>
    <row r="679">
      <c r="D679" s="123"/>
      <c r="E679" s="123"/>
      <c r="F679" s="123"/>
      <c r="G679" s="123"/>
    </row>
    <row r="680">
      <c r="D680" s="123"/>
      <c r="E680" s="123"/>
      <c r="F680" s="123"/>
      <c r="G680" s="123"/>
    </row>
    <row r="681">
      <c r="D681" s="123"/>
      <c r="E681" s="123"/>
      <c r="F681" s="123"/>
      <c r="G681" s="123"/>
    </row>
    <row r="682">
      <c r="D682" s="123"/>
      <c r="E682" s="123"/>
      <c r="F682" s="123"/>
      <c r="G682" s="123"/>
    </row>
    <row r="683">
      <c r="D683" s="123"/>
      <c r="E683" s="123"/>
      <c r="F683" s="123"/>
      <c r="G683" s="123"/>
    </row>
    <row r="684">
      <c r="D684" s="123"/>
      <c r="E684" s="123"/>
      <c r="F684" s="123"/>
      <c r="G684" s="123"/>
    </row>
    <row r="685">
      <c r="D685" s="123"/>
      <c r="E685" s="123"/>
      <c r="F685" s="123"/>
      <c r="G685" s="123"/>
    </row>
    <row r="686">
      <c r="D686" s="123"/>
      <c r="E686" s="123"/>
      <c r="F686" s="123"/>
      <c r="G686" s="123"/>
    </row>
    <row r="687">
      <c r="D687" s="123"/>
      <c r="E687" s="123"/>
      <c r="F687" s="123"/>
      <c r="G687" s="123"/>
    </row>
    <row r="688">
      <c r="D688" s="123"/>
      <c r="E688" s="123"/>
      <c r="F688" s="123"/>
      <c r="G688" s="123"/>
    </row>
    <row r="689">
      <c r="D689" s="123"/>
      <c r="E689" s="123"/>
      <c r="F689" s="123"/>
      <c r="G689" s="123"/>
    </row>
    <row r="690">
      <c r="D690" s="123"/>
      <c r="E690" s="123"/>
      <c r="F690" s="123"/>
      <c r="G690" s="123"/>
    </row>
    <row r="691">
      <c r="D691" s="123"/>
      <c r="E691" s="123"/>
      <c r="F691" s="123"/>
      <c r="G691" s="123"/>
    </row>
    <row r="692">
      <c r="D692" s="123"/>
      <c r="E692" s="123"/>
      <c r="F692" s="123"/>
      <c r="G692" s="123"/>
    </row>
    <row r="693">
      <c r="D693" s="123"/>
      <c r="E693" s="123"/>
      <c r="F693" s="123"/>
      <c r="G693" s="123"/>
    </row>
    <row r="694">
      <c r="D694" s="123"/>
      <c r="E694" s="123"/>
      <c r="F694" s="123"/>
      <c r="G694" s="123"/>
    </row>
    <row r="695">
      <c r="D695" s="123"/>
      <c r="E695" s="123"/>
      <c r="F695" s="123"/>
      <c r="G695" s="123"/>
    </row>
    <row r="696">
      <c r="D696" s="123"/>
      <c r="E696" s="123"/>
      <c r="F696" s="123"/>
      <c r="G696" s="123"/>
    </row>
    <row r="697">
      <c r="D697" s="123"/>
      <c r="E697" s="123"/>
      <c r="F697" s="123"/>
      <c r="G697" s="123"/>
    </row>
    <row r="698">
      <c r="D698" s="123"/>
      <c r="E698" s="123"/>
      <c r="F698" s="123"/>
      <c r="G698" s="123"/>
    </row>
    <row r="699">
      <c r="D699" s="123"/>
      <c r="E699" s="123"/>
      <c r="F699" s="123"/>
      <c r="G699" s="123"/>
    </row>
    <row r="700">
      <c r="D700" s="123"/>
      <c r="E700" s="123"/>
      <c r="F700" s="123"/>
      <c r="G700" s="123"/>
    </row>
    <row r="701">
      <c r="D701" s="123"/>
      <c r="E701" s="123"/>
      <c r="F701" s="123"/>
      <c r="G701" s="123"/>
    </row>
    <row r="702">
      <c r="D702" s="123"/>
      <c r="E702" s="123"/>
      <c r="F702" s="123"/>
      <c r="G702" s="123"/>
    </row>
    <row r="703">
      <c r="D703" s="123"/>
      <c r="E703" s="123"/>
      <c r="F703" s="123"/>
      <c r="G703" s="123"/>
    </row>
    <row r="704">
      <c r="D704" s="123"/>
      <c r="E704" s="123"/>
      <c r="F704" s="123"/>
      <c r="G704" s="123"/>
    </row>
    <row r="705">
      <c r="D705" s="123"/>
      <c r="E705" s="123"/>
      <c r="F705" s="123"/>
      <c r="G705" s="123"/>
    </row>
    <row r="706">
      <c r="D706" s="123"/>
      <c r="E706" s="123"/>
      <c r="F706" s="123"/>
      <c r="G706" s="123"/>
    </row>
    <row r="707">
      <c r="D707" s="123"/>
      <c r="E707" s="123"/>
      <c r="F707" s="123"/>
      <c r="G707" s="123"/>
    </row>
    <row r="708">
      <c r="D708" s="123"/>
      <c r="E708" s="123"/>
      <c r="F708" s="123"/>
      <c r="G708" s="123"/>
    </row>
    <row r="709">
      <c r="D709" s="123"/>
      <c r="E709" s="123"/>
      <c r="F709" s="123"/>
      <c r="G709" s="123"/>
    </row>
    <row r="710">
      <c r="D710" s="123"/>
      <c r="E710" s="123"/>
      <c r="F710" s="123"/>
      <c r="G710" s="123"/>
    </row>
    <row r="711">
      <c r="D711" s="123"/>
      <c r="E711" s="123"/>
      <c r="F711" s="123"/>
      <c r="G711" s="123"/>
    </row>
    <row r="712">
      <c r="D712" s="123"/>
      <c r="E712" s="123"/>
      <c r="F712" s="123"/>
      <c r="G712" s="123"/>
    </row>
    <row r="713">
      <c r="D713" s="123"/>
      <c r="E713" s="123"/>
      <c r="F713" s="123"/>
      <c r="G713" s="123"/>
    </row>
    <row r="714">
      <c r="D714" s="123"/>
      <c r="E714" s="123"/>
      <c r="F714" s="123"/>
      <c r="G714" s="123"/>
    </row>
    <row r="715">
      <c r="D715" s="123"/>
      <c r="E715" s="123"/>
      <c r="F715" s="123"/>
      <c r="G715" s="123"/>
    </row>
    <row r="716">
      <c r="D716" s="123"/>
      <c r="E716" s="123"/>
      <c r="F716" s="123"/>
      <c r="G716" s="123"/>
    </row>
    <row r="717">
      <c r="D717" s="123"/>
      <c r="E717" s="123"/>
      <c r="F717" s="123"/>
      <c r="G717" s="123"/>
    </row>
    <row r="718">
      <c r="D718" s="123"/>
      <c r="E718" s="123"/>
      <c r="F718" s="123"/>
      <c r="G718" s="123"/>
    </row>
    <row r="719">
      <c r="D719" s="123"/>
      <c r="E719" s="123"/>
      <c r="F719" s="123"/>
      <c r="G719" s="123"/>
    </row>
    <row r="720">
      <c r="D720" s="123"/>
      <c r="E720" s="123"/>
      <c r="F720" s="123"/>
      <c r="G720" s="123"/>
    </row>
    <row r="721">
      <c r="D721" s="123"/>
      <c r="E721" s="123"/>
      <c r="F721" s="123"/>
      <c r="G721" s="123"/>
    </row>
    <row r="722">
      <c r="D722" s="123"/>
      <c r="E722" s="123"/>
      <c r="F722" s="123"/>
      <c r="G722" s="123"/>
    </row>
    <row r="723">
      <c r="D723" s="123"/>
      <c r="E723" s="123"/>
      <c r="F723" s="123"/>
      <c r="G723" s="123"/>
    </row>
    <row r="724">
      <c r="D724" s="123"/>
      <c r="E724" s="123"/>
      <c r="F724" s="123"/>
      <c r="G724" s="123"/>
    </row>
    <row r="725">
      <c r="D725" s="123"/>
      <c r="E725" s="123"/>
      <c r="F725" s="123"/>
      <c r="G725" s="123"/>
    </row>
    <row r="726">
      <c r="D726" s="123"/>
      <c r="E726" s="123"/>
      <c r="F726" s="123"/>
      <c r="G726" s="123"/>
    </row>
    <row r="727">
      <c r="D727" s="123"/>
      <c r="E727" s="123"/>
      <c r="F727" s="123"/>
      <c r="G727" s="123"/>
    </row>
    <row r="728">
      <c r="D728" s="123"/>
      <c r="E728" s="123"/>
      <c r="F728" s="123"/>
      <c r="G728" s="123"/>
    </row>
    <row r="729">
      <c r="D729" s="123"/>
      <c r="E729" s="123"/>
      <c r="F729" s="123"/>
      <c r="G729" s="123"/>
    </row>
    <row r="730">
      <c r="D730" s="123"/>
      <c r="E730" s="123"/>
      <c r="F730" s="123"/>
      <c r="G730" s="123"/>
    </row>
    <row r="731">
      <c r="D731" s="123"/>
      <c r="E731" s="123"/>
      <c r="F731" s="123"/>
      <c r="G731" s="123"/>
    </row>
    <row r="732">
      <c r="D732" s="123"/>
      <c r="E732" s="123"/>
      <c r="F732" s="123"/>
      <c r="G732" s="123"/>
    </row>
    <row r="733">
      <c r="D733" s="123"/>
      <c r="E733" s="123"/>
      <c r="F733" s="123"/>
      <c r="G733" s="123"/>
    </row>
    <row r="734">
      <c r="D734" s="123"/>
      <c r="E734" s="123"/>
      <c r="F734" s="123"/>
      <c r="G734" s="123"/>
    </row>
    <row r="735">
      <c r="D735" s="123"/>
      <c r="E735" s="123"/>
      <c r="F735" s="123"/>
      <c r="G735" s="123"/>
    </row>
    <row r="736">
      <c r="D736" s="123"/>
      <c r="E736" s="123"/>
      <c r="F736" s="123"/>
      <c r="G736" s="123"/>
    </row>
    <row r="737">
      <c r="D737" s="123"/>
      <c r="E737" s="123"/>
      <c r="F737" s="123"/>
      <c r="G737" s="123"/>
    </row>
    <row r="738">
      <c r="D738" s="123"/>
      <c r="E738" s="123"/>
      <c r="F738" s="123"/>
      <c r="G738" s="123"/>
    </row>
    <row r="739">
      <c r="D739" s="123"/>
      <c r="E739" s="123"/>
      <c r="F739" s="123"/>
      <c r="G739" s="123"/>
    </row>
    <row r="740">
      <c r="D740" s="123"/>
      <c r="E740" s="123"/>
      <c r="F740" s="123"/>
      <c r="G740" s="123"/>
    </row>
    <row r="741">
      <c r="D741" s="123"/>
      <c r="E741" s="123"/>
      <c r="F741" s="123"/>
      <c r="G741" s="123"/>
    </row>
    <row r="742">
      <c r="D742" s="123"/>
      <c r="E742" s="123"/>
      <c r="F742" s="123"/>
      <c r="G742" s="123"/>
    </row>
    <row r="743">
      <c r="D743" s="123"/>
      <c r="E743" s="123"/>
      <c r="F743" s="123"/>
      <c r="G743" s="123"/>
    </row>
    <row r="744">
      <c r="D744" s="123"/>
      <c r="E744" s="123"/>
      <c r="F744" s="123"/>
      <c r="G744" s="123"/>
    </row>
    <row r="745">
      <c r="D745" s="123"/>
      <c r="E745" s="123"/>
      <c r="F745" s="123"/>
      <c r="G745" s="123"/>
    </row>
    <row r="746">
      <c r="D746" s="123"/>
      <c r="E746" s="123"/>
      <c r="F746" s="123"/>
      <c r="G746" s="123"/>
    </row>
    <row r="747">
      <c r="D747" s="123"/>
      <c r="E747" s="123"/>
      <c r="F747" s="123"/>
      <c r="G747" s="123"/>
    </row>
    <row r="748">
      <c r="D748" s="123"/>
      <c r="E748" s="123"/>
      <c r="F748" s="123"/>
      <c r="G748" s="123"/>
    </row>
    <row r="749">
      <c r="D749" s="123"/>
      <c r="E749" s="123"/>
      <c r="F749" s="123"/>
      <c r="G749" s="123"/>
    </row>
    <row r="750">
      <c r="D750" s="123"/>
      <c r="E750" s="123"/>
      <c r="F750" s="123"/>
      <c r="G750" s="123"/>
    </row>
    <row r="751">
      <c r="D751" s="123"/>
      <c r="E751" s="123"/>
      <c r="F751" s="123"/>
      <c r="G751" s="123"/>
    </row>
    <row r="752">
      <c r="D752" s="123"/>
      <c r="E752" s="123"/>
      <c r="F752" s="123"/>
      <c r="G752" s="123"/>
    </row>
    <row r="753">
      <c r="D753" s="123"/>
      <c r="E753" s="123"/>
      <c r="F753" s="123"/>
      <c r="G753" s="123"/>
    </row>
    <row r="754">
      <c r="D754" s="123"/>
      <c r="E754" s="123"/>
      <c r="F754" s="123"/>
      <c r="G754" s="123"/>
    </row>
    <row r="755">
      <c r="D755" s="123"/>
      <c r="E755" s="123"/>
      <c r="F755" s="123"/>
      <c r="G755" s="123"/>
    </row>
    <row r="756">
      <c r="D756" s="123"/>
      <c r="E756" s="123"/>
      <c r="F756" s="123"/>
      <c r="G756" s="123"/>
    </row>
    <row r="757">
      <c r="D757" s="123"/>
      <c r="E757" s="123"/>
      <c r="F757" s="123"/>
      <c r="G757" s="123"/>
    </row>
    <row r="758">
      <c r="D758" s="123"/>
      <c r="E758" s="123"/>
      <c r="F758" s="123"/>
      <c r="G758" s="123"/>
    </row>
    <row r="759">
      <c r="D759" s="123"/>
      <c r="E759" s="123"/>
      <c r="F759" s="123"/>
      <c r="G759" s="123"/>
    </row>
    <row r="760">
      <c r="D760" s="123"/>
      <c r="E760" s="123"/>
      <c r="F760" s="123"/>
      <c r="G760" s="123"/>
    </row>
    <row r="761">
      <c r="D761" s="123"/>
      <c r="E761" s="123"/>
      <c r="F761" s="123"/>
      <c r="G761" s="123"/>
    </row>
    <row r="762">
      <c r="D762" s="123"/>
      <c r="E762" s="123"/>
      <c r="F762" s="123"/>
      <c r="G762" s="123"/>
    </row>
    <row r="763">
      <c r="D763" s="123"/>
      <c r="E763" s="123"/>
      <c r="F763" s="123"/>
      <c r="G763" s="123"/>
    </row>
    <row r="764">
      <c r="D764" s="123"/>
      <c r="E764" s="123"/>
      <c r="F764" s="123"/>
      <c r="G764" s="123"/>
    </row>
    <row r="765">
      <c r="D765" s="123"/>
      <c r="E765" s="123"/>
      <c r="F765" s="123"/>
      <c r="G765" s="123"/>
    </row>
    <row r="766">
      <c r="D766" s="123"/>
      <c r="E766" s="123"/>
      <c r="F766" s="123"/>
      <c r="G766" s="123"/>
    </row>
    <row r="767">
      <c r="D767" s="123"/>
      <c r="E767" s="123"/>
      <c r="F767" s="123"/>
      <c r="G767" s="123"/>
    </row>
    <row r="768">
      <c r="D768" s="123"/>
      <c r="E768" s="123"/>
      <c r="F768" s="123"/>
      <c r="G768" s="123"/>
    </row>
    <row r="769">
      <c r="D769" s="123"/>
      <c r="E769" s="123"/>
      <c r="F769" s="123"/>
      <c r="G769" s="123"/>
    </row>
    <row r="770">
      <c r="D770" s="123"/>
      <c r="E770" s="123"/>
      <c r="F770" s="123"/>
      <c r="G770" s="123"/>
    </row>
    <row r="771">
      <c r="D771" s="123"/>
      <c r="E771" s="123"/>
      <c r="F771" s="123"/>
      <c r="G771" s="123"/>
    </row>
    <row r="772">
      <c r="D772" s="123"/>
      <c r="E772" s="123"/>
      <c r="F772" s="123"/>
      <c r="G772" s="123"/>
    </row>
    <row r="773">
      <c r="D773" s="123"/>
      <c r="E773" s="123"/>
      <c r="F773" s="123"/>
      <c r="G773" s="123"/>
    </row>
    <row r="774">
      <c r="D774" s="123"/>
      <c r="E774" s="123"/>
      <c r="F774" s="123"/>
      <c r="G774" s="123"/>
    </row>
    <row r="775">
      <c r="D775" s="123"/>
      <c r="E775" s="123"/>
      <c r="F775" s="123"/>
      <c r="G775" s="123"/>
    </row>
    <row r="776">
      <c r="D776" s="123"/>
      <c r="E776" s="123"/>
      <c r="F776" s="123"/>
      <c r="G776" s="123"/>
    </row>
    <row r="777">
      <c r="D777" s="123"/>
      <c r="E777" s="123"/>
      <c r="F777" s="123"/>
      <c r="G777" s="123"/>
    </row>
    <row r="778">
      <c r="D778" s="123"/>
      <c r="E778" s="123"/>
      <c r="F778" s="123"/>
      <c r="G778" s="123"/>
    </row>
    <row r="779">
      <c r="D779" s="123"/>
      <c r="E779" s="123"/>
      <c r="F779" s="123"/>
      <c r="G779" s="123"/>
    </row>
    <row r="780">
      <c r="D780" s="123"/>
      <c r="E780" s="123"/>
      <c r="F780" s="123"/>
      <c r="G780" s="123"/>
    </row>
    <row r="781">
      <c r="D781" s="123"/>
      <c r="E781" s="123"/>
      <c r="F781" s="123"/>
      <c r="G781" s="123"/>
    </row>
    <row r="782">
      <c r="D782" s="123"/>
      <c r="E782" s="123"/>
      <c r="F782" s="123"/>
      <c r="G782" s="123"/>
    </row>
    <row r="783">
      <c r="D783" s="123"/>
      <c r="E783" s="123"/>
      <c r="F783" s="123"/>
      <c r="G783" s="123"/>
    </row>
    <row r="784">
      <c r="D784" s="123"/>
      <c r="E784" s="123"/>
      <c r="F784" s="123"/>
      <c r="G784" s="123"/>
    </row>
    <row r="785">
      <c r="D785" s="123"/>
      <c r="E785" s="123"/>
      <c r="F785" s="123"/>
      <c r="G785" s="123"/>
    </row>
    <row r="786">
      <c r="D786" s="123"/>
      <c r="E786" s="123"/>
      <c r="F786" s="123"/>
      <c r="G786" s="123"/>
    </row>
    <row r="787">
      <c r="D787" s="123"/>
      <c r="E787" s="123"/>
      <c r="F787" s="123"/>
      <c r="G787" s="123"/>
    </row>
    <row r="788">
      <c r="D788" s="123"/>
      <c r="E788" s="123"/>
      <c r="F788" s="123"/>
      <c r="G788" s="123"/>
    </row>
    <row r="789">
      <c r="D789" s="123"/>
      <c r="E789" s="123"/>
      <c r="F789" s="123"/>
      <c r="G789" s="123"/>
    </row>
    <row r="790">
      <c r="D790" s="123"/>
      <c r="E790" s="123"/>
      <c r="F790" s="123"/>
      <c r="G790" s="123"/>
    </row>
    <row r="791">
      <c r="D791" s="123"/>
      <c r="E791" s="123"/>
      <c r="F791" s="123"/>
      <c r="G791" s="123"/>
    </row>
    <row r="792">
      <c r="D792" s="123"/>
      <c r="E792" s="123"/>
      <c r="F792" s="123"/>
      <c r="G792" s="123"/>
    </row>
    <row r="793">
      <c r="D793" s="123"/>
      <c r="E793" s="123"/>
      <c r="F793" s="123"/>
      <c r="G793" s="123"/>
    </row>
    <row r="794">
      <c r="D794" s="123"/>
      <c r="E794" s="123"/>
      <c r="F794" s="123"/>
      <c r="G794" s="123"/>
    </row>
    <row r="795">
      <c r="D795" s="123"/>
      <c r="E795" s="123"/>
      <c r="F795" s="123"/>
      <c r="G795" s="123"/>
    </row>
    <row r="796">
      <c r="D796" s="123"/>
      <c r="E796" s="123"/>
      <c r="F796" s="123"/>
      <c r="G796" s="123"/>
    </row>
    <row r="797">
      <c r="D797" s="123"/>
      <c r="E797" s="123"/>
      <c r="F797" s="123"/>
      <c r="G797" s="123"/>
    </row>
    <row r="798">
      <c r="D798" s="123"/>
      <c r="E798" s="123"/>
      <c r="F798" s="123"/>
      <c r="G798" s="123"/>
    </row>
    <row r="799">
      <c r="D799" s="123"/>
      <c r="E799" s="123"/>
      <c r="F799" s="123"/>
      <c r="G799" s="123"/>
    </row>
    <row r="800">
      <c r="D800" s="123"/>
      <c r="E800" s="123"/>
      <c r="F800" s="123"/>
      <c r="G800" s="123"/>
    </row>
    <row r="801">
      <c r="D801" s="123"/>
      <c r="E801" s="123"/>
      <c r="F801" s="123"/>
      <c r="G801" s="123"/>
    </row>
    <row r="802">
      <c r="D802" s="123"/>
      <c r="E802" s="123"/>
      <c r="F802" s="123"/>
      <c r="G802" s="123"/>
    </row>
    <row r="803">
      <c r="D803" s="123"/>
      <c r="E803" s="123"/>
      <c r="F803" s="123"/>
      <c r="G803" s="123"/>
    </row>
    <row r="804">
      <c r="D804" s="123"/>
      <c r="E804" s="123"/>
      <c r="F804" s="123"/>
      <c r="G804" s="123"/>
    </row>
    <row r="805">
      <c r="D805" s="123"/>
      <c r="E805" s="123"/>
      <c r="F805" s="123"/>
      <c r="G805" s="123"/>
    </row>
    <row r="806">
      <c r="D806" s="123"/>
      <c r="E806" s="123"/>
      <c r="F806" s="123"/>
      <c r="G806" s="123"/>
    </row>
    <row r="807">
      <c r="D807" s="123"/>
      <c r="E807" s="123"/>
      <c r="F807" s="123"/>
      <c r="G807" s="123"/>
    </row>
    <row r="808">
      <c r="D808" s="123"/>
      <c r="E808" s="123"/>
      <c r="F808" s="123"/>
      <c r="G808" s="123"/>
    </row>
    <row r="809">
      <c r="D809" s="123"/>
      <c r="E809" s="123"/>
      <c r="F809" s="123"/>
      <c r="G809" s="123"/>
    </row>
    <row r="810">
      <c r="D810" s="123"/>
      <c r="E810" s="123"/>
      <c r="F810" s="123"/>
      <c r="G810" s="123"/>
    </row>
    <row r="811">
      <c r="D811" s="123"/>
      <c r="E811" s="123"/>
      <c r="F811" s="123"/>
      <c r="G811" s="123"/>
    </row>
    <row r="812">
      <c r="D812" s="123"/>
      <c r="E812" s="123"/>
      <c r="F812" s="123"/>
      <c r="G812" s="123"/>
    </row>
    <row r="813">
      <c r="D813" s="123"/>
      <c r="E813" s="123"/>
      <c r="F813" s="123"/>
      <c r="G813" s="123"/>
    </row>
    <row r="814">
      <c r="D814" s="123"/>
      <c r="E814" s="123"/>
      <c r="F814" s="123"/>
      <c r="G814" s="123"/>
    </row>
    <row r="815">
      <c r="D815" s="123"/>
      <c r="E815" s="123"/>
      <c r="F815" s="123"/>
      <c r="G815" s="123"/>
    </row>
    <row r="816">
      <c r="D816" s="123"/>
      <c r="E816" s="123"/>
      <c r="F816" s="123"/>
      <c r="G816" s="123"/>
    </row>
    <row r="817">
      <c r="D817" s="123"/>
      <c r="E817" s="123"/>
      <c r="F817" s="123"/>
      <c r="G817" s="123"/>
    </row>
    <row r="818">
      <c r="D818" s="123"/>
      <c r="E818" s="123"/>
      <c r="F818" s="123"/>
      <c r="G818" s="123"/>
    </row>
    <row r="819">
      <c r="D819" s="123"/>
      <c r="E819" s="123"/>
      <c r="F819" s="123"/>
      <c r="G819" s="123"/>
    </row>
    <row r="820">
      <c r="D820" s="123"/>
      <c r="E820" s="123"/>
      <c r="F820" s="123"/>
      <c r="G820" s="123"/>
    </row>
    <row r="821">
      <c r="D821" s="123"/>
      <c r="E821" s="123"/>
      <c r="F821" s="123"/>
      <c r="G821" s="123"/>
    </row>
    <row r="822">
      <c r="D822" s="123"/>
      <c r="E822" s="123"/>
      <c r="F822" s="123"/>
      <c r="G822" s="123"/>
    </row>
    <row r="823">
      <c r="D823" s="123"/>
      <c r="E823" s="123"/>
      <c r="F823" s="123"/>
      <c r="G823" s="123"/>
    </row>
    <row r="824">
      <c r="D824" s="123"/>
      <c r="E824" s="123"/>
      <c r="F824" s="123"/>
      <c r="G824" s="123"/>
    </row>
    <row r="825">
      <c r="D825" s="123"/>
      <c r="E825" s="123"/>
      <c r="F825" s="123"/>
      <c r="G825" s="123"/>
    </row>
    <row r="826">
      <c r="D826" s="123"/>
      <c r="E826" s="123"/>
      <c r="F826" s="123"/>
      <c r="G826" s="123"/>
    </row>
    <row r="827">
      <c r="D827" s="123"/>
      <c r="E827" s="123"/>
      <c r="F827" s="123"/>
      <c r="G827" s="123"/>
    </row>
    <row r="828">
      <c r="D828" s="123"/>
      <c r="E828" s="123"/>
      <c r="F828" s="123"/>
      <c r="G828" s="123"/>
    </row>
    <row r="829">
      <c r="D829" s="123"/>
      <c r="E829" s="123"/>
      <c r="F829" s="123"/>
      <c r="G829" s="123"/>
    </row>
    <row r="830">
      <c r="D830" s="123"/>
      <c r="E830" s="123"/>
      <c r="F830" s="123"/>
      <c r="G830" s="123"/>
    </row>
    <row r="831">
      <c r="D831" s="123"/>
      <c r="E831" s="123"/>
      <c r="F831" s="123"/>
      <c r="G831" s="123"/>
    </row>
    <row r="832">
      <c r="D832" s="123"/>
      <c r="E832" s="123"/>
      <c r="F832" s="123"/>
      <c r="G832" s="123"/>
    </row>
    <row r="833">
      <c r="D833" s="123"/>
      <c r="E833" s="123"/>
      <c r="F833" s="123"/>
      <c r="G833" s="123"/>
    </row>
    <row r="834">
      <c r="D834" s="123"/>
      <c r="E834" s="123"/>
      <c r="F834" s="123"/>
      <c r="G834" s="123"/>
    </row>
    <row r="835">
      <c r="D835" s="123"/>
      <c r="E835" s="123"/>
      <c r="F835" s="123"/>
      <c r="G835" s="123"/>
    </row>
    <row r="836">
      <c r="D836" s="123"/>
      <c r="E836" s="123"/>
      <c r="F836" s="123"/>
      <c r="G836" s="123"/>
    </row>
    <row r="837">
      <c r="D837" s="123"/>
      <c r="E837" s="123"/>
      <c r="F837" s="123"/>
      <c r="G837" s="123"/>
    </row>
    <row r="838">
      <c r="D838" s="123"/>
      <c r="E838" s="123"/>
      <c r="F838" s="123"/>
      <c r="G838" s="123"/>
    </row>
    <row r="839">
      <c r="D839" s="123"/>
      <c r="E839" s="123"/>
      <c r="F839" s="123"/>
      <c r="G839" s="123"/>
    </row>
    <row r="840">
      <c r="D840" s="123"/>
      <c r="E840" s="123"/>
      <c r="F840" s="123"/>
      <c r="G840" s="123"/>
    </row>
    <row r="841">
      <c r="D841" s="123"/>
      <c r="E841" s="123"/>
      <c r="F841" s="123"/>
      <c r="G841" s="123"/>
    </row>
    <row r="842">
      <c r="D842" s="123"/>
      <c r="E842" s="123"/>
      <c r="F842" s="123"/>
      <c r="G842" s="123"/>
    </row>
    <row r="843">
      <c r="D843" s="123"/>
      <c r="E843" s="123"/>
      <c r="F843" s="123"/>
      <c r="G843" s="123"/>
    </row>
    <row r="844">
      <c r="D844" s="123"/>
      <c r="E844" s="123"/>
      <c r="F844" s="123"/>
      <c r="G844" s="123"/>
    </row>
    <row r="845">
      <c r="D845" s="123"/>
      <c r="E845" s="123"/>
      <c r="F845" s="123"/>
      <c r="G845" s="123"/>
    </row>
    <row r="846">
      <c r="D846" s="123"/>
      <c r="E846" s="123"/>
      <c r="F846" s="123"/>
      <c r="G846" s="123"/>
    </row>
    <row r="847">
      <c r="D847" s="123"/>
      <c r="E847" s="123"/>
      <c r="F847" s="123"/>
      <c r="G847" s="123"/>
    </row>
    <row r="848">
      <c r="D848" s="123"/>
      <c r="E848" s="123"/>
      <c r="F848" s="123"/>
      <c r="G848" s="123"/>
    </row>
    <row r="849">
      <c r="D849" s="123"/>
      <c r="E849" s="123"/>
      <c r="F849" s="123"/>
      <c r="G849" s="123"/>
    </row>
    <row r="850">
      <c r="D850" s="123"/>
      <c r="E850" s="123"/>
      <c r="F850" s="123"/>
      <c r="G850" s="123"/>
    </row>
    <row r="851">
      <c r="D851" s="123"/>
      <c r="E851" s="123"/>
      <c r="F851" s="123"/>
      <c r="G851" s="123"/>
    </row>
    <row r="852">
      <c r="D852" s="123"/>
      <c r="E852" s="123"/>
      <c r="F852" s="123"/>
      <c r="G852" s="123"/>
    </row>
    <row r="853">
      <c r="D853" s="123"/>
      <c r="E853" s="123"/>
      <c r="F853" s="123"/>
      <c r="G853" s="123"/>
    </row>
    <row r="854">
      <c r="D854" s="123"/>
      <c r="E854" s="123"/>
      <c r="F854" s="123"/>
      <c r="G854" s="123"/>
    </row>
    <row r="855">
      <c r="D855" s="123"/>
      <c r="E855" s="123"/>
      <c r="F855" s="123"/>
      <c r="G855" s="123"/>
    </row>
    <row r="856">
      <c r="D856" s="123"/>
      <c r="E856" s="123"/>
      <c r="F856" s="123"/>
      <c r="G856" s="123"/>
    </row>
    <row r="857">
      <c r="D857" s="123"/>
      <c r="E857" s="123"/>
      <c r="F857" s="123"/>
      <c r="G857" s="123"/>
    </row>
    <row r="858">
      <c r="D858" s="123"/>
      <c r="E858" s="123"/>
      <c r="F858" s="123"/>
      <c r="G858" s="123"/>
    </row>
    <row r="859">
      <c r="D859" s="123"/>
      <c r="E859" s="123"/>
      <c r="F859" s="123"/>
      <c r="G859" s="123"/>
    </row>
    <row r="860">
      <c r="D860" s="123"/>
      <c r="E860" s="123"/>
      <c r="F860" s="123"/>
      <c r="G860" s="123"/>
    </row>
    <row r="861">
      <c r="D861" s="123"/>
      <c r="E861" s="123"/>
      <c r="F861" s="123"/>
      <c r="G861" s="123"/>
    </row>
    <row r="862">
      <c r="D862" s="123"/>
      <c r="E862" s="123"/>
      <c r="F862" s="123"/>
      <c r="G862" s="123"/>
    </row>
    <row r="863">
      <c r="D863" s="123"/>
      <c r="E863" s="123"/>
      <c r="F863" s="123"/>
      <c r="G863" s="123"/>
    </row>
    <row r="864">
      <c r="D864" s="123"/>
      <c r="E864" s="123"/>
      <c r="F864" s="123"/>
      <c r="G864" s="123"/>
    </row>
    <row r="865">
      <c r="D865" s="123"/>
      <c r="E865" s="123"/>
      <c r="F865" s="123"/>
      <c r="G865" s="123"/>
    </row>
    <row r="866">
      <c r="D866" s="123"/>
      <c r="E866" s="123"/>
      <c r="F866" s="123"/>
      <c r="G866" s="123"/>
    </row>
    <row r="867">
      <c r="D867" s="123"/>
      <c r="E867" s="123"/>
      <c r="F867" s="123"/>
      <c r="G867" s="123"/>
    </row>
    <row r="868">
      <c r="D868" s="123"/>
      <c r="E868" s="123"/>
      <c r="F868" s="123"/>
      <c r="G868" s="123"/>
    </row>
    <row r="869">
      <c r="D869" s="123"/>
      <c r="E869" s="123"/>
      <c r="F869" s="123"/>
      <c r="G869" s="123"/>
    </row>
    <row r="870">
      <c r="D870" s="123"/>
      <c r="E870" s="123"/>
      <c r="F870" s="123"/>
      <c r="G870" s="123"/>
    </row>
    <row r="871">
      <c r="D871" s="123"/>
      <c r="E871" s="123"/>
      <c r="F871" s="123"/>
      <c r="G871" s="123"/>
    </row>
    <row r="872">
      <c r="D872" s="123"/>
      <c r="E872" s="123"/>
      <c r="F872" s="123"/>
      <c r="G872" s="123"/>
    </row>
    <row r="873">
      <c r="D873" s="123"/>
      <c r="E873" s="123"/>
      <c r="F873" s="123"/>
      <c r="G873" s="123"/>
    </row>
    <row r="874">
      <c r="D874" s="123"/>
      <c r="E874" s="123"/>
      <c r="F874" s="123"/>
      <c r="G874" s="123"/>
    </row>
    <row r="875">
      <c r="D875" s="123"/>
      <c r="E875" s="123"/>
      <c r="F875" s="123"/>
      <c r="G875" s="123"/>
    </row>
    <row r="876">
      <c r="D876" s="123"/>
      <c r="E876" s="123"/>
      <c r="F876" s="123"/>
      <c r="G876" s="123"/>
    </row>
    <row r="877">
      <c r="D877" s="123"/>
      <c r="E877" s="123"/>
      <c r="F877" s="123"/>
      <c r="G877" s="123"/>
    </row>
    <row r="878">
      <c r="D878" s="123"/>
      <c r="E878" s="123"/>
      <c r="F878" s="123"/>
      <c r="G878" s="123"/>
    </row>
    <row r="879">
      <c r="D879" s="123"/>
      <c r="E879" s="123"/>
      <c r="F879" s="123"/>
      <c r="G879" s="123"/>
    </row>
    <row r="880">
      <c r="D880" s="123"/>
      <c r="E880" s="123"/>
      <c r="F880" s="123"/>
      <c r="G880" s="123"/>
    </row>
    <row r="881">
      <c r="D881" s="123"/>
      <c r="E881" s="123"/>
      <c r="F881" s="123"/>
      <c r="G881" s="123"/>
    </row>
    <row r="882">
      <c r="D882" s="123"/>
      <c r="E882" s="123"/>
      <c r="F882" s="123"/>
      <c r="G882" s="123"/>
    </row>
    <row r="883">
      <c r="D883" s="123"/>
      <c r="E883" s="123"/>
      <c r="F883" s="123"/>
      <c r="G883" s="123"/>
    </row>
    <row r="884">
      <c r="D884" s="123"/>
      <c r="E884" s="123"/>
      <c r="F884" s="123"/>
      <c r="G884" s="123"/>
    </row>
    <row r="885">
      <c r="D885" s="123"/>
      <c r="E885" s="123"/>
      <c r="F885" s="123"/>
      <c r="G885" s="123"/>
    </row>
    <row r="886">
      <c r="D886" s="123"/>
      <c r="E886" s="123"/>
      <c r="F886" s="123"/>
      <c r="G886" s="123"/>
    </row>
    <row r="887">
      <c r="D887" s="123"/>
      <c r="E887" s="123"/>
      <c r="F887" s="123"/>
      <c r="G887" s="123"/>
    </row>
    <row r="888">
      <c r="D888" s="123"/>
      <c r="E888" s="123"/>
      <c r="F888" s="123"/>
      <c r="G888" s="123"/>
    </row>
    <row r="889">
      <c r="D889" s="123"/>
      <c r="E889" s="123"/>
      <c r="F889" s="123"/>
      <c r="G889" s="123"/>
    </row>
    <row r="890">
      <c r="D890" s="123"/>
      <c r="E890" s="123"/>
      <c r="F890" s="123"/>
      <c r="G890" s="123"/>
    </row>
    <row r="891">
      <c r="D891" s="123"/>
      <c r="E891" s="123"/>
      <c r="F891" s="123"/>
      <c r="G891" s="123"/>
    </row>
    <row r="892">
      <c r="D892" s="123"/>
      <c r="E892" s="123"/>
      <c r="F892" s="123"/>
      <c r="G892" s="123"/>
    </row>
    <row r="893">
      <c r="D893" s="123"/>
      <c r="E893" s="123"/>
      <c r="F893" s="123"/>
      <c r="G893" s="123"/>
    </row>
    <row r="894">
      <c r="D894" s="123"/>
      <c r="E894" s="123"/>
      <c r="F894" s="123"/>
      <c r="G894" s="123"/>
    </row>
    <row r="895">
      <c r="D895" s="123"/>
      <c r="E895" s="123"/>
      <c r="F895" s="123"/>
      <c r="G895" s="123"/>
    </row>
    <row r="896">
      <c r="D896" s="123"/>
      <c r="E896" s="123"/>
      <c r="F896" s="123"/>
      <c r="G896" s="123"/>
    </row>
    <row r="897">
      <c r="D897" s="123"/>
      <c r="E897" s="123"/>
      <c r="F897" s="123"/>
      <c r="G897" s="123"/>
    </row>
    <row r="898">
      <c r="D898" s="123"/>
      <c r="E898" s="123"/>
      <c r="F898" s="123"/>
      <c r="G898" s="123"/>
    </row>
    <row r="899">
      <c r="D899" s="123"/>
      <c r="E899" s="123"/>
      <c r="F899" s="123"/>
      <c r="G899" s="123"/>
    </row>
    <row r="900">
      <c r="D900" s="123"/>
      <c r="E900" s="123"/>
      <c r="F900" s="123"/>
      <c r="G900" s="123"/>
    </row>
    <row r="901">
      <c r="D901" s="123"/>
      <c r="E901" s="123"/>
      <c r="F901" s="123"/>
      <c r="G901" s="123"/>
    </row>
    <row r="902">
      <c r="D902" s="123"/>
      <c r="E902" s="123"/>
      <c r="F902" s="123"/>
      <c r="G902" s="123"/>
    </row>
    <row r="903">
      <c r="D903" s="123"/>
      <c r="E903" s="123"/>
      <c r="F903" s="123"/>
      <c r="G903" s="123"/>
    </row>
    <row r="904">
      <c r="D904" s="123"/>
      <c r="E904" s="123"/>
      <c r="F904" s="123"/>
      <c r="G904" s="123"/>
    </row>
    <row r="905">
      <c r="D905" s="123"/>
      <c r="E905" s="123"/>
      <c r="F905" s="123"/>
      <c r="G905" s="123"/>
    </row>
    <row r="906">
      <c r="D906" s="123"/>
      <c r="E906" s="123"/>
      <c r="F906" s="123"/>
      <c r="G906" s="123"/>
    </row>
    <row r="907">
      <c r="D907" s="123"/>
      <c r="E907" s="123"/>
      <c r="F907" s="123"/>
      <c r="G907" s="123"/>
    </row>
    <row r="908">
      <c r="D908" s="123"/>
      <c r="E908" s="123"/>
      <c r="F908" s="123"/>
      <c r="G908" s="123"/>
    </row>
    <row r="909">
      <c r="D909" s="123"/>
      <c r="E909" s="123"/>
      <c r="F909" s="123"/>
      <c r="G909" s="123"/>
    </row>
    <row r="910">
      <c r="D910" s="123"/>
      <c r="E910" s="123"/>
      <c r="F910" s="123"/>
      <c r="G910" s="123"/>
    </row>
    <row r="911">
      <c r="D911" s="123"/>
      <c r="E911" s="123"/>
      <c r="F911" s="123"/>
      <c r="G911" s="123"/>
    </row>
    <row r="912">
      <c r="D912" s="123"/>
      <c r="E912" s="123"/>
      <c r="F912" s="123"/>
      <c r="G912" s="123"/>
    </row>
    <row r="913">
      <c r="D913" s="123"/>
      <c r="E913" s="123"/>
      <c r="F913" s="123"/>
      <c r="G913" s="123"/>
    </row>
    <row r="914">
      <c r="D914" s="123"/>
      <c r="E914" s="123"/>
      <c r="F914" s="123"/>
      <c r="G914" s="123"/>
    </row>
    <row r="915">
      <c r="D915" s="123"/>
      <c r="E915" s="123"/>
      <c r="F915" s="123"/>
      <c r="G915" s="123"/>
    </row>
    <row r="916">
      <c r="D916" s="123"/>
      <c r="E916" s="123"/>
      <c r="F916" s="123"/>
      <c r="G916" s="123"/>
    </row>
    <row r="917">
      <c r="D917" s="123"/>
      <c r="E917" s="123"/>
      <c r="F917" s="123"/>
      <c r="G917" s="123"/>
    </row>
    <row r="918">
      <c r="D918" s="123"/>
      <c r="E918" s="123"/>
      <c r="F918" s="123"/>
      <c r="G918" s="123"/>
    </row>
    <row r="919">
      <c r="D919" s="123"/>
      <c r="E919" s="123"/>
      <c r="F919" s="123"/>
      <c r="G919" s="123"/>
    </row>
    <row r="920">
      <c r="D920" s="123"/>
      <c r="E920" s="123"/>
      <c r="F920" s="123"/>
      <c r="G920" s="123"/>
    </row>
    <row r="921">
      <c r="D921" s="123"/>
      <c r="E921" s="123"/>
      <c r="F921" s="123"/>
      <c r="G921" s="123"/>
    </row>
    <row r="922">
      <c r="D922" s="123"/>
      <c r="E922" s="123"/>
      <c r="F922" s="123"/>
      <c r="G922" s="123"/>
    </row>
    <row r="923">
      <c r="D923" s="123"/>
      <c r="E923" s="123"/>
      <c r="F923" s="123"/>
      <c r="G923" s="123"/>
    </row>
    <row r="924">
      <c r="D924" s="123"/>
      <c r="E924" s="123"/>
      <c r="F924" s="123"/>
      <c r="G924" s="123"/>
    </row>
    <row r="925">
      <c r="D925" s="123"/>
      <c r="E925" s="123"/>
      <c r="F925" s="123"/>
      <c r="G925" s="123"/>
    </row>
    <row r="926">
      <c r="D926" s="123"/>
      <c r="E926" s="123"/>
      <c r="F926" s="123"/>
      <c r="G926" s="123"/>
    </row>
    <row r="927">
      <c r="D927" s="123"/>
      <c r="E927" s="123"/>
      <c r="F927" s="123"/>
      <c r="G927" s="123"/>
    </row>
    <row r="928">
      <c r="D928" s="123"/>
      <c r="E928" s="123"/>
      <c r="F928" s="123"/>
      <c r="G928" s="123"/>
    </row>
    <row r="929">
      <c r="D929" s="123"/>
      <c r="E929" s="123"/>
      <c r="F929" s="123"/>
      <c r="G929" s="123"/>
    </row>
    <row r="930">
      <c r="D930" s="123"/>
      <c r="E930" s="123"/>
      <c r="F930" s="123"/>
      <c r="G930" s="123"/>
    </row>
    <row r="931">
      <c r="D931" s="123"/>
      <c r="E931" s="123"/>
      <c r="F931" s="123"/>
      <c r="G931" s="123"/>
    </row>
    <row r="932">
      <c r="D932" s="123"/>
      <c r="E932" s="123"/>
      <c r="F932" s="123"/>
      <c r="G932" s="123"/>
    </row>
    <row r="933">
      <c r="D933" s="123"/>
      <c r="E933" s="123"/>
      <c r="F933" s="123"/>
      <c r="G933" s="123"/>
    </row>
    <row r="934">
      <c r="D934" s="123"/>
      <c r="E934" s="123"/>
      <c r="F934" s="123"/>
      <c r="G934" s="123"/>
    </row>
    <row r="935">
      <c r="D935" s="123"/>
      <c r="E935" s="123"/>
      <c r="F935" s="123"/>
      <c r="G935" s="123"/>
    </row>
    <row r="936">
      <c r="D936" s="123"/>
      <c r="E936" s="123"/>
      <c r="F936" s="123"/>
      <c r="G936" s="123"/>
    </row>
    <row r="937">
      <c r="D937" s="123"/>
      <c r="E937" s="123"/>
      <c r="F937" s="123"/>
      <c r="G937" s="123"/>
    </row>
    <row r="938">
      <c r="D938" s="123"/>
      <c r="E938" s="123"/>
      <c r="F938" s="123"/>
      <c r="G938" s="123"/>
    </row>
    <row r="939">
      <c r="D939" s="123"/>
      <c r="E939" s="123"/>
      <c r="F939" s="123"/>
      <c r="G939" s="123"/>
    </row>
    <row r="940">
      <c r="D940" s="123"/>
      <c r="E940" s="123"/>
      <c r="F940" s="123"/>
      <c r="G940" s="123"/>
    </row>
    <row r="941">
      <c r="D941" s="123"/>
      <c r="E941" s="123"/>
      <c r="F941" s="123"/>
      <c r="G941" s="123"/>
    </row>
    <row r="942">
      <c r="D942" s="123"/>
      <c r="E942" s="123"/>
      <c r="F942" s="123"/>
      <c r="G942" s="123"/>
    </row>
    <row r="943">
      <c r="D943" s="123"/>
      <c r="E943" s="123"/>
      <c r="F943" s="123"/>
      <c r="G943" s="123"/>
    </row>
    <row r="944">
      <c r="D944" s="123"/>
      <c r="E944" s="123"/>
      <c r="F944" s="123"/>
      <c r="G944" s="123"/>
    </row>
    <row r="945">
      <c r="D945" s="123"/>
      <c r="E945" s="123"/>
      <c r="F945" s="123"/>
      <c r="G945" s="123"/>
    </row>
    <row r="946">
      <c r="D946" s="123"/>
      <c r="E946" s="123"/>
      <c r="F946" s="123"/>
      <c r="G946" s="123"/>
    </row>
    <row r="947">
      <c r="D947" s="123"/>
      <c r="E947" s="123"/>
      <c r="F947" s="123"/>
      <c r="G947" s="123"/>
    </row>
    <row r="948">
      <c r="D948" s="123"/>
      <c r="E948" s="123"/>
      <c r="F948" s="123"/>
      <c r="G948" s="123"/>
    </row>
    <row r="949">
      <c r="D949" s="123"/>
      <c r="E949" s="123"/>
      <c r="F949" s="123"/>
      <c r="G949" s="123"/>
    </row>
    <row r="950">
      <c r="D950" s="123"/>
      <c r="E950" s="123"/>
      <c r="F950" s="123"/>
      <c r="G950" s="123"/>
    </row>
    <row r="951">
      <c r="D951" s="123"/>
      <c r="E951" s="123"/>
      <c r="F951" s="123"/>
      <c r="G951" s="123"/>
    </row>
    <row r="952">
      <c r="D952" s="123"/>
      <c r="E952" s="123"/>
      <c r="F952" s="123"/>
      <c r="G952" s="123"/>
    </row>
    <row r="953">
      <c r="D953" s="123"/>
      <c r="E953" s="123"/>
      <c r="F953" s="123"/>
      <c r="G953" s="123"/>
    </row>
    <row r="954">
      <c r="D954" s="123"/>
      <c r="E954" s="123"/>
      <c r="F954" s="123"/>
      <c r="G954" s="123"/>
    </row>
    <row r="955">
      <c r="D955" s="123"/>
      <c r="E955" s="123"/>
      <c r="F955" s="123"/>
      <c r="G955" s="123"/>
    </row>
    <row r="956">
      <c r="D956" s="123"/>
      <c r="E956" s="123"/>
      <c r="F956" s="123"/>
      <c r="G956" s="123"/>
    </row>
    <row r="957">
      <c r="D957" s="123"/>
      <c r="E957" s="123"/>
      <c r="F957" s="123"/>
      <c r="G957" s="123"/>
    </row>
    <row r="958">
      <c r="D958" s="123"/>
      <c r="E958" s="123"/>
      <c r="F958" s="123"/>
      <c r="G958" s="123"/>
    </row>
    <row r="959">
      <c r="D959" s="123"/>
      <c r="E959" s="123"/>
      <c r="F959" s="123"/>
      <c r="G959" s="123"/>
    </row>
    <row r="960">
      <c r="D960" s="123"/>
      <c r="E960" s="123"/>
      <c r="F960" s="123"/>
      <c r="G960" s="123"/>
    </row>
    <row r="961">
      <c r="D961" s="123"/>
      <c r="E961" s="123"/>
      <c r="F961" s="123"/>
      <c r="G961" s="123"/>
    </row>
    <row r="962">
      <c r="D962" s="123"/>
      <c r="E962" s="123"/>
      <c r="F962" s="123"/>
      <c r="G962" s="123"/>
    </row>
    <row r="963">
      <c r="D963" s="123"/>
      <c r="E963" s="123"/>
      <c r="F963" s="123"/>
      <c r="G963" s="123"/>
    </row>
    <row r="964">
      <c r="D964" s="123"/>
      <c r="E964" s="123"/>
      <c r="F964" s="123"/>
      <c r="G964" s="123"/>
    </row>
    <row r="965">
      <c r="D965" s="123"/>
      <c r="E965" s="123"/>
      <c r="F965" s="123"/>
      <c r="G965" s="123"/>
    </row>
    <row r="966">
      <c r="D966" s="123"/>
      <c r="E966" s="123"/>
      <c r="F966" s="123"/>
      <c r="G966" s="123"/>
    </row>
    <row r="967">
      <c r="D967" s="123"/>
      <c r="E967" s="123"/>
      <c r="F967" s="123"/>
      <c r="G967" s="123"/>
    </row>
    <row r="968">
      <c r="D968" s="123"/>
      <c r="E968" s="123"/>
      <c r="F968" s="123"/>
      <c r="G968" s="123"/>
    </row>
    <row r="969">
      <c r="D969" s="123"/>
      <c r="E969" s="123"/>
      <c r="F969" s="123"/>
      <c r="G969" s="123"/>
    </row>
    <row r="970">
      <c r="D970" s="123"/>
      <c r="E970" s="123"/>
      <c r="F970" s="123"/>
      <c r="G970" s="123"/>
    </row>
    <row r="971">
      <c r="D971" s="123"/>
      <c r="E971" s="123"/>
      <c r="F971" s="123"/>
      <c r="G971" s="123"/>
    </row>
    <row r="972">
      <c r="D972" s="123"/>
      <c r="E972" s="123"/>
      <c r="F972" s="123"/>
      <c r="G972" s="123"/>
    </row>
    <row r="973">
      <c r="D973" s="123"/>
      <c r="E973" s="123"/>
      <c r="F973" s="123"/>
      <c r="G973" s="123"/>
    </row>
    <row r="974">
      <c r="D974" s="123"/>
      <c r="E974" s="123"/>
      <c r="F974" s="123"/>
      <c r="G974" s="123"/>
    </row>
    <row r="975">
      <c r="D975" s="123"/>
      <c r="E975" s="123"/>
      <c r="F975" s="123"/>
      <c r="G975" s="123"/>
    </row>
    <row r="976">
      <c r="D976" s="123"/>
      <c r="E976" s="123"/>
      <c r="F976" s="123"/>
      <c r="G976" s="123"/>
    </row>
    <row r="977">
      <c r="D977" s="123"/>
      <c r="E977" s="123"/>
      <c r="F977" s="123"/>
      <c r="G977" s="123"/>
    </row>
    <row r="978">
      <c r="D978" s="123"/>
      <c r="E978" s="123"/>
      <c r="F978" s="123"/>
      <c r="G978" s="123"/>
    </row>
    <row r="979">
      <c r="D979" s="123"/>
      <c r="E979" s="123"/>
      <c r="F979" s="123"/>
      <c r="G979" s="123"/>
    </row>
    <row r="980">
      <c r="D980" s="123"/>
      <c r="E980" s="123"/>
      <c r="F980" s="123"/>
      <c r="G980" s="123"/>
    </row>
    <row r="981">
      <c r="D981" s="123"/>
      <c r="E981" s="123"/>
      <c r="F981" s="123"/>
      <c r="G981" s="123"/>
    </row>
    <row r="982">
      <c r="D982" s="123"/>
      <c r="E982" s="123"/>
      <c r="F982" s="123"/>
      <c r="G982" s="123"/>
    </row>
  </sheetData>
  <mergeCells count="10">
    <mergeCell ref="B75:B77"/>
    <mergeCell ref="C75:C77"/>
    <mergeCell ref="A1:BE1"/>
    <mergeCell ref="A2:A4"/>
    <mergeCell ref="B2:B4"/>
    <mergeCell ref="C2:C4"/>
    <mergeCell ref="D2:BE2"/>
    <mergeCell ref="A74:BE74"/>
    <mergeCell ref="A75:A77"/>
    <mergeCell ref="D75:BE75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17" width="3.38"/>
    <col customWidth="1" min="18" max="18" width="3.5"/>
    <col customWidth="1" min="19" max="57" width="3.38"/>
  </cols>
  <sheetData>
    <row r="1">
      <c r="A1" s="1" t="s">
        <v>493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1</v>
      </c>
      <c r="B2" s="5" t="s">
        <v>2</v>
      </c>
      <c r="C2" s="6" t="s">
        <v>3</v>
      </c>
      <c r="D2" s="7" t="s">
        <v>494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79" t="s">
        <v>475</v>
      </c>
      <c r="E3" s="79" t="s">
        <v>475</v>
      </c>
      <c r="F3" s="79" t="s">
        <v>475</v>
      </c>
      <c r="G3" s="79" t="s">
        <v>475</v>
      </c>
      <c r="H3" s="79" t="s">
        <v>475</v>
      </c>
      <c r="I3" s="79" t="s">
        <v>475</v>
      </c>
      <c r="J3" s="79" t="s">
        <v>374</v>
      </c>
      <c r="K3" s="79"/>
      <c r="L3" s="79"/>
      <c r="M3" s="79"/>
      <c r="N3" s="79"/>
      <c r="O3" s="79"/>
      <c r="P3" s="65"/>
      <c r="Q3" s="79"/>
      <c r="R3" s="79"/>
      <c r="S3" s="65"/>
      <c r="T3" s="11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2"/>
      <c r="BA3" s="12"/>
      <c r="BB3" s="12"/>
      <c r="BC3" s="12"/>
      <c r="BD3" s="12"/>
      <c r="BE3" s="14"/>
    </row>
    <row r="4" ht="75.75" customHeight="1">
      <c r="A4" s="15"/>
      <c r="B4" s="15"/>
      <c r="C4" s="15"/>
      <c r="D4" s="65" t="s">
        <v>495</v>
      </c>
      <c r="E4" s="65" t="s">
        <v>496</v>
      </c>
      <c r="F4" s="65" t="s">
        <v>497</v>
      </c>
      <c r="G4" s="65" t="s">
        <v>498</v>
      </c>
      <c r="H4" s="65" t="s">
        <v>499</v>
      </c>
      <c r="I4" s="65" t="s">
        <v>500</v>
      </c>
      <c r="J4" s="65" t="s">
        <v>501</v>
      </c>
      <c r="K4" s="65"/>
      <c r="L4" s="65"/>
      <c r="M4" s="65"/>
      <c r="N4" s="65"/>
      <c r="O4" s="65"/>
      <c r="P4" s="65"/>
      <c r="Q4" s="87"/>
      <c r="R4" s="94"/>
      <c r="S4" s="87"/>
      <c r="T4" s="17"/>
      <c r="U4" s="13"/>
      <c r="V4" s="13"/>
      <c r="W4" s="13"/>
      <c r="X4" s="13"/>
      <c r="Y4" s="13"/>
      <c r="Z4" s="13"/>
      <c r="AA4" s="12"/>
      <c r="AB4" s="12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2"/>
      <c r="BA4" s="18" t="s">
        <v>21</v>
      </c>
      <c r="BB4" s="19" t="s">
        <v>22</v>
      </c>
      <c r="BC4" s="20" t="s">
        <v>23</v>
      </c>
      <c r="BD4" s="21" t="s">
        <v>24</v>
      </c>
      <c r="BE4" s="22" t="s">
        <v>25</v>
      </c>
    </row>
    <row r="5">
      <c r="A5" s="23">
        <v>1.0</v>
      </c>
      <c r="B5" s="24" t="s">
        <v>29</v>
      </c>
      <c r="C5" s="25" t="s">
        <v>30</v>
      </c>
      <c r="D5" s="102" t="s">
        <v>28</v>
      </c>
      <c r="E5" s="125" t="s">
        <v>28</v>
      </c>
      <c r="F5" s="125" t="s">
        <v>28</v>
      </c>
      <c r="G5" s="125" t="s">
        <v>28</v>
      </c>
      <c r="H5" s="104" t="s">
        <v>22</v>
      </c>
      <c r="I5" s="102" t="s">
        <v>28</v>
      </c>
      <c r="J5" s="102" t="s">
        <v>28</v>
      </c>
      <c r="K5" s="120"/>
      <c r="L5" s="96"/>
      <c r="M5" s="96"/>
      <c r="N5" s="96"/>
      <c r="O5" s="96"/>
      <c r="P5" s="96"/>
      <c r="Q5" s="96"/>
      <c r="R5" s="96"/>
      <c r="S5" s="96"/>
      <c r="T5" s="28"/>
      <c r="U5" s="29"/>
      <c r="V5" s="29"/>
      <c r="W5" s="29"/>
      <c r="X5" s="29"/>
      <c r="Y5" s="29"/>
      <c r="Z5" s="29"/>
      <c r="AA5" s="29"/>
      <c r="AB5" s="31"/>
      <c r="AC5" s="31"/>
      <c r="AD5" s="31"/>
      <c r="AE5" s="34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2">
        <f t="shared" ref="BA5:BA61" si="1">COUNTIF(D5:AZ5,"L")</f>
        <v>0</v>
      </c>
      <c r="BB5" s="32">
        <f t="shared" ref="BB5:BB61" si="2">COUNTIF(D5:AZ5,"A")</f>
        <v>1</v>
      </c>
      <c r="BC5" s="32">
        <f t="shared" ref="BC5:BC61" si="3">COUNTIF(D5:AZ5,"p")</f>
        <v>6</v>
      </c>
      <c r="BD5" s="32">
        <f t="shared" ref="BD5:BD66" si="4">SUM(BA5:BC5)</f>
        <v>7</v>
      </c>
      <c r="BE5" s="33">
        <f t="shared" ref="BE5:BE66" si="5">SUM(BA5,BC5)/BD5*100</f>
        <v>85.71428571</v>
      </c>
    </row>
    <row r="6">
      <c r="A6" s="23">
        <v>2.0</v>
      </c>
      <c r="B6" s="24" t="s">
        <v>31</v>
      </c>
      <c r="C6" s="25" t="s">
        <v>32</v>
      </c>
      <c r="D6" s="104" t="s">
        <v>22</v>
      </c>
      <c r="E6" s="126" t="s">
        <v>22</v>
      </c>
      <c r="F6" s="125" t="s">
        <v>28</v>
      </c>
      <c r="G6" s="125" t="s">
        <v>28</v>
      </c>
      <c r="H6" s="102" t="s">
        <v>28</v>
      </c>
      <c r="I6" s="102" t="s">
        <v>28</v>
      </c>
      <c r="J6" s="102" t="s">
        <v>28</v>
      </c>
      <c r="K6" s="120"/>
      <c r="L6" s="96"/>
      <c r="M6" s="96"/>
      <c r="N6" s="96"/>
      <c r="O6" s="96"/>
      <c r="P6" s="82"/>
      <c r="Q6" s="96"/>
      <c r="R6" s="96"/>
      <c r="S6" s="96"/>
      <c r="T6" s="28"/>
      <c r="U6" s="29"/>
      <c r="V6" s="29"/>
      <c r="W6" s="29"/>
      <c r="X6" s="29"/>
      <c r="Y6" s="29"/>
      <c r="Z6" s="29"/>
      <c r="AA6" s="29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2">
        <f t="shared" si="1"/>
        <v>0</v>
      </c>
      <c r="BB6" s="32">
        <f t="shared" si="2"/>
        <v>2</v>
      </c>
      <c r="BC6" s="32">
        <f t="shared" si="3"/>
        <v>5</v>
      </c>
      <c r="BD6" s="32">
        <f t="shared" si="4"/>
        <v>7</v>
      </c>
      <c r="BE6" s="33">
        <f t="shared" si="5"/>
        <v>71.42857143</v>
      </c>
    </row>
    <row r="7">
      <c r="A7" s="23">
        <v>3.0</v>
      </c>
      <c r="B7" s="24" t="s">
        <v>33</v>
      </c>
      <c r="C7" s="25" t="s">
        <v>34</v>
      </c>
      <c r="D7" s="104" t="s">
        <v>22</v>
      </c>
      <c r="E7" s="125" t="s">
        <v>28</v>
      </c>
      <c r="F7" s="125" t="s">
        <v>28</v>
      </c>
      <c r="G7" s="126" t="s">
        <v>22</v>
      </c>
      <c r="H7" s="104" t="s">
        <v>22</v>
      </c>
      <c r="I7" s="104" t="s">
        <v>22</v>
      </c>
      <c r="J7" s="102" t="s">
        <v>28</v>
      </c>
      <c r="K7" s="120"/>
      <c r="L7" s="96"/>
      <c r="M7" s="96"/>
      <c r="N7" s="82"/>
      <c r="O7" s="96"/>
      <c r="P7" s="96"/>
      <c r="Q7" s="96"/>
      <c r="R7" s="96"/>
      <c r="S7" s="96"/>
      <c r="T7" s="28"/>
      <c r="U7" s="29"/>
      <c r="V7" s="29"/>
      <c r="W7" s="29"/>
      <c r="X7" s="29"/>
      <c r="Y7" s="29"/>
      <c r="Z7" s="29"/>
      <c r="AA7" s="29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2">
        <f t="shared" si="1"/>
        <v>0</v>
      </c>
      <c r="BB7" s="32">
        <f t="shared" si="2"/>
        <v>4</v>
      </c>
      <c r="BC7" s="32">
        <f t="shared" si="3"/>
        <v>3</v>
      </c>
      <c r="BD7" s="32">
        <f t="shared" si="4"/>
        <v>7</v>
      </c>
      <c r="BE7" s="33">
        <f t="shared" si="5"/>
        <v>42.85714286</v>
      </c>
    </row>
    <row r="8">
      <c r="A8" s="23">
        <v>4.0</v>
      </c>
      <c r="B8" s="24" t="s">
        <v>35</v>
      </c>
      <c r="C8" s="25" t="s">
        <v>36</v>
      </c>
      <c r="D8" s="102" t="s">
        <v>28</v>
      </c>
      <c r="E8" s="125" t="s">
        <v>28</v>
      </c>
      <c r="F8" s="126" t="s">
        <v>22</v>
      </c>
      <c r="G8" s="125" t="s">
        <v>28</v>
      </c>
      <c r="H8" s="102" t="s">
        <v>28</v>
      </c>
      <c r="I8" s="102" t="s">
        <v>28</v>
      </c>
      <c r="J8" s="102" t="s">
        <v>28</v>
      </c>
      <c r="K8" s="120"/>
      <c r="L8" s="96"/>
      <c r="M8" s="96"/>
      <c r="N8" s="96"/>
      <c r="O8" s="96"/>
      <c r="P8" s="96"/>
      <c r="Q8" s="96"/>
      <c r="R8" s="96"/>
      <c r="S8" s="96"/>
      <c r="T8" s="29"/>
      <c r="U8" s="29"/>
      <c r="V8" s="29"/>
      <c r="W8" s="29"/>
      <c r="X8" s="29"/>
      <c r="Y8" s="29"/>
      <c r="Z8" s="29"/>
      <c r="AA8" s="29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2">
        <f t="shared" si="1"/>
        <v>0</v>
      </c>
      <c r="BB8" s="32">
        <f t="shared" si="2"/>
        <v>1</v>
      </c>
      <c r="BC8" s="32">
        <f t="shared" si="3"/>
        <v>6</v>
      </c>
      <c r="BD8" s="32">
        <f t="shared" si="4"/>
        <v>7</v>
      </c>
      <c r="BE8" s="33">
        <f t="shared" si="5"/>
        <v>85.71428571</v>
      </c>
    </row>
    <row r="9">
      <c r="A9" s="49">
        <v>5.0</v>
      </c>
      <c r="B9" s="35" t="s">
        <v>37</v>
      </c>
      <c r="C9" s="36" t="s">
        <v>391</v>
      </c>
      <c r="D9" s="104" t="s">
        <v>22</v>
      </c>
      <c r="E9" s="126" t="s">
        <v>22</v>
      </c>
      <c r="F9" s="126" t="s">
        <v>22</v>
      </c>
      <c r="G9" s="126" t="s">
        <v>22</v>
      </c>
      <c r="H9" s="104" t="s">
        <v>22</v>
      </c>
      <c r="I9" s="104" t="s">
        <v>22</v>
      </c>
      <c r="J9" s="104" t="s">
        <v>22</v>
      </c>
      <c r="K9" s="104"/>
      <c r="L9" s="27"/>
      <c r="M9" s="37"/>
      <c r="N9" s="27"/>
      <c r="O9" s="37"/>
      <c r="P9" s="27"/>
      <c r="Q9" s="37"/>
      <c r="R9" s="37"/>
      <c r="S9" s="37"/>
      <c r="T9" s="39"/>
      <c r="U9" s="39"/>
      <c r="V9" s="39"/>
      <c r="W9" s="39"/>
      <c r="X9" s="39"/>
      <c r="Y9" s="39"/>
      <c r="Z9" s="39"/>
      <c r="AA9" s="39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1">
        <f t="shared" si="1"/>
        <v>0</v>
      </c>
      <c r="BB9" s="41">
        <f t="shared" si="2"/>
        <v>7</v>
      </c>
      <c r="BC9" s="41">
        <f t="shared" si="3"/>
        <v>0</v>
      </c>
      <c r="BD9" s="41">
        <f t="shared" si="4"/>
        <v>7</v>
      </c>
      <c r="BE9" s="42">
        <f t="shared" si="5"/>
        <v>0</v>
      </c>
    </row>
    <row r="10">
      <c r="A10" s="23">
        <v>6.0</v>
      </c>
      <c r="B10" s="24" t="s">
        <v>39</v>
      </c>
      <c r="C10" s="25" t="s">
        <v>40</v>
      </c>
      <c r="D10" s="102" t="s">
        <v>28</v>
      </c>
      <c r="E10" s="126" t="s">
        <v>22</v>
      </c>
      <c r="F10" s="125" t="s">
        <v>28</v>
      </c>
      <c r="G10" s="126" t="s">
        <v>22</v>
      </c>
      <c r="H10" s="102" t="s">
        <v>28</v>
      </c>
      <c r="I10" s="102" t="s">
        <v>28</v>
      </c>
      <c r="J10" s="102" t="s">
        <v>28</v>
      </c>
      <c r="K10" s="120"/>
      <c r="L10" s="82"/>
      <c r="M10" s="96"/>
      <c r="N10" s="82"/>
      <c r="O10" s="96"/>
      <c r="P10" s="96"/>
      <c r="Q10" s="96"/>
      <c r="R10" s="96"/>
      <c r="S10" s="96"/>
      <c r="T10" s="28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2">
        <f t="shared" si="1"/>
        <v>0</v>
      </c>
      <c r="BB10" s="32">
        <f t="shared" si="2"/>
        <v>2</v>
      </c>
      <c r="BC10" s="32">
        <f t="shared" si="3"/>
        <v>5</v>
      </c>
      <c r="BD10" s="32">
        <f t="shared" si="4"/>
        <v>7</v>
      </c>
      <c r="BE10" s="33">
        <f t="shared" si="5"/>
        <v>71.42857143</v>
      </c>
    </row>
    <row r="11">
      <c r="A11" s="23">
        <v>7.0</v>
      </c>
      <c r="B11" s="24" t="s">
        <v>41</v>
      </c>
      <c r="C11" s="25" t="s">
        <v>42</v>
      </c>
      <c r="D11" s="102" t="s">
        <v>28</v>
      </c>
      <c r="E11" s="126" t="s">
        <v>22</v>
      </c>
      <c r="F11" s="126" t="s">
        <v>22</v>
      </c>
      <c r="G11" s="125" t="s">
        <v>28</v>
      </c>
      <c r="H11" s="102" t="s">
        <v>28</v>
      </c>
      <c r="I11" s="104" t="s">
        <v>22</v>
      </c>
      <c r="J11" s="102" t="s">
        <v>28</v>
      </c>
      <c r="K11" s="120"/>
      <c r="L11" s="96"/>
      <c r="M11" s="96"/>
      <c r="N11" s="96"/>
      <c r="O11" s="96"/>
      <c r="P11" s="96"/>
      <c r="Q11" s="96"/>
      <c r="R11" s="96"/>
      <c r="S11" s="96"/>
      <c r="T11" s="28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2">
        <f t="shared" si="1"/>
        <v>0</v>
      </c>
      <c r="BB11" s="32">
        <f t="shared" si="2"/>
        <v>3</v>
      </c>
      <c r="BC11" s="32">
        <f t="shared" si="3"/>
        <v>4</v>
      </c>
      <c r="BD11" s="32">
        <f t="shared" si="4"/>
        <v>7</v>
      </c>
      <c r="BE11" s="33">
        <f t="shared" si="5"/>
        <v>57.14285714</v>
      </c>
    </row>
    <row r="12">
      <c r="A12" s="23">
        <v>8.0</v>
      </c>
      <c r="B12" s="24" t="s">
        <v>45</v>
      </c>
      <c r="C12" s="25" t="s">
        <v>46</v>
      </c>
      <c r="D12" s="104" t="s">
        <v>22</v>
      </c>
      <c r="E12" s="126" t="s">
        <v>22</v>
      </c>
      <c r="F12" s="125" t="s">
        <v>28</v>
      </c>
      <c r="G12" s="126" t="s">
        <v>22</v>
      </c>
      <c r="H12" s="102" t="s">
        <v>28</v>
      </c>
      <c r="I12" s="102" t="s">
        <v>28</v>
      </c>
      <c r="J12" s="102" t="s">
        <v>28</v>
      </c>
      <c r="K12" s="120"/>
      <c r="L12" s="96"/>
      <c r="M12" s="96"/>
      <c r="N12" s="82"/>
      <c r="O12" s="96"/>
      <c r="P12" s="96"/>
      <c r="Q12" s="96"/>
      <c r="R12" s="96"/>
      <c r="S12" s="9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2">
        <f t="shared" si="1"/>
        <v>0</v>
      </c>
      <c r="BB12" s="32">
        <f t="shared" si="2"/>
        <v>3</v>
      </c>
      <c r="BC12" s="32">
        <f t="shared" si="3"/>
        <v>4</v>
      </c>
      <c r="BD12" s="32">
        <f t="shared" si="4"/>
        <v>7</v>
      </c>
      <c r="BE12" s="33">
        <f t="shared" si="5"/>
        <v>57.14285714</v>
      </c>
    </row>
    <row r="13">
      <c r="A13" s="23">
        <v>9.0</v>
      </c>
      <c r="B13" s="24" t="s">
        <v>47</v>
      </c>
      <c r="C13" s="25" t="s">
        <v>48</v>
      </c>
      <c r="D13" s="102" t="s">
        <v>28</v>
      </c>
      <c r="E13" s="125" t="s">
        <v>28</v>
      </c>
      <c r="F13" s="126" t="s">
        <v>22</v>
      </c>
      <c r="G13" s="126" t="s">
        <v>22</v>
      </c>
      <c r="H13" s="102" t="s">
        <v>28</v>
      </c>
      <c r="I13" s="102" t="s">
        <v>28</v>
      </c>
      <c r="J13" s="102" t="s">
        <v>28</v>
      </c>
      <c r="K13" s="120"/>
      <c r="L13" s="96"/>
      <c r="M13" s="96"/>
      <c r="N13" s="96"/>
      <c r="O13" s="96"/>
      <c r="P13" s="96"/>
      <c r="Q13" s="96"/>
      <c r="R13" s="96"/>
      <c r="S13" s="96"/>
      <c r="T13" s="28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2">
        <f t="shared" si="1"/>
        <v>0</v>
      </c>
      <c r="BB13" s="32">
        <f t="shared" si="2"/>
        <v>2</v>
      </c>
      <c r="BC13" s="32">
        <f t="shared" si="3"/>
        <v>5</v>
      </c>
      <c r="BD13" s="32">
        <f t="shared" si="4"/>
        <v>7</v>
      </c>
      <c r="BE13" s="33">
        <f t="shared" si="5"/>
        <v>71.42857143</v>
      </c>
    </row>
    <row r="14">
      <c r="A14" s="23">
        <v>10.0</v>
      </c>
      <c r="B14" s="24" t="s">
        <v>51</v>
      </c>
      <c r="C14" s="25" t="s">
        <v>52</v>
      </c>
      <c r="D14" s="102" t="s">
        <v>28</v>
      </c>
      <c r="E14" s="125" t="s">
        <v>28</v>
      </c>
      <c r="F14" s="125" t="s">
        <v>28</v>
      </c>
      <c r="G14" s="126" t="s">
        <v>22</v>
      </c>
      <c r="H14" s="102" t="s">
        <v>28</v>
      </c>
      <c r="I14" s="102" t="s">
        <v>28</v>
      </c>
      <c r="J14" s="102" t="s">
        <v>28</v>
      </c>
      <c r="K14" s="120"/>
      <c r="L14" s="96"/>
      <c r="M14" s="96"/>
      <c r="N14" s="96"/>
      <c r="O14" s="96"/>
      <c r="P14" s="96"/>
      <c r="Q14" s="96"/>
      <c r="R14" s="96"/>
      <c r="S14" s="96"/>
      <c r="T14" s="30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2">
        <f t="shared" si="1"/>
        <v>0</v>
      </c>
      <c r="BB14" s="32">
        <f t="shared" si="2"/>
        <v>1</v>
      </c>
      <c r="BC14" s="32">
        <f t="shared" si="3"/>
        <v>6</v>
      </c>
      <c r="BD14" s="32">
        <f t="shared" si="4"/>
        <v>7</v>
      </c>
      <c r="BE14" s="33">
        <f t="shared" si="5"/>
        <v>85.71428571</v>
      </c>
    </row>
    <row r="15">
      <c r="A15" s="23">
        <v>11.0</v>
      </c>
      <c r="B15" s="24" t="s">
        <v>57</v>
      </c>
      <c r="C15" s="25" t="s">
        <v>58</v>
      </c>
      <c r="D15" s="102" t="s">
        <v>28</v>
      </c>
      <c r="E15" s="125" t="s">
        <v>28</v>
      </c>
      <c r="F15" s="125" t="s">
        <v>28</v>
      </c>
      <c r="G15" s="125" t="s">
        <v>28</v>
      </c>
      <c r="H15" s="102" t="s">
        <v>28</v>
      </c>
      <c r="I15" s="102" t="s">
        <v>28</v>
      </c>
      <c r="J15" s="102" t="s">
        <v>28</v>
      </c>
      <c r="K15" s="120"/>
      <c r="L15" s="96"/>
      <c r="M15" s="96"/>
      <c r="N15" s="96"/>
      <c r="O15" s="96"/>
      <c r="P15" s="96"/>
      <c r="Q15" s="96"/>
      <c r="R15" s="96"/>
      <c r="S15" s="96"/>
      <c r="T15" s="28"/>
      <c r="U15" s="29"/>
      <c r="V15" s="29"/>
      <c r="W15" s="29"/>
      <c r="X15" s="29"/>
      <c r="Y15" s="29"/>
      <c r="Z15" s="29"/>
      <c r="AA15" s="29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2">
        <f t="shared" si="1"/>
        <v>0</v>
      </c>
      <c r="BB15" s="32">
        <f t="shared" si="2"/>
        <v>0</v>
      </c>
      <c r="BC15" s="32">
        <f t="shared" si="3"/>
        <v>7</v>
      </c>
      <c r="BD15" s="32">
        <f t="shared" si="4"/>
        <v>7</v>
      </c>
      <c r="BE15" s="33">
        <f t="shared" si="5"/>
        <v>100</v>
      </c>
    </row>
    <row r="16">
      <c r="A16" s="23">
        <v>12.0</v>
      </c>
      <c r="B16" s="24" t="s">
        <v>59</v>
      </c>
      <c r="C16" s="25" t="s">
        <v>60</v>
      </c>
      <c r="D16" s="102" t="s">
        <v>28</v>
      </c>
      <c r="E16" s="125" t="s">
        <v>28</v>
      </c>
      <c r="F16" s="125" t="s">
        <v>28</v>
      </c>
      <c r="G16" s="125" t="s">
        <v>28</v>
      </c>
      <c r="H16" s="102" t="s">
        <v>28</v>
      </c>
      <c r="I16" s="102" t="s">
        <v>28</v>
      </c>
      <c r="J16" s="102" t="s">
        <v>28</v>
      </c>
      <c r="K16" s="120"/>
      <c r="L16" s="96"/>
      <c r="M16" s="96"/>
      <c r="N16" s="96"/>
      <c r="O16" s="96"/>
      <c r="P16" s="96"/>
      <c r="Q16" s="96"/>
      <c r="R16" s="96"/>
      <c r="S16" s="96"/>
      <c r="T16" s="28"/>
      <c r="U16" s="29"/>
      <c r="V16" s="29"/>
      <c r="W16" s="29"/>
      <c r="X16" s="29"/>
      <c r="Y16" s="29"/>
      <c r="Z16" s="29"/>
      <c r="AA16" s="29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2">
        <f t="shared" si="1"/>
        <v>0</v>
      </c>
      <c r="BB16" s="32">
        <f t="shared" si="2"/>
        <v>0</v>
      </c>
      <c r="BC16" s="32">
        <f t="shared" si="3"/>
        <v>7</v>
      </c>
      <c r="BD16" s="32">
        <f t="shared" si="4"/>
        <v>7</v>
      </c>
      <c r="BE16" s="33">
        <f t="shared" si="5"/>
        <v>100</v>
      </c>
    </row>
    <row r="17">
      <c r="A17" s="23">
        <v>13.0</v>
      </c>
      <c r="B17" s="24" t="s">
        <v>61</v>
      </c>
      <c r="C17" s="25" t="s">
        <v>62</v>
      </c>
      <c r="D17" s="102" t="s">
        <v>28</v>
      </c>
      <c r="E17" s="125" t="s">
        <v>28</v>
      </c>
      <c r="F17" s="125" t="s">
        <v>28</v>
      </c>
      <c r="G17" s="125" t="s">
        <v>28</v>
      </c>
      <c r="H17" s="102" t="s">
        <v>28</v>
      </c>
      <c r="I17" s="102" t="s">
        <v>28</v>
      </c>
      <c r="J17" s="102" t="s">
        <v>28</v>
      </c>
      <c r="K17" s="120"/>
      <c r="L17" s="96"/>
      <c r="M17" s="96"/>
      <c r="N17" s="96"/>
      <c r="O17" s="96"/>
      <c r="P17" s="96"/>
      <c r="Q17" s="96"/>
      <c r="R17" s="96"/>
      <c r="S17" s="96"/>
      <c r="T17" s="28"/>
      <c r="U17" s="29"/>
      <c r="V17" s="29"/>
      <c r="W17" s="29"/>
      <c r="X17" s="29"/>
      <c r="Y17" s="29"/>
      <c r="Z17" s="29"/>
      <c r="AA17" s="29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2">
        <f t="shared" si="1"/>
        <v>0</v>
      </c>
      <c r="BB17" s="32">
        <f t="shared" si="2"/>
        <v>0</v>
      </c>
      <c r="BC17" s="32">
        <f t="shared" si="3"/>
        <v>7</v>
      </c>
      <c r="BD17" s="32">
        <f t="shared" si="4"/>
        <v>7</v>
      </c>
      <c r="BE17" s="33">
        <f t="shared" si="5"/>
        <v>100</v>
      </c>
    </row>
    <row r="18">
      <c r="A18" s="23">
        <v>14.0</v>
      </c>
      <c r="B18" s="47" t="s">
        <v>63</v>
      </c>
      <c r="C18" s="85" t="s">
        <v>64</v>
      </c>
      <c r="D18" s="102" t="s">
        <v>28</v>
      </c>
      <c r="E18" s="125" t="s">
        <v>28</v>
      </c>
      <c r="F18" s="126" t="s">
        <v>22</v>
      </c>
      <c r="G18" s="125" t="s">
        <v>28</v>
      </c>
      <c r="H18" s="102" t="s">
        <v>28</v>
      </c>
      <c r="I18" s="104" t="s">
        <v>22</v>
      </c>
      <c r="J18" s="102" t="s">
        <v>28</v>
      </c>
      <c r="K18" s="120"/>
      <c r="L18" s="82"/>
      <c r="M18" s="82"/>
      <c r="N18" s="96"/>
      <c r="O18" s="96"/>
      <c r="P18" s="96"/>
      <c r="Q18" s="96"/>
      <c r="R18" s="43"/>
      <c r="S18" s="96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32">
        <f t="shared" si="1"/>
        <v>0</v>
      </c>
      <c r="BB18" s="32">
        <f t="shared" si="2"/>
        <v>2</v>
      </c>
      <c r="BC18" s="32">
        <f t="shared" si="3"/>
        <v>5</v>
      </c>
      <c r="BD18" s="32">
        <f t="shared" si="4"/>
        <v>7</v>
      </c>
      <c r="BE18" s="33">
        <f t="shared" si="5"/>
        <v>71.42857143</v>
      </c>
    </row>
    <row r="19">
      <c r="A19" s="23">
        <v>15.0</v>
      </c>
      <c r="B19" s="24" t="s">
        <v>67</v>
      </c>
      <c r="C19" s="25" t="s">
        <v>68</v>
      </c>
      <c r="D19" s="102" t="s">
        <v>28</v>
      </c>
      <c r="E19" s="125" t="s">
        <v>28</v>
      </c>
      <c r="F19" s="126" t="s">
        <v>22</v>
      </c>
      <c r="G19" s="125" t="s">
        <v>28</v>
      </c>
      <c r="H19" s="104" t="s">
        <v>22</v>
      </c>
      <c r="I19" s="102" t="s">
        <v>28</v>
      </c>
      <c r="J19" s="102" t="s">
        <v>28</v>
      </c>
      <c r="K19" s="120"/>
      <c r="L19" s="82"/>
      <c r="M19" s="96"/>
      <c r="N19" s="96"/>
      <c r="O19" s="96"/>
      <c r="P19" s="96"/>
      <c r="Q19" s="96"/>
      <c r="R19" s="96"/>
      <c r="S19" s="96"/>
      <c r="T19" s="28"/>
      <c r="U19" s="29"/>
      <c r="V19" s="29"/>
      <c r="W19" s="29"/>
      <c r="X19" s="29"/>
      <c r="Y19" s="29"/>
      <c r="Z19" s="29"/>
      <c r="AA19" s="29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2">
        <f t="shared" si="1"/>
        <v>0</v>
      </c>
      <c r="BB19" s="32">
        <f t="shared" si="2"/>
        <v>2</v>
      </c>
      <c r="BC19" s="32">
        <f t="shared" si="3"/>
        <v>5</v>
      </c>
      <c r="BD19" s="32">
        <f t="shared" si="4"/>
        <v>7</v>
      </c>
      <c r="BE19" s="33">
        <f t="shared" si="5"/>
        <v>71.42857143</v>
      </c>
    </row>
    <row r="20">
      <c r="A20" s="23">
        <v>16.0</v>
      </c>
      <c r="B20" s="24" t="s">
        <v>65</v>
      </c>
      <c r="C20" s="25" t="s">
        <v>66</v>
      </c>
      <c r="D20" s="102" t="s">
        <v>28</v>
      </c>
      <c r="E20" s="102" t="s">
        <v>28</v>
      </c>
      <c r="F20" s="126" t="s">
        <v>22</v>
      </c>
      <c r="G20" s="125" t="s">
        <v>28</v>
      </c>
      <c r="H20" s="102" t="s">
        <v>28</v>
      </c>
      <c r="I20" s="102" t="s">
        <v>28</v>
      </c>
      <c r="J20" s="102" t="s">
        <v>28</v>
      </c>
      <c r="K20" s="120"/>
      <c r="L20" s="96"/>
      <c r="M20" s="96"/>
      <c r="N20" s="96"/>
      <c r="O20" s="96"/>
      <c r="P20" s="96"/>
      <c r="Q20" s="96"/>
      <c r="R20" s="96"/>
      <c r="S20" s="96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32">
        <f t="shared" si="1"/>
        <v>0</v>
      </c>
      <c r="BB20" s="32">
        <f t="shared" si="2"/>
        <v>1</v>
      </c>
      <c r="BC20" s="32">
        <f t="shared" si="3"/>
        <v>6</v>
      </c>
      <c r="BD20" s="32">
        <f t="shared" si="4"/>
        <v>7</v>
      </c>
      <c r="BE20" s="33">
        <f t="shared" si="5"/>
        <v>85.71428571</v>
      </c>
    </row>
    <row r="21">
      <c r="A21" s="23">
        <v>17.0</v>
      </c>
      <c r="B21" s="24" t="s">
        <v>69</v>
      </c>
      <c r="C21" s="25" t="s">
        <v>70</v>
      </c>
      <c r="D21" s="102" t="s">
        <v>28</v>
      </c>
      <c r="E21" s="125" t="s">
        <v>28</v>
      </c>
      <c r="F21" s="125" t="s">
        <v>28</v>
      </c>
      <c r="G21" s="125" t="s">
        <v>28</v>
      </c>
      <c r="H21" s="102" t="s">
        <v>28</v>
      </c>
      <c r="I21" s="102" t="s">
        <v>28</v>
      </c>
      <c r="J21" s="102" t="s">
        <v>28</v>
      </c>
      <c r="K21" s="120"/>
      <c r="L21" s="96"/>
      <c r="M21" s="96"/>
      <c r="N21" s="96"/>
      <c r="O21" s="96"/>
      <c r="P21" s="96"/>
      <c r="Q21" s="96"/>
      <c r="R21" s="96"/>
      <c r="S21" s="96"/>
      <c r="T21" s="28"/>
      <c r="U21" s="29"/>
      <c r="V21" s="29"/>
      <c r="W21" s="29"/>
      <c r="X21" s="29"/>
      <c r="Y21" s="29"/>
      <c r="Z21" s="29"/>
      <c r="AA21" s="29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2">
        <f t="shared" si="1"/>
        <v>0</v>
      </c>
      <c r="BB21" s="32">
        <f t="shared" si="2"/>
        <v>0</v>
      </c>
      <c r="BC21" s="32">
        <f t="shared" si="3"/>
        <v>7</v>
      </c>
      <c r="BD21" s="32">
        <f t="shared" si="4"/>
        <v>7</v>
      </c>
      <c r="BE21" s="33">
        <f t="shared" si="5"/>
        <v>100</v>
      </c>
    </row>
    <row r="22">
      <c r="A22" s="23">
        <v>18.0</v>
      </c>
      <c r="B22" s="24" t="s">
        <v>71</v>
      </c>
      <c r="C22" s="25" t="s">
        <v>72</v>
      </c>
      <c r="D22" s="102" t="s">
        <v>28</v>
      </c>
      <c r="E22" s="125" t="s">
        <v>28</v>
      </c>
      <c r="F22" s="126" t="s">
        <v>22</v>
      </c>
      <c r="G22" s="125" t="s">
        <v>28</v>
      </c>
      <c r="H22" s="102" t="s">
        <v>28</v>
      </c>
      <c r="I22" s="102" t="s">
        <v>28</v>
      </c>
      <c r="J22" s="102" t="s">
        <v>28</v>
      </c>
      <c r="K22" s="120"/>
      <c r="L22" s="96"/>
      <c r="M22" s="96"/>
      <c r="N22" s="96"/>
      <c r="O22" s="96"/>
      <c r="P22" s="96"/>
      <c r="Q22" s="96"/>
      <c r="R22" s="96"/>
      <c r="S22" s="96"/>
      <c r="T22" s="28"/>
      <c r="U22" s="29"/>
      <c r="V22" s="29"/>
      <c r="W22" s="29"/>
      <c r="X22" s="29"/>
      <c r="Y22" s="29"/>
      <c r="Z22" s="29"/>
      <c r="AA22" s="29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2">
        <f t="shared" si="1"/>
        <v>0</v>
      </c>
      <c r="BB22" s="32">
        <f t="shared" si="2"/>
        <v>1</v>
      </c>
      <c r="BC22" s="32">
        <f t="shared" si="3"/>
        <v>6</v>
      </c>
      <c r="BD22" s="32">
        <f t="shared" si="4"/>
        <v>7</v>
      </c>
      <c r="BE22" s="33">
        <f t="shared" si="5"/>
        <v>85.71428571</v>
      </c>
    </row>
    <row r="23">
      <c r="A23" s="23">
        <v>19.0</v>
      </c>
      <c r="B23" s="47" t="s">
        <v>73</v>
      </c>
      <c r="C23" s="48" t="s">
        <v>74</v>
      </c>
      <c r="D23" s="102" t="s">
        <v>28</v>
      </c>
      <c r="E23" s="104" t="s">
        <v>22</v>
      </c>
      <c r="F23" s="126" t="s">
        <v>22</v>
      </c>
      <c r="G23" s="104" t="s">
        <v>22</v>
      </c>
      <c r="H23" s="104" t="s">
        <v>22</v>
      </c>
      <c r="I23" s="102" t="s">
        <v>28</v>
      </c>
      <c r="J23" s="102" t="s">
        <v>28</v>
      </c>
      <c r="K23" s="120"/>
      <c r="L23" s="96"/>
      <c r="M23" s="96"/>
      <c r="N23" s="82"/>
      <c r="O23" s="96"/>
      <c r="P23" s="82"/>
      <c r="Q23" s="96"/>
      <c r="R23" s="96"/>
      <c r="S23" s="96"/>
      <c r="T23" s="28"/>
      <c r="U23" s="29"/>
      <c r="V23" s="29"/>
      <c r="W23" s="29"/>
      <c r="X23" s="29"/>
      <c r="Y23" s="29"/>
      <c r="Z23" s="29"/>
      <c r="AA23" s="29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2">
        <f t="shared" si="1"/>
        <v>0</v>
      </c>
      <c r="BB23" s="32">
        <f t="shared" si="2"/>
        <v>4</v>
      </c>
      <c r="BC23" s="32">
        <f t="shared" si="3"/>
        <v>3</v>
      </c>
      <c r="BD23" s="32">
        <f t="shared" si="4"/>
        <v>7</v>
      </c>
      <c r="BE23" s="33">
        <f t="shared" si="5"/>
        <v>42.85714286</v>
      </c>
    </row>
    <row r="24">
      <c r="A24" s="23">
        <v>20.0</v>
      </c>
      <c r="B24" s="24" t="s">
        <v>75</v>
      </c>
      <c r="C24" s="25" t="s">
        <v>76</v>
      </c>
      <c r="D24" s="104" t="s">
        <v>22</v>
      </c>
      <c r="E24" s="126" t="s">
        <v>22</v>
      </c>
      <c r="F24" s="125" t="s">
        <v>28</v>
      </c>
      <c r="G24" s="126" t="s">
        <v>22</v>
      </c>
      <c r="H24" s="104" t="s">
        <v>22</v>
      </c>
      <c r="I24" s="104" t="s">
        <v>22</v>
      </c>
      <c r="J24" s="102" t="s">
        <v>28</v>
      </c>
      <c r="K24" s="120"/>
      <c r="L24" s="96"/>
      <c r="M24" s="82"/>
      <c r="N24" s="96"/>
      <c r="O24" s="96"/>
      <c r="P24" s="96"/>
      <c r="Q24" s="82"/>
      <c r="R24" s="96"/>
      <c r="S24" s="96"/>
      <c r="T24" s="28"/>
      <c r="U24" s="29"/>
      <c r="V24" s="29"/>
      <c r="W24" s="29"/>
      <c r="X24" s="29"/>
      <c r="Y24" s="29"/>
      <c r="Z24" s="29"/>
      <c r="AA24" s="29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2">
        <f t="shared" si="1"/>
        <v>0</v>
      </c>
      <c r="BB24" s="32">
        <f t="shared" si="2"/>
        <v>5</v>
      </c>
      <c r="BC24" s="32">
        <f t="shared" si="3"/>
        <v>2</v>
      </c>
      <c r="BD24" s="32">
        <f t="shared" si="4"/>
        <v>7</v>
      </c>
      <c r="BE24" s="33">
        <f t="shared" si="5"/>
        <v>28.57142857</v>
      </c>
    </row>
    <row r="25">
      <c r="A25" s="23">
        <v>21.0</v>
      </c>
      <c r="B25" s="24" t="s">
        <v>79</v>
      </c>
      <c r="C25" s="25" t="s">
        <v>80</v>
      </c>
      <c r="D25" s="26" t="s">
        <v>28</v>
      </c>
      <c r="E25" s="125" t="s">
        <v>28</v>
      </c>
      <c r="F25" s="125" t="s">
        <v>28</v>
      </c>
      <c r="G25" s="125" t="s">
        <v>28</v>
      </c>
      <c r="H25" s="102" t="s">
        <v>28</v>
      </c>
      <c r="I25" s="102" t="s">
        <v>28</v>
      </c>
      <c r="J25" s="102" t="s">
        <v>28</v>
      </c>
      <c r="K25" s="120"/>
      <c r="L25" s="82"/>
      <c r="M25" s="96"/>
      <c r="N25" s="96"/>
      <c r="O25" s="96"/>
      <c r="P25" s="96"/>
      <c r="Q25" s="96"/>
      <c r="R25" s="96"/>
      <c r="S25" s="96"/>
      <c r="T25" s="28"/>
      <c r="U25" s="29"/>
      <c r="V25" s="29"/>
      <c r="W25" s="29"/>
      <c r="X25" s="29"/>
      <c r="Y25" s="29"/>
      <c r="Z25" s="29"/>
      <c r="AA25" s="29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2">
        <f t="shared" si="1"/>
        <v>0</v>
      </c>
      <c r="BB25" s="32">
        <f t="shared" si="2"/>
        <v>0</v>
      </c>
      <c r="BC25" s="32">
        <f t="shared" si="3"/>
        <v>7</v>
      </c>
      <c r="BD25" s="32">
        <f t="shared" si="4"/>
        <v>7</v>
      </c>
      <c r="BE25" s="33">
        <f t="shared" si="5"/>
        <v>100</v>
      </c>
    </row>
    <row r="26">
      <c r="A26" s="23">
        <v>22.0</v>
      </c>
      <c r="B26" s="24" t="s">
        <v>81</v>
      </c>
      <c r="C26" s="25" t="s">
        <v>82</v>
      </c>
      <c r="D26" s="104" t="s">
        <v>22</v>
      </c>
      <c r="E26" s="126" t="s">
        <v>22</v>
      </c>
      <c r="F26" s="126" t="s">
        <v>22</v>
      </c>
      <c r="G26" s="126" t="s">
        <v>22</v>
      </c>
      <c r="H26" s="102" t="s">
        <v>28</v>
      </c>
      <c r="I26" s="102" t="s">
        <v>28</v>
      </c>
      <c r="J26" s="102" t="s">
        <v>28</v>
      </c>
      <c r="K26" s="120"/>
      <c r="L26" s="96"/>
      <c r="M26" s="96"/>
      <c r="N26" s="96"/>
      <c r="O26" s="82"/>
      <c r="P26" s="96"/>
      <c r="Q26" s="96"/>
      <c r="R26" s="96"/>
      <c r="S26" s="96"/>
      <c r="T26" s="28"/>
      <c r="U26" s="29"/>
      <c r="V26" s="29"/>
      <c r="W26" s="29"/>
      <c r="X26" s="29"/>
      <c r="Y26" s="29"/>
      <c r="Z26" s="29"/>
      <c r="AA26" s="29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2">
        <f t="shared" si="1"/>
        <v>0</v>
      </c>
      <c r="BB26" s="32">
        <f t="shared" si="2"/>
        <v>4</v>
      </c>
      <c r="BC26" s="32">
        <f t="shared" si="3"/>
        <v>3</v>
      </c>
      <c r="BD26" s="32">
        <f t="shared" si="4"/>
        <v>7</v>
      </c>
      <c r="BE26" s="33">
        <f t="shared" si="5"/>
        <v>42.85714286</v>
      </c>
    </row>
    <row r="27">
      <c r="A27" s="23">
        <v>23.0</v>
      </c>
      <c r="B27" s="24" t="s">
        <v>83</v>
      </c>
      <c r="C27" s="25" t="s">
        <v>84</v>
      </c>
      <c r="D27" s="26" t="s">
        <v>28</v>
      </c>
      <c r="E27" s="125" t="s">
        <v>28</v>
      </c>
      <c r="F27" s="126" t="s">
        <v>22</v>
      </c>
      <c r="G27" s="126" t="s">
        <v>22</v>
      </c>
      <c r="H27" s="102" t="s">
        <v>28</v>
      </c>
      <c r="I27" s="102" t="s">
        <v>28</v>
      </c>
      <c r="J27" s="102" t="s">
        <v>28</v>
      </c>
      <c r="K27" s="120"/>
      <c r="L27" s="82"/>
      <c r="M27" s="96"/>
      <c r="N27" s="82"/>
      <c r="O27" s="96"/>
      <c r="P27" s="96"/>
      <c r="Q27" s="96"/>
      <c r="R27" s="96"/>
      <c r="S27" s="96"/>
      <c r="T27" s="28"/>
      <c r="U27" s="29"/>
      <c r="V27" s="29"/>
      <c r="W27" s="29"/>
      <c r="X27" s="29"/>
      <c r="Y27" s="29"/>
      <c r="Z27" s="29"/>
      <c r="AA27" s="29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2">
        <f t="shared" si="1"/>
        <v>0</v>
      </c>
      <c r="BB27" s="32">
        <f t="shared" si="2"/>
        <v>2</v>
      </c>
      <c r="BC27" s="32">
        <f t="shared" si="3"/>
        <v>5</v>
      </c>
      <c r="BD27" s="32">
        <f t="shared" si="4"/>
        <v>7</v>
      </c>
      <c r="BE27" s="33">
        <f t="shared" si="5"/>
        <v>71.42857143</v>
      </c>
    </row>
    <row r="28">
      <c r="A28" s="23">
        <v>24.0</v>
      </c>
      <c r="B28" s="24" t="s">
        <v>85</v>
      </c>
      <c r="C28" s="25" t="s">
        <v>86</v>
      </c>
      <c r="D28" s="26" t="s">
        <v>28</v>
      </c>
      <c r="E28" s="126" t="s">
        <v>22</v>
      </c>
      <c r="F28" s="125" t="s">
        <v>28</v>
      </c>
      <c r="G28" s="125" t="s">
        <v>28</v>
      </c>
      <c r="H28" s="102" t="s">
        <v>28</v>
      </c>
      <c r="I28" s="102" t="s">
        <v>28</v>
      </c>
      <c r="J28" s="102" t="s">
        <v>28</v>
      </c>
      <c r="K28" s="120"/>
      <c r="L28" s="96"/>
      <c r="M28" s="96"/>
      <c r="N28" s="96"/>
      <c r="O28" s="96"/>
      <c r="P28" s="96"/>
      <c r="Q28" s="82"/>
      <c r="R28" s="96"/>
      <c r="S28" s="82"/>
      <c r="T28" s="28"/>
      <c r="U28" s="29"/>
      <c r="V28" s="29"/>
      <c r="W28" s="29"/>
      <c r="X28" s="29"/>
      <c r="Y28" s="29"/>
      <c r="Z28" s="29"/>
      <c r="AA28" s="29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2">
        <f t="shared" si="1"/>
        <v>0</v>
      </c>
      <c r="BB28" s="32">
        <f t="shared" si="2"/>
        <v>1</v>
      </c>
      <c r="BC28" s="32">
        <f t="shared" si="3"/>
        <v>6</v>
      </c>
      <c r="BD28" s="32">
        <f t="shared" si="4"/>
        <v>7</v>
      </c>
      <c r="BE28" s="33">
        <f t="shared" si="5"/>
        <v>85.71428571</v>
      </c>
    </row>
    <row r="29">
      <c r="A29" s="23">
        <v>25.0</v>
      </c>
      <c r="B29" s="24" t="s">
        <v>87</v>
      </c>
      <c r="C29" s="25" t="s">
        <v>88</v>
      </c>
      <c r="D29" s="26" t="s">
        <v>28</v>
      </c>
      <c r="E29" s="126" t="s">
        <v>22</v>
      </c>
      <c r="F29" s="126" t="s">
        <v>22</v>
      </c>
      <c r="G29" s="125" t="s">
        <v>28</v>
      </c>
      <c r="H29" s="104" t="s">
        <v>22</v>
      </c>
      <c r="I29" s="102" t="s">
        <v>28</v>
      </c>
      <c r="J29" s="102" t="s">
        <v>28</v>
      </c>
      <c r="K29" s="120"/>
      <c r="L29" s="96"/>
      <c r="M29" s="96"/>
      <c r="N29" s="96"/>
      <c r="O29" s="96"/>
      <c r="P29" s="96"/>
      <c r="Q29" s="96"/>
      <c r="R29" s="96"/>
      <c r="S29" s="96"/>
      <c r="T29" s="29"/>
      <c r="U29" s="29"/>
      <c r="V29" s="29"/>
      <c r="W29" s="29"/>
      <c r="X29" s="29"/>
      <c r="Y29" s="29"/>
      <c r="Z29" s="29"/>
      <c r="AA29" s="29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2">
        <f t="shared" si="1"/>
        <v>0</v>
      </c>
      <c r="BB29" s="32">
        <f t="shared" si="2"/>
        <v>3</v>
      </c>
      <c r="BC29" s="32">
        <f t="shared" si="3"/>
        <v>4</v>
      </c>
      <c r="BD29" s="32">
        <f t="shared" si="4"/>
        <v>7</v>
      </c>
      <c r="BE29" s="33">
        <f t="shared" si="5"/>
        <v>57.14285714</v>
      </c>
    </row>
    <row r="30">
      <c r="A30" s="23">
        <v>26.0</v>
      </c>
      <c r="B30" s="24" t="s">
        <v>91</v>
      </c>
      <c r="C30" s="25" t="s">
        <v>92</v>
      </c>
      <c r="D30" s="26" t="s">
        <v>28</v>
      </c>
      <c r="E30" s="125" t="s">
        <v>28</v>
      </c>
      <c r="F30" s="126" t="s">
        <v>22</v>
      </c>
      <c r="G30" s="125" t="s">
        <v>28</v>
      </c>
      <c r="H30" s="102" t="s">
        <v>28</v>
      </c>
      <c r="I30" s="102" t="s">
        <v>28</v>
      </c>
      <c r="J30" s="102" t="s">
        <v>28</v>
      </c>
      <c r="K30" s="120"/>
      <c r="L30" s="96"/>
      <c r="M30" s="96"/>
      <c r="N30" s="96"/>
      <c r="O30" s="96"/>
      <c r="P30" s="96"/>
      <c r="Q30" s="96"/>
      <c r="R30" s="96"/>
      <c r="S30" s="96"/>
      <c r="T30" s="28"/>
      <c r="U30" s="29"/>
      <c r="V30" s="29"/>
      <c r="W30" s="29"/>
      <c r="X30" s="29"/>
      <c r="Y30" s="29"/>
      <c r="Z30" s="29"/>
      <c r="AA30" s="29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2">
        <f t="shared" si="1"/>
        <v>0</v>
      </c>
      <c r="BB30" s="32">
        <f t="shared" si="2"/>
        <v>1</v>
      </c>
      <c r="BC30" s="32">
        <f t="shared" si="3"/>
        <v>6</v>
      </c>
      <c r="BD30" s="32">
        <f t="shared" si="4"/>
        <v>7</v>
      </c>
      <c r="BE30" s="33">
        <f t="shared" si="5"/>
        <v>85.71428571</v>
      </c>
    </row>
    <row r="31">
      <c r="A31" s="23">
        <v>27.0</v>
      </c>
      <c r="B31" s="24" t="s">
        <v>93</v>
      </c>
      <c r="C31" s="25" t="s">
        <v>94</v>
      </c>
      <c r="D31" s="26" t="s">
        <v>28</v>
      </c>
      <c r="E31" s="125" t="s">
        <v>28</v>
      </c>
      <c r="F31" s="125" t="s">
        <v>28</v>
      </c>
      <c r="G31" s="125" t="s">
        <v>28</v>
      </c>
      <c r="H31" s="102" t="s">
        <v>28</v>
      </c>
      <c r="I31" s="102" t="s">
        <v>28</v>
      </c>
      <c r="J31" s="102" t="s">
        <v>28</v>
      </c>
      <c r="K31" s="120"/>
      <c r="L31" s="96"/>
      <c r="M31" s="96"/>
      <c r="N31" s="96"/>
      <c r="O31" s="96"/>
      <c r="P31" s="96"/>
      <c r="Q31" s="96"/>
      <c r="R31" s="96"/>
      <c r="S31" s="96"/>
      <c r="T31" s="30"/>
      <c r="U31" s="29"/>
      <c r="V31" s="29"/>
      <c r="W31" s="29"/>
      <c r="X31" s="29"/>
      <c r="Y31" s="29"/>
      <c r="Z31" s="29"/>
      <c r="AA31" s="29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2">
        <f t="shared" si="1"/>
        <v>0</v>
      </c>
      <c r="BB31" s="32">
        <f t="shared" si="2"/>
        <v>0</v>
      </c>
      <c r="BC31" s="32">
        <f t="shared" si="3"/>
        <v>7</v>
      </c>
      <c r="BD31" s="32">
        <f t="shared" si="4"/>
        <v>7</v>
      </c>
      <c r="BE31" s="33">
        <f t="shared" si="5"/>
        <v>100</v>
      </c>
    </row>
    <row r="32">
      <c r="A32" s="23">
        <v>28.0</v>
      </c>
      <c r="B32" s="24" t="s">
        <v>95</v>
      </c>
      <c r="C32" s="25" t="s">
        <v>96</v>
      </c>
      <c r="D32" s="26" t="s">
        <v>28</v>
      </c>
      <c r="E32" s="125" t="s">
        <v>28</v>
      </c>
      <c r="F32" s="126" t="s">
        <v>22</v>
      </c>
      <c r="G32" s="125" t="s">
        <v>28</v>
      </c>
      <c r="H32" s="102" t="s">
        <v>28</v>
      </c>
      <c r="I32" s="102" t="s">
        <v>28</v>
      </c>
      <c r="J32" s="102" t="s">
        <v>28</v>
      </c>
      <c r="K32" s="120"/>
      <c r="L32" s="96"/>
      <c r="M32" s="96"/>
      <c r="N32" s="96"/>
      <c r="O32" s="96"/>
      <c r="P32" s="96"/>
      <c r="Q32" s="96"/>
      <c r="R32" s="96"/>
      <c r="S32" s="82"/>
      <c r="T32" s="28"/>
      <c r="U32" s="29"/>
      <c r="V32" s="29"/>
      <c r="W32" s="29"/>
      <c r="X32" s="29"/>
      <c r="Y32" s="29"/>
      <c r="Z32" s="29"/>
      <c r="AA32" s="29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2">
        <f t="shared" si="1"/>
        <v>0</v>
      </c>
      <c r="BB32" s="32">
        <f t="shared" si="2"/>
        <v>1</v>
      </c>
      <c r="BC32" s="32">
        <f t="shared" si="3"/>
        <v>6</v>
      </c>
      <c r="BD32" s="32">
        <f t="shared" si="4"/>
        <v>7</v>
      </c>
      <c r="BE32" s="33">
        <f t="shared" si="5"/>
        <v>85.71428571</v>
      </c>
    </row>
    <row r="33">
      <c r="A33" s="23">
        <v>29.0</v>
      </c>
      <c r="B33" s="24" t="s">
        <v>97</v>
      </c>
      <c r="C33" s="25" t="s">
        <v>98</v>
      </c>
      <c r="D33" s="26" t="s">
        <v>28</v>
      </c>
      <c r="E33" s="125" t="s">
        <v>28</v>
      </c>
      <c r="F33" s="126" t="s">
        <v>22</v>
      </c>
      <c r="G33" s="125" t="s">
        <v>28</v>
      </c>
      <c r="H33" s="104" t="s">
        <v>22</v>
      </c>
      <c r="I33" s="102" t="s">
        <v>28</v>
      </c>
      <c r="J33" s="102" t="s">
        <v>28</v>
      </c>
      <c r="K33" s="120"/>
      <c r="L33" s="96"/>
      <c r="M33" s="96"/>
      <c r="N33" s="96"/>
      <c r="O33" s="96"/>
      <c r="P33" s="96"/>
      <c r="Q33" s="96"/>
      <c r="R33" s="96"/>
      <c r="S33" s="82"/>
      <c r="T33" s="28"/>
      <c r="U33" s="29"/>
      <c r="V33" s="29"/>
      <c r="W33" s="29"/>
      <c r="X33" s="29"/>
      <c r="Y33" s="29"/>
      <c r="Z33" s="29"/>
      <c r="AA33" s="29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2">
        <f t="shared" si="1"/>
        <v>0</v>
      </c>
      <c r="BB33" s="32">
        <f t="shared" si="2"/>
        <v>2</v>
      </c>
      <c r="BC33" s="32">
        <f t="shared" si="3"/>
        <v>5</v>
      </c>
      <c r="BD33" s="32">
        <f t="shared" si="4"/>
        <v>7</v>
      </c>
      <c r="BE33" s="33">
        <f t="shared" si="5"/>
        <v>71.42857143</v>
      </c>
    </row>
    <row r="34">
      <c r="A34" s="23">
        <v>30.0</v>
      </c>
      <c r="B34" s="24" t="s">
        <v>101</v>
      </c>
      <c r="C34" s="25" t="s">
        <v>102</v>
      </c>
      <c r="D34" s="26" t="s">
        <v>28</v>
      </c>
      <c r="E34" s="125" t="s">
        <v>28</v>
      </c>
      <c r="F34" s="125" t="s">
        <v>28</v>
      </c>
      <c r="G34" s="125" t="s">
        <v>28</v>
      </c>
      <c r="H34" s="102" t="s">
        <v>28</v>
      </c>
      <c r="I34" s="102" t="s">
        <v>28</v>
      </c>
      <c r="J34" s="102" t="s">
        <v>28</v>
      </c>
      <c r="K34" s="120"/>
      <c r="L34" s="96"/>
      <c r="M34" s="96"/>
      <c r="N34" s="96"/>
      <c r="O34" s="96"/>
      <c r="P34" s="96"/>
      <c r="Q34" s="96"/>
      <c r="R34" s="96"/>
      <c r="S34" s="96"/>
      <c r="T34" s="28"/>
      <c r="U34" s="29"/>
      <c r="V34" s="29"/>
      <c r="W34" s="29"/>
      <c r="X34" s="29"/>
      <c r="Y34" s="29"/>
      <c r="Z34" s="29"/>
      <c r="AA34" s="29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2">
        <f t="shared" si="1"/>
        <v>0</v>
      </c>
      <c r="BB34" s="32">
        <f t="shared" si="2"/>
        <v>0</v>
      </c>
      <c r="BC34" s="32">
        <f t="shared" si="3"/>
        <v>7</v>
      </c>
      <c r="BD34" s="32">
        <f t="shared" si="4"/>
        <v>7</v>
      </c>
      <c r="BE34" s="33">
        <f t="shared" si="5"/>
        <v>100</v>
      </c>
    </row>
    <row r="35">
      <c r="A35" s="23">
        <v>31.0</v>
      </c>
      <c r="B35" s="24" t="s">
        <v>103</v>
      </c>
      <c r="C35" s="25" t="s">
        <v>104</v>
      </c>
      <c r="D35" s="26" t="s">
        <v>28</v>
      </c>
      <c r="E35" s="125" t="s">
        <v>28</v>
      </c>
      <c r="F35" s="126" t="s">
        <v>22</v>
      </c>
      <c r="G35" s="125" t="s">
        <v>28</v>
      </c>
      <c r="H35" s="102" t="s">
        <v>28</v>
      </c>
      <c r="I35" s="102" t="s">
        <v>28</v>
      </c>
      <c r="J35" s="102" t="s">
        <v>28</v>
      </c>
      <c r="K35" s="120"/>
      <c r="L35" s="96"/>
      <c r="M35" s="96"/>
      <c r="N35" s="96"/>
      <c r="O35" s="96"/>
      <c r="P35" s="96"/>
      <c r="Q35" s="96"/>
      <c r="R35" s="96"/>
      <c r="S35" s="96"/>
      <c r="T35" s="28"/>
      <c r="U35" s="29"/>
      <c r="V35" s="29"/>
      <c r="W35" s="29"/>
      <c r="X35" s="29"/>
      <c r="Y35" s="29"/>
      <c r="Z35" s="29"/>
      <c r="AA35" s="29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2">
        <f t="shared" si="1"/>
        <v>0</v>
      </c>
      <c r="BB35" s="32">
        <f t="shared" si="2"/>
        <v>1</v>
      </c>
      <c r="BC35" s="32">
        <f t="shared" si="3"/>
        <v>6</v>
      </c>
      <c r="BD35" s="32">
        <f t="shared" si="4"/>
        <v>7</v>
      </c>
      <c r="BE35" s="33">
        <f t="shared" si="5"/>
        <v>85.71428571</v>
      </c>
    </row>
    <row r="36">
      <c r="A36" s="23">
        <v>32.0</v>
      </c>
      <c r="B36" s="24" t="s">
        <v>109</v>
      </c>
      <c r="C36" s="25" t="s">
        <v>110</v>
      </c>
      <c r="D36" s="26" t="s">
        <v>28</v>
      </c>
      <c r="E36" s="126" t="s">
        <v>22</v>
      </c>
      <c r="F36" s="126" t="s">
        <v>22</v>
      </c>
      <c r="G36" s="126" t="s">
        <v>22</v>
      </c>
      <c r="H36" s="104" t="s">
        <v>22</v>
      </c>
      <c r="I36" s="104" t="s">
        <v>22</v>
      </c>
      <c r="J36" s="102" t="s">
        <v>28</v>
      </c>
      <c r="K36" s="120"/>
      <c r="L36" s="96"/>
      <c r="M36" s="96"/>
      <c r="N36" s="82"/>
      <c r="O36" s="82"/>
      <c r="P36" s="82"/>
      <c r="Q36" s="96"/>
      <c r="R36" s="96"/>
      <c r="S36" s="96"/>
      <c r="T36" s="29"/>
      <c r="U36" s="29"/>
      <c r="V36" s="29"/>
      <c r="W36" s="29"/>
      <c r="X36" s="29"/>
      <c r="Y36" s="29"/>
      <c r="Z36" s="29"/>
      <c r="AA36" s="29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2">
        <f t="shared" si="1"/>
        <v>0</v>
      </c>
      <c r="BB36" s="32">
        <f t="shared" si="2"/>
        <v>5</v>
      </c>
      <c r="BC36" s="32">
        <f t="shared" si="3"/>
        <v>2</v>
      </c>
      <c r="BD36" s="32">
        <f t="shared" si="4"/>
        <v>7</v>
      </c>
      <c r="BE36" s="33">
        <f t="shared" si="5"/>
        <v>28.57142857</v>
      </c>
    </row>
    <row r="37">
      <c r="A37" s="23">
        <v>33.0</v>
      </c>
      <c r="B37" s="24" t="s">
        <v>125</v>
      </c>
      <c r="C37" s="25" t="s">
        <v>126</v>
      </c>
      <c r="D37" s="26" t="s">
        <v>28</v>
      </c>
      <c r="E37" s="125" t="s">
        <v>28</v>
      </c>
      <c r="F37" s="126" t="s">
        <v>22</v>
      </c>
      <c r="G37" s="125" t="s">
        <v>28</v>
      </c>
      <c r="H37" s="102" t="s">
        <v>28</v>
      </c>
      <c r="I37" s="102" t="s">
        <v>28</v>
      </c>
      <c r="J37" s="102" t="s">
        <v>28</v>
      </c>
      <c r="K37" s="120"/>
      <c r="L37" s="96"/>
      <c r="M37" s="96"/>
      <c r="N37" s="82"/>
      <c r="O37" s="96"/>
      <c r="P37" s="96"/>
      <c r="Q37" s="96"/>
      <c r="R37" s="96"/>
      <c r="S37" s="96"/>
      <c r="T37" s="28"/>
      <c r="U37" s="29"/>
      <c r="V37" s="29"/>
      <c r="W37" s="29"/>
      <c r="X37" s="29"/>
      <c r="Y37" s="29"/>
      <c r="Z37" s="29"/>
      <c r="AA37" s="29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2">
        <f t="shared" si="1"/>
        <v>0</v>
      </c>
      <c r="BB37" s="32">
        <f t="shared" si="2"/>
        <v>1</v>
      </c>
      <c r="BC37" s="32">
        <f t="shared" si="3"/>
        <v>6</v>
      </c>
      <c r="BD37" s="32">
        <f t="shared" si="4"/>
        <v>7</v>
      </c>
      <c r="BE37" s="33">
        <f t="shared" si="5"/>
        <v>85.71428571</v>
      </c>
    </row>
    <row r="38">
      <c r="A38" s="23">
        <v>34.0</v>
      </c>
      <c r="B38" s="24" t="s">
        <v>127</v>
      </c>
      <c r="C38" s="25" t="s">
        <v>128</v>
      </c>
      <c r="D38" s="26" t="s">
        <v>28</v>
      </c>
      <c r="E38" s="126" t="s">
        <v>22</v>
      </c>
      <c r="F38" s="125" t="s">
        <v>28</v>
      </c>
      <c r="G38" s="125" t="s">
        <v>28</v>
      </c>
      <c r="H38" s="102" t="s">
        <v>28</v>
      </c>
      <c r="I38" s="102" t="s">
        <v>28</v>
      </c>
      <c r="J38" s="102" t="s">
        <v>28</v>
      </c>
      <c r="K38" s="120"/>
      <c r="L38" s="96"/>
      <c r="M38" s="96"/>
      <c r="N38" s="96"/>
      <c r="O38" s="96"/>
      <c r="P38" s="96"/>
      <c r="Q38" s="96"/>
      <c r="R38" s="96"/>
      <c r="S38" s="96"/>
      <c r="T38" s="28"/>
      <c r="U38" s="29"/>
      <c r="V38" s="29"/>
      <c r="W38" s="29"/>
      <c r="X38" s="29"/>
      <c r="Y38" s="29"/>
      <c r="Z38" s="29"/>
      <c r="AA38" s="29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2">
        <f t="shared" si="1"/>
        <v>0</v>
      </c>
      <c r="BB38" s="32">
        <f t="shared" si="2"/>
        <v>1</v>
      </c>
      <c r="BC38" s="32">
        <f t="shared" si="3"/>
        <v>6</v>
      </c>
      <c r="BD38" s="32">
        <f t="shared" si="4"/>
        <v>7</v>
      </c>
      <c r="BE38" s="33">
        <f t="shared" si="5"/>
        <v>85.71428571</v>
      </c>
    </row>
    <row r="39">
      <c r="A39" s="23">
        <v>35.0</v>
      </c>
      <c r="B39" s="24" t="s">
        <v>129</v>
      </c>
      <c r="C39" s="25" t="s">
        <v>130</v>
      </c>
      <c r="D39" s="104" t="s">
        <v>22</v>
      </c>
      <c r="E39" s="126" t="s">
        <v>22</v>
      </c>
      <c r="F39" s="125" t="s">
        <v>28</v>
      </c>
      <c r="G39" s="126" t="s">
        <v>22</v>
      </c>
      <c r="H39" s="102" t="s">
        <v>28</v>
      </c>
      <c r="I39" s="102" t="s">
        <v>28</v>
      </c>
      <c r="J39" s="102" t="s">
        <v>28</v>
      </c>
      <c r="K39" s="120"/>
      <c r="L39" s="82"/>
      <c r="M39" s="96"/>
      <c r="N39" s="82"/>
      <c r="O39" s="96"/>
      <c r="P39" s="82"/>
      <c r="Q39" s="96"/>
      <c r="R39" s="96"/>
      <c r="S39" s="82"/>
      <c r="T39" s="28"/>
      <c r="U39" s="29"/>
      <c r="V39" s="29"/>
      <c r="W39" s="29"/>
      <c r="X39" s="29"/>
      <c r="Y39" s="29"/>
      <c r="Z39" s="29"/>
      <c r="AA39" s="29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2">
        <f t="shared" si="1"/>
        <v>0</v>
      </c>
      <c r="BB39" s="32">
        <f t="shared" si="2"/>
        <v>3</v>
      </c>
      <c r="BC39" s="32">
        <f t="shared" si="3"/>
        <v>4</v>
      </c>
      <c r="BD39" s="32">
        <f t="shared" si="4"/>
        <v>7</v>
      </c>
      <c r="BE39" s="33">
        <f t="shared" si="5"/>
        <v>57.14285714</v>
      </c>
    </row>
    <row r="40">
      <c r="A40" s="23">
        <v>36.0</v>
      </c>
      <c r="B40" s="24" t="s">
        <v>131</v>
      </c>
      <c r="C40" s="25" t="s">
        <v>132</v>
      </c>
      <c r="D40" s="104" t="s">
        <v>22</v>
      </c>
      <c r="E40" s="104" t="s">
        <v>22</v>
      </c>
      <c r="F40" s="104" t="s">
        <v>22</v>
      </c>
      <c r="G40" s="104" t="s">
        <v>22</v>
      </c>
      <c r="H40" s="104" t="s">
        <v>22</v>
      </c>
      <c r="I40" s="104" t="s">
        <v>22</v>
      </c>
      <c r="J40" s="102" t="s">
        <v>28</v>
      </c>
      <c r="K40" s="120"/>
      <c r="L40" s="106"/>
      <c r="M40" s="106"/>
      <c r="N40" s="107"/>
      <c r="O40" s="107"/>
      <c r="P40" s="107"/>
      <c r="Q40" s="106"/>
      <c r="R40" s="107"/>
      <c r="S40" s="106"/>
      <c r="T40" s="127"/>
      <c r="U40" s="121"/>
      <c r="V40" s="121"/>
      <c r="W40" s="121"/>
      <c r="X40" s="121"/>
      <c r="Y40" s="121"/>
      <c r="Z40" s="121"/>
      <c r="AA40" s="121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10">
        <f t="shared" si="1"/>
        <v>0</v>
      </c>
      <c r="BB40" s="110">
        <f t="shared" si="2"/>
        <v>6</v>
      </c>
      <c r="BC40" s="110">
        <f t="shared" si="3"/>
        <v>1</v>
      </c>
      <c r="BD40" s="110">
        <f t="shared" si="4"/>
        <v>7</v>
      </c>
      <c r="BE40" s="111">
        <f t="shared" si="5"/>
        <v>14.28571429</v>
      </c>
    </row>
    <row r="41">
      <c r="A41" s="23">
        <v>37.0</v>
      </c>
      <c r="B41" s="24" t="s">
        <v>133</v>
      </c>
      <c r="C41" s="25" t="s">
        <v>134</v>
      </c>
      <c r="D41" s="26" t="s">
        <v>28</v>
      </c>
      <c r="E41" s="125" t="s">
        <v>28</v>
      </c>
      <c r="F41" s="125" t="s">
        <v>28</v>
      </c>
      <c r="G41" s="125" t="s">
        <v>28</v>
      </c>
      <c r="H41" s="102" t="s">
        <v>28</v>
      </c>
      <c r="I41" s="102" t="s">
        <v>28</v>
      </c>
      <c r="J41" s="102" t="s">
        <v>28</v>
      </c>
      <c r="K41" s="120"/>
      <c r="L41" s="96"/>
      <c r="M41" s="96"/>
      <c r="N41" s="96"/>
      <c r="O41" s="96"/>
      <c r="P41" s="82"/>
      <c r="Q41" s="96"/>
      <c r="R41" s="96"/>
      <c r="S41" s="96"/>
      <c r="T41" s="28"/>
      <c r="U41" s="29"/>
      <c r="V41" s="29"/>
      <c r="W41" s="29"/>
      <c r="X41" s="29"/>
      <c r="Y41" s="29"/>
      <c r="Z41" s="29"/>
      <c r="AA41" s="29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2">
        <f t="shared" si="1"/>
        <v>0</v>
      </c>
      <c r="BB41" s="32">
        <f t="shared" si="2"/>
        <v>0</v>
      </c>
      <c r="BC41" s="32">
        <f t="shared" si="3"/>
        <v>7</v>
      </c>
      <c r="BD41" s="32">
        <f t="shared" si="4"/>
        <v>7</v>
      </c>
      <c r="BE41" s="33">
        <f t="shared" si="5"/>
        <v>100</v>
      </c>
    </row>
    <row r="42">
      <c r="A42" s="23">
        <v>38.0</v>
      </c>
      <c r="B42" s="24" t="s">
        <v>135</v>
      </c>
      <c r="C42" s="25" t="s">
        <v>136</v>
      </c>
      <c r="D42" s="26" t="s">
        <v>28</v>
      </c>
      <c r="E42" s="125" t="s">
        <v>28</v>
      </c>
      <c r="F42" s="126" t="s">
        <v>22</v>
      </c>
      <c r="G42" s="125" t="s">
        <v>28</v>
      </c>
      <c r="H42" s="102" t="s">
        <v>28</v>
      </c>
      <c r="I42" s="102" t="s">
        <v>28</v>
      </c>
      <c r="J42" s="102" t="s">
        <v>28</v>
      </c>
      <c r="K42" s="120"/>
      <c r="L42" s="96"/>
      <c r="M42" s="96"/>
      <c r="N42" s="96"/>
      <c r="O42" s="96"/>
      <c r="P42" s="82"/>
      <c r="Q42" s="96"/>
      <c r="R42" s="96"/>
      <c r="S42" s="96"/>
      <c r="T42" s="28"/>
      <c r="U42" s="29"/>
      <c r="V42" s="29"/>
      <c r="W42" s="29"/>
      <c r="X42" s="29"/>
      <c r="Y42" s="29"/>
      <c r="Z42" s="29"/>
      <c r="AA42" s="29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2">
        <f t="shared" si="1"/>
        <v>0</v>
      </c>
      <c r="BB42" s="32">
        <f t="shared" si="2"/>
        <v>1</v>
      </c>
      <c r="BC42" s="32">
        <f t="shared" si="3"/>
        <v>6</v>
      </c>
      <c r="BD42" s="32">
        <f t="shared" si="4"/>
        <v>7</v>
      </c>
      <c r="BE42" s="33">
        <f t="shared" si="5"/>
        <v>85.71428571</v>
      </c>
    </row>
    <row r="43">
      <c r="A43" s="23">
        <v>39.0</v>
      </c>
      <c r="B43" s="24" t="s">
        <v>137</v>
      </c>
      <c r="C43" s="25" t="s">
        <v>138</v>
      </c>
      <c r="D43" s="26" t="s">
        <v>28</v>
      </c>
      <c r="E43" s="125" t="s">
        <v>28</v>
      </c>
      <c r="F43" s="125" t="s">
        <v>28</v>
      </c>
      <c r="G43" s="125" t="s">
        <v>28</v>
      </c>
      <c r="H43" s="104" t="s">
        <v>22</v>
      </c>
      <c r="I43" s="104" t="s">
        <v>22</v>
      </c>
      <c r="J43" s="102" t="s">
        <v>28</v>
      </c>
      <c r="K43" s="120"/>
      <c r="L43" s="96"/>
      <c r="M43" s="96"/>
      <c r="N43" s="96"/>
      <c r="O43" s="96"/>
      <c r="P43" s="96"/>
      <c r="Q43" s="96"/>
      <c r="R43" s="96"/>
      <c r="S43" s="96"/>
      <c r="T43" s="29"/>
      <c r="U43" s="29"/>
      <c r="V43" s="29"/>
      <c r="W43" s="29"/>
      <c r="X43" s="29"/>
      <c r="Y43" s="29"/>
      <c r="Z43" s="29"/>
      <c r="AA43" s="29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2">
        <f t="shared" si="1"/>
        <v>0</v>
      </c>
      <c r="BB43" s="32">
        <f t="shared" si="2"/>
        <v>2</v>
      </c>
      <c r="BC43" s="32">
        <f t="shared" si="3"/>
        <v>5</v>
      </c>
      <c r="BD43" s="32">
        <f t="shared" si="4"/>
        <v>7</v>
      </c>
      <c r="BE43" s="33">
        <f t="shared" si="5"/>
        <v>71.42857143</v>
      </c>
    </row>
    <row r="44">
      <c r="A44" s="23">
        <v>40.0</v>
      </c>
      <c r="B44" s="24" t="s">
        <v>139</v>
      </c>
      <c r="C44" s="25" t="s">
        <v>140</v>
      </c>
      <c r="D44" s="26" t="s">
        <v>28</v>
      </c>
      <c r="E44" s="126" t="s">
        <v>22</v>
      </c>
      <c r="F44" s="125" t="s">
        <v>28</v>
      </c>
      <c r="G44" s="125" t="s">
        <v>28</v>
      </c>
      <c r="H44" s="104" t="s">
        <v>22</v>
      </c>
      <c r="I44" s="102" t="s">
        <v>28</v>
      </c>
      <c r="J44" s="102" t="s">
        <v>28</v>
      </c>
      <c r="K44" s="120"/>
      <c r="L44" s="96"/>
      <c r="M44" s="96"/>
      <c r="N44" s="82"/>
      <c r="O44" s="96"/>
      <c r="P44" s="96"/>
      <c r="Q44" s="96"/>
      <c r="R44" s="96"/>
      <c r="S44" s="96"/>
      <c r="T44" s="29"/>
      <c r="U44" s="29"/>
      <c r="V44" s="29"/>
      <c r="W44" s="29"/>
      <c r="X44" s="29"/>
      <c r="Y44" s="29"/>
      <c r="Z44" s="29"/>
      <c r="AA44" s="29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2">
        <f t="shared" si="1"/>
        <v>0</v>
      </c>
      <c r="BB44" s="32">
        <f t="shared" si="2"/>
        <v>2</v>
      </c>
      <c r="BC44" s="32">
        <f t="shared" si="3"/>
        <v>5</v>
      </c>
      <c r="BD44" s="32">
        <f t="shared" si="4"/>
        <v>7</v>
      </c>
      <c r="BE44" s="33">
        <f t="shared" si="5"/>
        <v>71.42857143</v>
      </c>
    </row>
    <row r="45">
      <c r="A45" s="23">
        <v>41.0</v>
      </c>
      <c r="B45" s="24" t="s">
        <v>141</v>
      </c>
      <c r="C45" s="25" t="s">
        <v>142</v>
      </c>
      <c r="D45" s="26" t="s">
        <v>28</v>
      </c>
      <c r="E45" s="126" t="s">
        <v>22</v>
      </c>
      <c r="F45" s="125" t="s">
        <v>28</v>
      </c>
      <c r="G45" s="125" t="s">
        <v>28</v>
      </c>
      <c r="H45" s="104" t="s">
        <v>22</v>
      </c>
      <c r="I45" s="102" t="s">
        <v>28</v>
      </c>
      <c r="J45" s="102" t="s">
        <v>28</v>
      </c>
      <c r="K45" s="120"/>
      <c r="L45" s="96"/>
      <c r="M45" s="96"/>
      <c r="N45" s="82"/>
      <c r="O45" s="96"/>
      <c r="P45" s="96"/>
      <c r="Q45" s="96"/>
      <c r="R45" s="96"/>
      <c r="S45" s="96"/>
      <c r="T45" s="28"/>
      <c r="U45" s="29"/>
      <c r="V45" s="29"/>
      <c r="W45" s="29"/>
      <c r="X45" s="29"/>
      <c r="Y45" s="29"/>
      <c r="Z45" s="29"/>
      <c r="AA45" s="29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2">
        <f t="shared" si="1"/>
        <v>0</v>
      </c>
      <c r="BB45" s="32">
        <f t="shared" si="2"/>
        <v>2</v>
      </c>
      <c r="BC45" s="32">
        <f t="shared" si="3"/>
        <v>5</v>
      </c>
      <c r="BD45" s="32">
        <f t="shared" si="4"/>
        <v>7</v>
      </c>
      <c r="BE45" s="33">
        <f t="shared" si="5"/>
        <v>71.42857143</v>
      </c>
    </row>
    <row r="46">
      <c r="A46" s="23">
        <v>42.0</v>
      </c>
      <c r="B46" s="24" t="s">
        <v>143</v>
      </c>
      <c r="C46" s="25" t="s">
        <v>144</v>
      </c>
      <c r="D46" s="26" t="s">
        <v>28</v>
      </c>
      <c r="E46" s="126" t="s">
        <v>22</v>
      </c>
      <c r="F46" s="126" t="s">
        <v>22</v>
      </c>
      <c r="G46" s="126" t="s">
        <v>22</v>
      </c>
      <c r="H46" s="104" t="s">
        <v>22</v>
      </c>
      <c r="I46" s="104" t="s">
        <v>22</v>
      </c>
      <c r="J46" s="102" t="s">
        <v>28</v>
      </c>
      <c r="K46" s="120"/>
      <c r="L46" s="96"/>
      <c r="M46" s="96"/>
      <c r="N46" s="82"/>
      <c r="O46" s="96"/>
      <c r="P46" s="82"/>
      <c r="Q46" s="82"/>
      <c r="R46" s="96"/>
      <c r="S46" s="96"/>
      <c r="T46" s="28"/>
      <c r="U46" s="29"/>
      <c r="V46" s="29"/>
      <c r="W46" s="29"/>
      <c r="X46" s="29"/>
      <c r="Y46" s="29"/>
      <c r="Z46" s="29"/>
      <c r="AA46" s="29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2">
        <f t="shared" si="1"/>
        <v>0</v>
      </c>
      <c r="BB46" s="32">
        <f t="shared" si="2"/>
        <v>5</v>
      </c>
      <c r="BC46" s="32">
        <f t="shared" si="3"/>
        <v>2</v>
      </c>
      <c r="BD46" s="32">
        <f t="shared" si="4"/>
        <v>7</v>
      </c>
      <c r="BE46" s="33">
        <f t="shared" si="5"/>
        <v>28.57142857</v>
      </c>
    </row>
    <row r="47">
      <c r="A47" s="23">
        <v>43.0</v>
      </c>
      <c r="B47" s="24" t="s">
        <v>145</v>
      </c>
      <c r="C47" s="25" t="s">
        <v>146</v>
      </c>
      <c r="D47" s="26" t="s">
        <v>28</v>
      </c>
      <c r="E47" s="125" t="s">
        <v>28</v>
      </c>
      <c r="F47" s="126" t="s">
        <v>22</v>
      </c>
      <c r="G47" s="125" t="s">
        <v>28</v>
      </c>
      <c r="H47" s="104" t="s">
        <v>22</v>
      </c>
      <c r="I47" s="104" t="s">
        <v>22</v>
      </c>
      <c r="J47" s="102" t="s">
        <v>28</v>
      </c>
      <c r="K47" s="120"/>
      <c r="L47" s="96"/>
      <c r="M47" s="96"/>
      <c r="N47" s="96"/>
      <c r="O47" s="96"/>
      <c r="P47" s="96"/>
      <c r="Q47" s="96"/>
      <c r="R47" s="96"/>
      <c r="S47" s="96"/>
      <c r="T47" s="28"/>
      <c r="U47" s="29"/>
      <c r="V47" s="29"/>
      <c r="W47" s="29"/>
      <c r="X47" s="29"/>
      <c r="Y47" s="29"/>
      <c r="Z47" s="29"/>
      <c r="AA47" s="29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2">
        <f t="shared" si="1"/>
        <v>0</v>
      </c>
      <c r="BB47" s="32">
        <f t="shared" si="2"/>
        <v>3</v>
      </c>
      <c r="BC47" s="32">
        <f t="shared" si="3"/>
        <v>4</v>
      </c>
      <c r="BD47" s="32">
        <f t="shared" si="4"/>
        <v>7</v>
      </c>
      <c r="BE47" s="33">
        <f t="shared" si="5"/>
        <v>57.14285714</v>
      </c>
    </row>
    <row r="48">
      <c r="A48" s="23">
        <v>44.0</v>
      </c>
      <c r="B48" s="24" t="s">
        <v>149</v>
      </c>
      <c r="C48" s="25" t="s">
        <v>150</v>
      </c>
      <c r="D48" s="26" t="s">
        <v>28</v>
      </c>
      <c r="E48" s="125" t="s">
        <v>28</v>
      </c>
      <c r="F48" s="125" t="s">
        <v>28</v>
      </c>
      <c r="G48" s="125" t="s">
        <v>28</v>
      </c>
      <c r="H48" s="104" t="s">
        <v>22</v>
      </c>
      <c r="I48" s="102" t="s">
        <v>28</v>
      </c>
      <c r="J48" s="102" t="s">
        <v>28</v>
      </c>
      <c r="K48" s="120"/>
      <c r="L48" s="96"/>
      <c r="M48" s="96"/>
      <c r="N48" s="96"/>
      <c r="O48" s="96"/>
      <c r="P48" s="96"/>
      <c r="Q48" s="96"/>
      <c r="R48" s="96"/>
      <c r="S48" s="96"/>
      <c r="T48" s="30"/>
      <c r="U48" s="29"/>
      <c r="V48" s="29"/>
      <c r="W48" s="29"/>
      <c r="X48" s="29"/>
      <c r="Y48" s="29"/>
      <c r="Z48" s="29"/>
      <c r="AA48" s="29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2">
        <f t="shared" si="1"/>
        <v>0</v>
      </c>
      <c r="BB48" s="32">
        <f t="shared" si="2"/>
        <v>1</v>
      </c>
      <c r="BC48" s="32">
        <f t="shared" si="3"/>
        <v>6</v>
      </c>
      <c r="BD48" s="32">
        <f t="shared" si="4"/>
        <v>7</v>
      </c>
      <c r="BE48" s="33">
        <f t="shared" si="5"/>
        <v>85.71428571</v>
      </c>
    </row>
    <row r="49">
      <c r="A49" s="23">
        <v>45.0</v>
      </c>
      <c r="B49" s="24" t="s">
        <v>151</v>
      </c>
      <c r="C49" s="25" t="s">
        <v>392</v>
      </c>
      <c r="D49" s="26" t="s">
        <v>28</v>
      </c>
      <c r="E49" s="125" t="s">
        <v>28</v>
      </c>
      <c r="F49" s="125" t="s">
        <v>28</v>
      </c>
      <c r="G49" s="125" t="s">
        <v>28</v>
      </c>
      <c r="H49" s="102" t="s">
        <v>28</v>
      </c>
      <c r="I49" s="102" t="s">
        <v>28</v>
      </c>
      <c r="J49" s="102" t="s">
        <v>28</v>
      </c>
      <c r="K49" s="120"/>
      <c r="L49" s="96"/>
      <c r="M49" s="96"/>
      <c r="N49" s="96"/>
      <c r="O49" s="96"/>
      <c r="P49" s="96"/>
      <c r="Q49" s="96"/>
      <c r="R49" s="96"/>
      <c r="S49" s="96"/>
      <c r="T49" s="28"/>
      <c r="U49" s="29"/>
      <c r="V49" s="29"/>
      <c r="W49" s="29"/>
      <c r="X49" s="29"/>
      <c r="Y49" s="29"/>
      <c r="Z49" s="29"/>
      <c r="AA49" s="29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2">
        <f t="shared" si="1"/>
        <v>0</v>
      </c>
      <c r="BB49" s="32">
        <f t="shared" si="2"/>
        <v>0</v>
      </c>
      <c r="BC49" s="32">
        <f t="shared" si="3"/>
        <v>7</v>
      </c>
      <c r="BD49" s="32">
        <f t="shared" si="4"/>
        <v>7</v>
      </c>
      <c r="BE49" s="33">
        <f t="shared" si="5"/>
        <v>100</v>
      </c>
    </row>
    <row r="50">
      <c r="A50" s="23">
        <v>46.0</v>
      </c>
      <c r="B50" s="24" t="s">
        <v>153</v>
      </c>
      <c r="C50" s="25" t="s">
        <v>154</v>
      </c>
      <c r="D50" s="26" t="s">
        <v>28</v>
      </c>
      <c r="E50" s="125" t="s">
        <v>28</v>
      </c>
      <c r="F50" s="125" t="s">
        <v>28</v>
      </c>
      <c r="G50" s="126" t="s">
        <v>22</v>
      </c>
      <c r="H50" s="104" t="s">
        <v>22</v>
      </c>
      <c r="I50" s="102" t="s">
        <v>28</v>
      </c>
      <c r="J50" s="102" t="s">
        <v>28</v>
      </c>
      <c r="K50" s="120"/>
      <c r="L50" s="96"/>
      <c r="M50" s="96"/>
      <c r="N50" s="82"/>
      <c r="O50" s="96"/>
      <c r="P50" s="96"/>
      <c r="Q50" s="96"/>
      <c r="R50" s="96"/>
      <c r="S50" s="96"/>
      <c r="T50" s="29"/>
      <c r="U50" s="29"/>
      <c r="V50" s="29"/>
      <c r="W50" s="29"/>
      <c r="X50" s="29"/>
      <c r="Y50" s="29"/>
      <c r="Z50" s="29"/>
      <c r="AA50" s="29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2">
        <f t="shared" si="1"/>
        <v>0</v>
      </c>
      <c r="BB50" s="32">
        <f t="shared" si="2"/>
        <v>2</v>
      </c>
      <c r="BC50" s="32">
        <f t="shared" si="3"/>
        <v>5</v>
      </c>
      <c r="BD50" s="32">
        <f t="shared" si="4"/>
        <v>7</v>
      </c>
      <c r="BE50" s="33">
        <f t="shared" si="5"/>
        <v>71.42857143</v>
      </c>
    </row>
    <row r="51">
      <c r="A51" s="23">
        <v>47.0</v>
      </c>
      <c r="B51" s="24" t="s">
        <v>155</v>
      </c>
      <c r="C51" s="25" t="s">
        <v>156</v>
      </c>
      <c r="D51" s="26" t="s">
        <v>28</v>
      </c>
      <c r="E51" s="125" t="s">
        <v>28</v>
      </c>
      <c r="F51" s="125" t="s">
        <v>28</v>
      </c>
      <c r="G51" s="126" t="s">
        <v>22</v>
      </c>
      <c r="H51" s="102" t="s">
        <v>28</v>
      </c>
      <c r="I51" s="102" t="s">
        <v>28</v>
      </c>
      <c r="J51" s="102" t="s">
        <v>28</v>
      </c>
      <c r="K51" s="120"/>
      <c r="L51" s="96"/>
      <c r="M51" s="96"/>
      <c r="N51" s="82"/>
      <c r="O51" s="96"/>
      <c r="P51" s="82"/>
      <c r="Q51" s="96"/>
      <c r="R51" s="96"/>
      <c r="S51" s="96"/>
      <c r="T51" s="29"/>
      <c r="U51" s="29"/>
      <c r="V51" s="29"/>
      <c r="W51" s="29"/>
      <c r="X51" s="29"/>
      <c r="Y51" s="29"/>
      <c r="Z51" s="29"/>
      <c r="AA51" s="29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2">
        <f t="shared" si="1"/>
        <v>0</v>
      </c>
      <c r="BB51" s="32">
        <f t="shared" si="2"/>
        <v>1</v>
      </c>
      <c r="BC51" s="32">
        <f t="shared" si="3"/>
        <v>6</v>
      </c>
      <c r="BD51" s="32">
        <f t="shared" si="4"/>
        <v>7</v>
      </c>
      <c r="BE51" s="33">
        <f t="shared" si="5"/>
        <v>85.71428571</v>
      </c>
    </row>
    <row r="52">
      <c r="A52" s="23">
        <v>48.0</v>
      </c>
      <c r="B52" s="24" t="s">
        <v>157</v>
      </c>
      <c r="C52" s="25" t="s">
        <v>158</v>
      </c>
      <c r="D52" s="26" t="s">
        <v>28</v>
      </c>
      <c r="E52" s="125" t="s">
        <v>28</v>
      </c>
      <c r="F52" s="126" t="s">
        <v>22</v>
      </c>
      <c r="G52" s="126" t="s">
        <v>22</v>
      </c>
      <c r="H52" s="102" t="s">
        <v>28</v>
      </c>
      <c r="I52" s="104" t="s">
        <v>22</v>
      </c>
      <c r="J52" s="102" t="s">
        <v>28</v>
      </c>
      <c r="K52" s="120"/>
      <c r="L52" s="96"/>
      <c r="M52" s="96"/>
      <c r="N52" s="96"/>
      <c r="O52" s="96"/>
      <c r="P52" s="96"/>
      <c r="Q52" s="96"/>
      <c r="R52" s="96"/>
      <c r="S52" s="96"/>
      <c r="T52" s="28"/>
      <c r="U52" s="29"/>
      <c r="V52" s="29"/>
      <c r="W52" s="29"/>
      <c r="X52" s="29"/>
      <c r="Y52" s="29"/>
      <c r="Z52" s="29"/>
      <c r="AA52" s="29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2">
        <f t="shared" si="1"/>
        <v>0</v>
      </c>
      <c r="BB52" s="32">
        <f t="shared" si="2"/>
        <v>3</v>
      </c>
      <c r="BC52" s="32">
        <f t="shared" si="3"/>
        <v>4</v>
      </c>
      <c r="BD52" s="32">
        <f t="shared" si="4"/>
        <v>7</v>
      </c>
      <c r="BE52" s="33">
        <f t="shared" si="5"/>
        <v>57.14285714</v>
      </c>
    </row>
    <row r="53">
      <c r="A53" s="23">
        <v>49.0</v>
      </c>
      <c r="B53" s="24" t="s">
        <v>161</v>
      </c>
      <c r="C53" s="25" t="s">
        <v>162</v>
      </c>
      <c r="D53" s="26" t="s">
        <v>28</v>
      </c>
      <c r="E53" s="125" t="s">
        <v>28</v>
      </c>
      <c r="F53" s="126" t="s">
        <v>22</v>
      </c>
      <c r="G53" s="125" t="s">
        <v>28</v>
      </c>
      <c r="H53" s="102" t="s">
        <v>28</v>
      </c>
      <c r="I53" s="102" t="s">
        <v>28</v>
      </c>
      <c r="J53" s="102" t="s">
        <v>28</v>
      </c>
      <c r="K53" s="120"/>
      <c r="L53" s="96"/>
      <c r="M53" s="96"/>
      <c r="N53" s="96"/>
      <c r="O53" s="96"/>
      <c r="P53" s="96"/>
      <c r="Q53" s="96"/>
      <c r="R53" s="96"/>
      <c r="S53" s="96"/>
      <c r="T53" s="28"/>
      <c r="U53" s="29"/>
      <c r="V53" s="29"/>
      <c r="W53" s="29"/>
      <c r="X53" s="29"/>
      <c r="Y53" s="29"/>
      <c r="Z53" s="29"/>
      <c r="AA53" s="29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2">
        <f t="shared" si="1"/>
        <v>0</v>
      </c>
      <c r="BB53" s="32">
        <f t="shared" si="2"/>
        <v>1</v>
      </c>
      <c r="BC53" s="32">
        <f t="shared" si="3"/>
        <v>6</v>
      </c>
      <c r="BD53" s="32">
        <f t="shared" si="4"/>
        <v>7</v>
      </c>
      <c r="BE53" s="33">
        <f t="shared" si="5"/>
        <v>85.71428571</v>
      </c>
    </row>
    <row r="54">
      <c r="A54" s="23">
        <v>50.0</v>
      </c>
      <c r="B54" s="24" t="s">
        <v>163</v>
      </c>
      <c r="C54" s="25" t="s">
        <v>164</v>
      </c>
      <c r="D54" s="26" t="s">
        <v>28</v>
      </c>
      <c r="E54" s="125" t="s">
        <v>28</v>
      </c>
      <c r="F54" s="126" t="s">
        <v>22</v>
      </c>
      <c r="G54" s="125" t="s">
        <v>28</v>
      </c>
      <c r="H54" s="102" t="s">
        <v>28</v>
      </c>
      <c r="I54" s="102" t="s">
        <v>28</v>
      </c>
      <c r="J54" s="102" t="s">
        <v>28</v>
      </c>
      <c r="K54" s="120"/>
      <c r="L54" s="96"/>
      <c r="M54" s="82"/>
      <c r="N54" s="96"/>
      <c r="O54" s="96"/>
      <c r="P54" s="96"/>
      <c r="Q54" s="96"/>
      <c r="R54" s="96"/>
      <c r="S54" s="96"/>
      <c r="T54" s="28"/>
      <c r="U54" s="29"/>
      <c r="V54" s="29"/>
      <c r="W54" s="29"/>
      <c r="X54" s="29"/>
      <c r="Y54" s="29"/>
      <c r="Z54" s="29"/>
      <c r="AA54" s="29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2">
        <f t="shared" si="1"/>
        <v>0</v>
      </c>
      <c r="BB54" s="32">
        <f t="shared" si="2"/>
        <v>1</v>
      </c>
      <c r="BC54" s="32">
        <f t="shared" si="3"/>
        <v>6</v>
      </c>
      <c r="BD54" s="32">
        <f t="shared" si="4"/>
        <v>7</v>
      </c>
      <c r="BE54" s="33">
        <f t="shared" si="5"/>
        <v>85.71428571</v>
      </c>
    </row>
    <row r="55">
      <c r="A55" s="23">
        <v>51.0</v>
      </c>
      <c r="B55" s="24" t="s">
        <v>165</v>
      </c>
      <c r="C55" s="25" t="s">
        <v>166</v>
      </c>
      <c r="D55" s="26" t="s">
        <v>28</v>
      </c>
      <c r="E55" s="126" t="s">
        <v>22</v>
      </c>
      <c r="F55" s="125" t="s">
        <v>28</v>
      </c>
      <c r="G55" s="125" t="s">
        <v>28</v>
      </c>
      <c r="H55" s="104" t="s">
        <v>22</v>
      </c>
      <c r="I55" s="102" t="s">
        <v>28</v>
      </c>
      <c r="J55" s="102" t="s">
        <v>28</v>
      </c>
      <c r="K55" s="120"/>
      <c r="L55" s="96"/>
      <c r="M55" s="96"/>
      <c r="N55" s="96"/>
      <c r="O55" s="96"/>
      <c r="P55" s="96"/>
      <c r="Q55" s="96"/>
      <c r="R55" s="96"/>
      <c r="S55" s="82"/>
      <c r="T55" s="28"/>
      <c r="U55" s="29"/>
      <c r="V55" s="29"/>
      <c r="W55" s="29"/>
      <c r="X55" s="29"/>
      <c r="Y55" s="29"/>
      <c r="Z55" s="29"/>
      <c r="AA55" s="29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2">
        <f t="shared" si="1"/>
        <v>0</v>
      </c>
      <c r="BB55" s="32">
        <f t="shared" si="2"/>
        <v>2</v>
      </c>
      <c r="BC55" s="32">
        <f t="shared" si="3"/>
        <v>5</v>
      </c>
      <c r="BD55" s="32">
        <f t="shared" si="4"/>
        <v>7</v>
      </c>
      <c r="BE55" s="33">
        <f t="shared" si="5"/>
        <v>71.42857143</v>
      </c>
    </row>
    <row r="56">
      <c r="A56" s="23">
        <v>52.0</v>
      </c>
      <c r="B56" s="24" t="s">
        <v>167</v>
      </c>
      <c r="C56" s="25" t="s">
        <v>168</v>
      </c>
      <c r="D56" s="26" t="s">
        <v>28</v>
      </c>
      <c r="E56" s="125" t="s">
        <v>28</v>
      </c>
      <c r="F56" s="126" t="s">
        <v>22</v>
      </c>
      <c r="G56" s="125" t="s">
        <v>28</v>
      </c>
      <c r="H56" s="102" t="s">
        <v>28</v>
      </c>
      <c r="I56" s="102" t="s">
        <v>28</v>
      </c>
      <c r="J56" s="102" t="s">
        <v>28</v>
      </c>
      <c r="K56" s="120"/>
      <c r="L56" s="96"/>
      <c r="M56" s="96"/>
      <c r="N56" s="82"/>
      <c r="O56" s="96"/>
      <c r="P56" s="96"/>
      <c r="Q56" s="82"/>
      <c r="R56" s="96"/>
      <c r="S56" s="96"/>
      <c r="T56" s="28"/>
      <c r="U56" s="29"/>
      <c r="V56" s="29"/>
      <c r="W56" s="29"/>
      <c r="X56" s="29"/>
      <c r="Y56" s="29"/>
      <c r="Z56" s="29"/>
      <c r="AA56" s="29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2">
        <f t="shared" si="1"/>
        <v>0</v>
      </c>
      <c r="BB56" s="32">
        <f t="shared" si="2"/>
        <v>1</v>
      </c>
      <c r="BC56" s="32">
        <f t="shared" si="3"/>
        <v>6</v>
      </c>
      <c r="BD56" s="32">
        <f t="shared" si="4"/>
        <v>7</v>
      </c>
      <c r="BE56" s="33">
        <f t="shared" si="5"/>
        <v>85.71428571</v>
      </c>
    </row>
    <row r="57">
      <c r="A57" s="23">
        <v>53.0</v>
      </c>
      <c r="B57" s="24" t="s">
        <v>169</v>
      </c>
      <c r="C57" s="25" t="s">
        <v>170</v>
      </c>
      <c r="D57" s="26" t="s">
        <v>28</v>
      </c>
      <c r="E57" s="126" t="s">
        <v>22</v>
      </c>
      <c r="F57" s="125" t="s">
        <v>28</v>
      </c>
      <c r="G57" s="125" t="s">
        <v>28</v>
      </c>
      <c r="H57" s="104" t="s">
        <v>22</v>
      </c>
      <c r="I57" s="104" t="s">
        <v>22</v>
      </c>
      <c r="J57" s="104" t="s">
        <v>22</v>
      </c>
      <c r="K57" s="120"/>
      <c r="L57" s="96"/>
      <c r="M57" s="96"/>
      <c r="N57" s="96"/>
      <c r="O57" s="96"/>
      <c r="P57" s="96"/>
      <c r="Q57" s="96"/>
      <c r="R57" s="96"/>
      <c r="S57" s="82"/>
      <c r="T57" s="51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32">
        <f t="shared" si="1"/>
        <v>0</v>
      </c>
      <c r="BB57" s="32">
        <f t="shared" si="2"/>
        <v>4</v>
      </c>
      <c r="BC57" s="32">
        <f t="shared" si="3"/>
        <v>3</v>
      </c>
      <c r="BD57" s="32">
        <f t="shared" si="4"/>
        <v>7</v>
      </c>
      <c r="BE57" s="33">
        <f t="shared" si="5"/>
        <v>42.85714286</v>
      </c>
    </row>
    <row r="58">
      <c r="A58" s="23">
        <v>54.0</v>
      </c>
      <c r="B58" s="47" t="s">
        <v>171</v>
      </c>
      <c r="C58" s="25" t="s">
        <v>172</v>
      </c>
      <c r="D58" s="26" t="s">
        <v>28</v>
      </c>
      <c r="E58" s="125" t="s">
        <v>28</v>
      </c>
      <c r="F58" s="125" t="s">
        <v>28</v>
      </c>
      <c r="G58" s="126" t="s">
        <v>22</v>
      </c>
      <c r="H58" s="102" t="s">
        <v>28</v>
      </c>
      <c r="I58" s="102" t="s">
        <v>28</v>
      </c>
      <c r="J58" s="102" t="s">
        <v>28</v>
      </c>
      <c r="K58" s="120"/>
      <c r="L58" s="82"/>
      <c r="M58" s="96"/>
      <c r="N58" s="96"/>
      <c r="O58" s="96"/>
      <c r="P58" s="96"/>
      <c r="Q58" s="96"/>
      <c r="R58" s="96"/>
      <c r="S58" s="96"/>
      <c r="T58" s="51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32">
        <f t="shared" si="1"/>
        <v>0</v>
      </c>
      <c r="BB58" s="32">
        <f t="shared" si="2"/>
        <v>1</v>
      </c>
      <c r="BC58" s="32">
        <f t="shared" si="3"/>
        <v>6</v>
      </c>
      <c r="BD58" s="32">
        <f t="shared" si="4"/>
        <v>7</v>
      </c>
      <c r="BE58" s="33">
        <f t="shared" si="5"/>
        <v>85.71428571</v>
      </c>
    </row>
    <row r="59">
      <c r="A59" s="23">
        <v>55.0</v>
      </c>
      <c r="B59" s="24" t="s">
        <v>173</v>
      </c>
      <c r="C59" s="25" t="s">
        <v>174</v>
      </c>
      <c r="D59" s="26" t="s">
        <v>28</v>
      </c>
      <c r="E59" s="125" t="s">
        <v>28</v>
      </c>
      <c r="F59" s="125" t="s">
        <v>28</v>
      </c>
      <c r="G59" s="125" t="s">
        <v>28</v>
      </c>
      <c r="H59" s="104" t="s">
        <v>22</v>
      </c>
      <c r="I59" s="102" t="s">
        <v>28</v>
      </c>
      <c r="J59" s="102" t="s">
        <v>28</v>
      </c>
      <c r="K59" s="120"/>
      <c r="L59" s="96"/>
      <c r="M59" s="96"/>
      <c r="N59" s="96"/>
      <c r="O59" s="96"/>
      <c r="P59" s="96"/>
      <c r="Q59" s="96"/>
      <c r="R59" s="96"/>
      <c r="S59" s="96"/>
      <c r="T59" s="51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32">
        <f t="shared" si="1"/>
        <v>0</v>
      </c>
      <c r="BB59" s="32">
        <f t="shared" si="2"/>
        <v>1</v>
      </c>
      <c r="BC59" s="32">
        <f t="shared" si="3"/>
        <v>6</v>
      </c>
      <c r="BD59" s="32">
        <f t="shared" si="4"/>
        <v>7</v>
      </c>
      <c r="BE59" s="33">
        <f t="shared" si="5"/>
        <v>85.71428571</v>
      </c>
    </row>
    <row r="60">
      <c r="A60" s="49">
        <v>56.0</v>
      </c>
      <c r="B60" s="35" t="s">
        <v>177</v>
      </c>
      <c r="C60" s="36" t="s">
        <v>178</v>
      </c>
      <c r="D60" s="104" t="s">
        <v>22</v>
      </c>
      <c r="E60" s="125" t="s">
        <v>28</v>
      </c>
      <c r="F60" s="126" t="s">
        <v>22</v>
      </c>
      <c r="G60" s="126" t="s">
        <v>22</v>
      </c>
      <c r="H60" s="104" t="s">
        <v>22</v>
      </c>
      <c r="I60" s="104" t="s">
        <v>22</v>
      </c>
      <c r="J60" s="104" t="s">
        <v>22</v>
      </c>
      <c r="K60" s="104"/>
      <c r="L60" s="37"/>
      <c r="M60" s="37"/>
      <c r="N60" s="27"/>
      <c r="O60" s="37"/>
      <c r="P60" s="37"/>
      <c r="Q60" s="37"/>
      <c r="R60" s="37"/>
      <c r="S60" s="27"/>
      <c r="T60" s="53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41">
        <f t="shared" si="1"/>
        <v>0</v>
      </c>
      <c r="BB60" s="41">
        <f t="shared" si="2"/>
        <v>6</v>
      </c>
      <c r="BC60" s="41">
        <f t="shared" si="3"/>
        <v>1</v>
      </c>
      <c r="BD60" s="41">
        <f t="shared" si="4"/>
        <v>7</v>
      </c>
      <c r="BE60" s="42">
        <f t="shared" si="5"/>
        <v>14.28571429</v>
      </c>
    </row>
    <row r="61">
      <c r="A61" s="23">
        <v>57.0</v>
      </c>
      <c r="B61" s="24" t="s">
        <v>179</v>
      </c>
      <c r="C61" s="25" t="s">
        <v>180</v>
      </c>
      <c r="D61" s="104" t="s">
        <v>22</v>
      </c>
      <c r="E61" s="126" t="s">
        <v>22</v>
      </c>
      <c r="F61" s="126" t="s">
        <v>22</v>
      </c>
      <c r="G61" s="126" t="s">
        <v>22</v>
      </c>
      <c r="H61" s="102" t="s">
        <v>28</v>
      </c>
      <c r="I61" s="102" t="s">
        <v>28</v>
      </c>
      <c r="J61" s="102" t="s">
        <v>28</v>
      </c>
      <c r="K61" s="120"/>
      <c r="L61" s="96"/>
      <c r="M61" s="96"/>
      <c r="N61" s="82"/>
      <c r="O61" s="82"/>
      <c r="P61" s="96"/>
      <c r="Q61" s="96"/>
      <c r="R61" s="96"/>
      <c r="S61" s="96"/>
      <c r="T61" s="51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32">
        <f t="shared" si="1"/>
        <v>0</v>
      </c>
      <c r="BB61" s="32">
        <f t="shared" si="2"/>
        <v>4</v>
      </c>
      <c r="BC61" s="32">
        <f t="shared" si="3"/>
        <v>3</v>
      </c>
      <c r="BD61" s="32">
        <f t="shared" si="4"/>
        <v>7</v>
      </c>
      <c r="BE61" s="33">
        <f t="shared" si="5"/>
        <v>42.85714286</v>
      </c>
    </row>
    <row r="62">
      <c r="A62" s="95">
        <v>58.0</v>
      </c>
      <c r="B62" s="47" t="s">
        <v>181</v>
      </c>
      <c r="C62" s="85" t="s">
        <v>182</v>
      </c>
      <c r="D62" s="104" t="s">
        <v>22</v>
      </c>
      <c r="E62" s="104" t="s">
        <v>22</v>
      </c>
      <c r="F62" s="126" t="s">
        <v>22</v>
      </c>
      <c r="G62" s="126" t="s">
        <v>22</v>
      </c>
      <c r="H62" s="104" t="s">
        <v>22</v>
      </c>
      <c r="I62" s="104" t="s">
        <v>22</v>
      </c>
      <c r="J62" s="104" t="s">
        <v>22</v>
      </c>
      <c r="K62" s="128"/>
      <c r="L62" s="96"/>
      <c r="M62" s="96"/>
      <c r="N62" s="96"/>
      <c r="O62" s="96"/>
      <c r="P62" s="82"/>
      <c r="Q62" s="96"/>
      <c r="R62" s="96"/>
      <c r="S62" s="96"/>
      <c r="T62" s="51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32">
        <f>COUNTIF(E62:AZ62,"L")</f>
        <v>0</v>
      </c>
      <c r="BB62" s="32">
        <f>COUNTIF(E62:AZ62,"A")</f>
        <v>6</v>
      </c>
      <c r="BC62" s="32">
        <f>COUNTIF(E62:AZ62,"p")</f>
        <v>0</v>
      </c>
      <c r="BD62" s="32">
        <f t="shared" si="4"/>
        <v>6</v>
      </c>
      <c r="BE62" s="33">
        <f t="shared" si="5"/>
        <v>0</v>
      </c>
    </row>
    <row r="63">
      <c r="A63" s="23">
        <v>59.0</v>
      </c>
      <c r="B63" s="24" t="s">
        <v>187</v>
      </c>
      <c r="C63" s="25" t="s">
        <v>188</v>
      </c>
      <c r="D63" s="26" t="s">
        <v>28</v>
      </c>
      <c r="E63" s="125" t="s">
        <v>28</v>
      </c>
      <c r="F63" s="126" t="s">
        <v>22</v>
      </c>
      <c r="G63" s="126" t="s">
        <v>22</v>
      </c>
      <c r="H63" s="102" t="s">
        <v>28</v>
      </c>
      <c r="I63" s="102" t="s">
        <v>28</v>
      </c>
      <c r="J63" s="102" t="s">
        <v>28</v>
      </c>
      <c r="K63" s="120"/>
      <c r="L63" s="96"/>
      <c r="M63" s="96"/>
      <c r="N63" s="82"/>
      <c r="O63" s="96"/>
      <c r="P63" s="82"/>
      <c r="Q63" s="96"/>
      <c r="R63" s="96"/>
      <c r="S63" s="96"/>
      <c r="T63" s="51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32">
        <f t="shared" ref="BA63:BA66" si="6">COUNTIF(D63:AZ63,"L")</f>
        <v>0</v>
      </c>
      <c r="BB63" s="32">
        <f t="shared" ref="BB63:BB66" si="7">COUNTIF(D63:AZ63,"A")</f>
        <v>2</v>
      </c>
      <c r="BC63" s="32">
        <f t="shared" ref="BC63:BC66" si="8">COUNTIF(D63:AZ63,"p")</f>
        <v>5</v>
      </c>
      <c r="BD63" s="32">
        <f t="shared" si="4"/>
        <v>7</v>
      </c>
      <c r="BE63" s="33">
        <f t="shared" si="5"/>
        <v>71.42857143</v>
      </c>
    </row>
    <row r="64">
      <c r="A64" s="23">
        <v>60.0</v>
      </c>
      <c r="B64" s="24" t="s">
        <v>189</v>
      </c>
      <c r="C64" s="25" t="s">
        <v>190</v>
      </c>
      <c r="D64" s="26" t="s">
        <v>28</v>
      </c>
      <c r="E64" s="125" t="s">
        <v>28</v>
      </c>
      <c r="F64" s="126" t="s">
        <v>22</v>
      </c>
      <c r="G64" s="125" t="s">
        <v>28</v>
      </c>
      <c r="H64" s="102" t="s">
        <v>28</v>
      </c>
      <c r="I64" s="104" t="s">
        <v>22</v>
      </c>
      <c r="J64" s="102" t="s">
        <v>28</v>
      </c>
      <c r="K64" s="120"/>
      <c r="L64" s="96"/>
      <c r="M64" s="96"/>
      <c r="N64" s="96"/>
      <c r="O64" s="96"/>
      <c r="P64" s="96"/>
      <c r="Q64" s="96"/>
      <c r="R64" s="96"/>
      <c r="S64" s="96"/>
      <c r="T64" s="51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32">
        <f t="shared" si="6"/>
        <v>0</v>
      </c>
      <c r="BB64" s="32">
        <f t="shared" si="7"/>
        <v>2</v>
      </c>
      <c r="BC64" s="32">
        <f t="shared" si="8"/>
        <v>5</v>
      </c>
      <c r="BD64" s="32">
        <f t="shared" si="4"/>
        <v>7</v>
      </c>
      <c r="BE64" s="33">
        <f t="shared" si="5"/>
        <v>71.42857143</v>
      </c>
    </row>
    <row r="65">
      <c r="A65" s="23">
        <v>61.0</v>
      </c>
      <c r="B65" s="24" t="s">
        <v>311</v>
      </c>
      <c r="C65" s="25" t="s">
        <v>312</v>
      </c>
      <c r="D65" s="26" t="s">
        <v>28</v>
      </c>
      <c r="E65" s="125" t="s">
        <v>28</v>
      </c>
      <c r="F65" s="125" t="s">
        <v>28</v>
      </c>
      <c r="G65" s="125" t="s">
        <v>28</v>
      </c>
      <c r="H65" s="104" t="s">
        <v>22</v>
      </c>
      <c r="I65" s="104" t="s">
        <v>22</v>
      </c>
      <c r="J65" s="104" t="s">
        <v>22</v>
      </c>
      <c r="K65" s="120"/>
      <c r="L65" s="96"/>
      <c r="M65" s="96"/>
      <c r="N65" s="96"/>
      <c r="O65" s="96"/>
      <c r="P65" s="96"/>
      <c r="Q65" s="96"/>
      <c r="R65" s="96"/>
      <c r="S65" s="96"/>
      <c r="T65" s="45"/>
      <c r="U65" s="45"/>
      <c r="V65" s="45"/>
      <c r="W65" s="45"/>
      <c r="X65" s="45"/>
      <c r="Y65" s="45"/>
      <c r="Z65" s="45"/>
      <c r="AA65" s="45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32">
        <f t="shared" si="6"/>
        <v>0</v>
      </c>
      <c r="BB65" s="32">
        <f t="shared" si="7"/>
        <v>3</v>
      </c>
      <c r="BC65" s="32">
        <f t="shared" si="8"/>
        <v>4</v>
      </c>
      <c r="BD65" s="32">
        <f t="shared" si="4"/>
        <v>7</v>
      </c>
      <c r="BE65" s="33">
        <f t="shared" si="5"/>
        <v>57.14285714</v>
      </c>
    </row>
    <row r="66">
      <c r="A66" s="55"/>
      <c r="B66" s="55"/>
      <c r="C66" s="56" t="s">
        <v>191</v>
      </c>
      <c r="D66" s="57">
        <f t="shared" ref="D66:AZ66" si="9">COUNTIF(D5:D64,"P")+COUNTIF(D5:D64,"L")</f>
        <v>49</v>
      </c>
      <c r="E66" s="57">
        <f t="shared" si="9"/>
        <v>39</v>
      </c>
      <c r="F66" s="57">
        <f t="shared" si="9"/>
        <v>29</v>
      </c>
      <c r="G66" s="57">
        <f t="shared" si="9"/>
        <v>38</v>
      </c>
      <c r="H66" s="57">
        <f t="shared" si="9"/>
        <v>38</v>
      </c>
      <c r="I66" s="57">
        <f t="shared" si="9"/>
        <v>45</v>
      </c>
      <c r="J66" s="57">
        <f t="shared" si="9"/>
        <v>56</v>
      </c>
      <c r="K66" s="57">
        <f t="shared" si="9"/>
        <v>0</v>
      </c>
      <c r="L66" s="57">
        <f t="shared" si="9"/>
        <v>0</v>
      </c>
      <c r="M66" s="57">
        <f t="shared" si="9"/>
        <v>0</v>
      </c>
      <c r="N66" s="57">
        <f t="shared" si="9"/>
        <v>0</v>
      </c>
      <c r="O66" s="57">
        <f t="shared" si="9"/>
        <v>0</v>
      </c>
      <c r="P66" s="57">
        <f t="shared" si="9"/>
        <v>0</v>
      </c>
      <c r="Q66" s="57">
        <f t="shared" si="9"/>
        <v>0</v>
      </c>
      <c r="R66" s="57">
        <f t="shared" si="9"/>
        <v>0</v>
      </c>
      <c r="S66" s="57">
        <f t="shared" si="9"/>
        <v>0</v>
      </c>
      <c r="T66" s="57">
        <f t="shared" si="9"/>
        <v>0</v>
      </c>
      <c r="U66" s="57">
        <f t="shared" si="9"/>
        <v>0</v>
      </c>
      <c r="V66" s="57">
        <f t="shared" si="9"/>
        <v>0</v>
      </c>
      <c r="W66" s="57">
        <f t="shared" si="9"/>
        <v>0</v>
      </c>
      <c r="X66" s="57">
        <f t="shared" si="9"/>
        <v>0</v>
      </c>
      <c r="Y66" s="57">
        <f t="shared" si="9"/>
        <v>0</v>
      </c>
      <c r="Z66" s="57">
        <f t="shared" si="9"/>
        <v>0</v>
      </c>
      <c r="AA66" s="57">
        <f t="shared" si="9"/>
        <v>0</v>
      </c>
      <c r="AB66" s="57">
        <f t="shared" si="9"/>
        <v>0</v>
      </c>
      <c r="AC66" s="57">
        <f t="shared" si="9"/>
        <v>0</v>
      </c>
      <c r="AD66" s="57">
        <f t="shared" si="9"/>
        <v>0</v>
      </c>
      <c r="AE66" s="57">
        <f t="shared" si="9"/>
        <v>0</v>
      </c>
      <c r="AF66" s="57">
        <f t="shared" si="9"/>
        <v>0</v>
      </c>
      <c r="AG66" s="57">
        <f t="shared" si="9"/>
        <v>0</v>
      </c>
      <c r="AH66" s="57">
        <f t="shared" si="9"/>
        <v>0</v>
      </c>
      <c r="AI66" s="57">
        <f t="shared" si="9"/>
        <v>0</v>
      </c>
      <c r="AJ66" s="57">
        <f t="shared" si="9"/>
        <v>0</v>
      </c>
      <c r="AK66" s="57">
        <f t="shared" si="9"/>
        <v>0</v>
      </c>
      <c r="AL66" s="57">
        <f t="shared" si="9"/>
        <v>0</v>
      </c>
      <c r="AM66" s="57">
        <f t="shared" si="9"/>
        <v>0</v>
      </c>
      <c r="AN66" s="57">
        <f t="shared" si="9"/>
        <v>0</v>
      </c>
      <c r="AO66" s="57">
        <f t="shared" si="9"/>
        <v>0</v>
      </c>
      <c r="AP66" s="57">
        <f t="shared" si="9"/>
        <v>0</v>
      </c>
      <c r="AQ66" s="57">
        <f t="shared" si="9"/>
        <v>0</v>
      </c>
      <c r="AR66" s="57">
        <f t="shared" si="9"/>
        <v>0</v>
      </c>
      <c r="AS66" s="57">
        <f t="shared" si="9"/>
        <v>0</v>
      </c>
      <c r="AT66" s="57">
        <f t="shared" si="9"/>
        <v>0</v>
      </c>
      <c r="AU66" s="57">
        <f t="shared" si="9"/>
        <v>0</v>
      </c>
      <c r="AV66" s="57">
        <f t="shared" si="9"/>
        <v>0</v>
      </c>
      <c r="AW66" s="57">
        <f t="shared" si="9"/>
        <v>0</v>
      </c>
      <c r="AX66" s="57">
        <f t="shared" si="9"/>
        <v>0</v>
      </c>
      <c r="AY66" s="57">
        <f t="shared" si="9"/>
        <v>0</v>
      </c>
      <c r="AZ66" s="57">
        <f t="shared" si="9"/>
        <v>0</v>
      </c>
      <c r="BA66" s="32">
        <f t="shared" si="6"/>
        <v>0</v>
      </c>
      <c r="BB66" s="32">
        <f t="shared" si="7"/>
        <v>0</v>
      </c>
      <c r="BC66" s="32">
        <f t="shared" si="8"/>
        <v>0</v>
      </c>
      <c r="BD66" s="32">
        <f t="shared" si="4"/>
        <v>0</v>
      </c>
      <c r="BE66" s="33" t="str">
        <f t="shared" si="5"/>
        <v>#DIV/0!</v>
      </c>
    </row>
    <row r="67">
      <c r="A67" s="83" t="s">
        <v>502</v>
      </c>
      <c r="B67" s="55"/>
      <c r="C67" s="59" t="s">
        <v>192</v>
      </c>
      <c r="D67" s="114">
        <v>61.0</v>
      </c>
      <c r="E67" s="114">
        <v>61.0</v>
      </c>
      <c r="F67" s="114">
        <v>61.0</v>
      </c>
      <c r="G67" s="114">
        <v>61.0</v>
      </c>
      <c r="H67" s="114">
        <v>61.0</v>
      </c>
      <c r="I67" s="114">
        <v>61.0</v>
      </c>
      <c r="J67" s="114">
        <v>61.0</v>
      </c>
      <c r="K67" s="114">
        <v>61.0</v>
      </c>
      <c r="L67" s="114">
        <v>61.0</v>
      </c>
      <c r="M67" s="114">
        <v>61.0</v>
      </c>
      <c r="N67" s="114">
        <v>61.0</v>
      </c>
      <c r="O67" s="114">
        <v>61.0</v>
      </c>
      <c r="P67" s="114">
        <v>61.0</v>
      </c>
      <c r="Q67" s="114">
        <v>61.0</v>
      </c>
      <c r="R67" s="114">
        <v>61.0</v>
      </c>
      <c r="S67" s="114">
        <v>61.0</v>
      </c>
      <c r="T67" s="114">
        <v>61.0</v>
      </c>
      <c r="U67" s="114">
        <v>61.0</v>
      </c>
      <c r="V67" s="114">
        <v>61.0</v>
      </c>
      <c r="W67" s="114">
        <v>61.0</v>
      </c>
      <c r="X67" s="114">
        <v>61.0</v>
      </c>
      <c r="Y67" s="114">
        <v>61.0</v>
      </c>
      <c r="Z67" s="114">
        <v>61.0</v>
      </c>
      <c r="AA67" s="114">
        <v>61.0</v>
      </c>
      <c r="AB67" s="114">
        <v>61.0</v>
      </c>
      <c r="AC67" s="114">
        <v>61.0</v>
      </c>
      <c r="AD67" s="114">
        <v>61.0</v>
      </c>
      <c r="AE67" s="114">
        <v>61.0</v>
      </c>
      <c r="AF67" s="114">
        <v>61.0</v>
      </c>
      <c r="AG67" s="114">
        <v>61.0</v>
      </c>
      <c r="AH67" s="114">
        <v>61.0</v>
      </c>
      <c r="AI67" s="114">
        <v>61.0</v>
      </c>
      <c r="AJ67" s="114">
        <v>61.0</v>
      </c>
      <c r="AK67" s="114">
        <v>61.0</v>
      </c>
      <c r="AL67" s="114">
        <v>61.0</v>
      </c>
      <c r="AM67" s="114">
        <v>61.0</v>
      </c>
      <c r="AN67" s="114">
        <v>61.0</v>
      </c>
      <c r="AO67" s="114">
        <v>61.0</v>
      </c>
      <c r="AP67" s="114">
        <v>61.0</v>
      </c>
      <c r="AQ67" s="114">
        <v>61.0</v>
      </c>
      <c r="AR67" s="114">
        <v>61.0</v>
      </c>
      <c r="AS67" s="114">
        <v>61.0</v>
      </c>
      <c r="AT67" s="114">
        <v>61.0</v>
      </c>
      <c r="AU67" s="114">
        <v>61.0</v>
      </c>
      <c r="AV67" s="114">
        <v>61.0</v>
      </c>
      <c r="AW67" s="114">
        <v>61.0</v>
      </c>
      <c r="AX67" s="114">
        <v>61.0</v>
      </c>
      <c r="AY67" s="114">
        <v>61.0</v>
      </c>
      <c r="AZ67" s="114">
        <v>61.0</v>
      </c>
      <c r="BA67" s="34"/>
      <c r="BB67" s="34"/>
      <c r="BC67" s="34"/>
      <c r="BD67" s="34"/>
      <c r="BE67" s="61"/>
    </row>
    <row r="68">
      <c r="A68" s="55"/>
      <c r="B68" s="55"/>
      <c r="C68" s="129" t="s">
        <v>503</v>
      </c>
      <c r="D68" s="63">
        <f t="shared" ref="D68:AZ68" si="10">D67-D66</f>
        <v>12</v>
      </c>
      <c r="E68" s="63">
        <f t="shared" si="10"/>
        <v>22</v>
      </c>
      <c r="F68" s="63">
        <f t="shared" si="10"/>
        <v>32</v>
      </c>
      <c r="G68" s="63">
        <f t="shared" si="10"/>
        <v>23</v>
      </c>
      <c r="H68" s="63">
        <f t="shared" si="10"/>
        <v>23</v>
      </c>
      <c r="I68" s="63">
        <f t="shared" si="10"/>
        <v>16</v>
      </c>
      <c r="J68" s="63">
        <f t="shared" si="10"/>
        <v>5</v>
      </c>
      <c r="K68" s="63">
        <f t="shared" si="10"/>
        <v>61</v>
      </c>
      <c r="L68" s="63">
        <f t="shared" si="10"/>
        <v>61</v>
      </c>
      <c r="M68" s="63">
        <f t="shared" si="10"/>
        <v>61</v>
      </c>
      <c r="N68" s="63">
        <f t="shared" si="10"/>
        <v>61</v>
      </c>
      <c r="O68" s="63">
        <f t="shared" si="10"/>
        <v>61</v>
      </c>
      <c r="P68" s="63">
        <f t="shared" si="10"/>
        <v>61</v>
      </c>
      <c r="Q68" s="63">
        <f t="shared" si="10"/>
        <v>61</v>
      </c>
      <c r="R68" s="63">
        <f t="shared" si="10"/>
        <v>61</v>
      </c>
      <c r="S68" s="63">
        <f t="shared" si="10"/>
        <v>61</v>
      </c>
      <c r="T68" s="63">
        <f t="shared" si="10"/>
        <v>61</v>
      </c>
      <c r="U68" s="63">
        <f t="shared" si="10"/>
        <v>61</v>
      </c>
      <c r="V68" s="63">
        <f t="shared" si="10"/>
        <v>61</v>
      </c>
      <c r="W68" s="63">
        <f t="shared" si="10"/>
        <v>61</v>
      </c>
      <c r="X68" s="63">
        <f t="shared" si="10"/>
        <v>61</v>
      </c>
      <c r="Y68" s="63">
        <f t="shared" si="10"/>
        <v>61</v>
      </c>
      <c r="Z68" s="63">
        <f t="shared" si="10"/>
        <v>61</v>
      </c>
      <c r="AA68" s="63">
        <f t="shared" si="10"/>
        <v>61</v>
      </c>
      <c r="AB68" s="63">
        <f t="shared" si="10"/>
        <v>61</v>
      </c>
      <c r="AC68" s="63">
        <f t="shared" si="10"/>
        <v>61</v>
      </c>
      <c r="AD68" s="63">
        <f t="shared" si="10"/>
        <v>61</v>
      </c>
      <c r="AE68" s="63">
        <f t="shared" si="10"/>
        <v>61</v>
      </c>
      <c r="AF68" s="63">
        <f t="shared" si="10"/>
        <v>61</v>
      </c>
      <c r="AG68" s="63">
        <f t="shared" si="10"/>
        <v>61</v>
      </c>
      <c r="AH68" s="63">
        <f t="shared" si="10"/>
        <v>61</v>
      </c>
      <c r="AI68" s="63">
        <f t="shared" si="10"/>
        <v>61</v>
      </c>
      <c r="AJ68" s="63">
        <f t="shared" si="10"/>
        <v>61</v>
      </c>
      <c r="AK68" s="63">
        <f t="shared" si="10"/>
        <v>61</v>
      </c>
      <c r="AL68" s="63">
        <f t="shared" si="10"/>
        <v>61</v>
      </c>
      <c r="AM68" s="63">
        <f t="shared" si="10"/>
        <v>61</v>
      </c>
      <c r="AN68" s="63">
        <f t="shared" si="10"/>
        <v>61</v>
      </c>
      <c r="AO68" s="63">
        <f t="shared" si="10"/>
        <v>61</v>
      </c>
      <c r="AP68" s="63">
        <f t="shared" si="10"/>
        <v>61</v>
      </c>
      <c r="AQ68" s="63">
        <f t="shared" si="10"/>
        <v>61</v>
      </c>
      <c r="AR68" s="63">
        <f t="shared" si="10"/>
        <v>61</v>
      </c>
      <c r="AS68" s="63">
        <f t="shared" si="10"/>
        <v>61</v>
      </c>
      <c r="AT68" s="63">
        <f t="shared" si="10"/>
        <v>61</v>
      </c>
      <c r="AU68" s="63">
        <f t="shared" si="10"/>
        <v>61</v>
      </c>
      <c r="AV68" s="63">
        <f t="shared" si="10"/>
        <v>61</v>
      </c>
      <c r="AW68" s="63">
        <f t="shared" si="10"/>
        <v>61</v>
      </c>
      <c r="AX68" s="63">
        <f t="shared" si="10"/>
        <v>61</v>
      </c>
      <c r="AY68" s="63">
        <f t="shared" si="10"/>
        <v>61</v>
      </c>
      <c r="AZ68" s="63">
        <f t="shared" si="10"/>
        <v>61</v>
      </c>
      <c r="BA68" s="34"/>
      <c r="BB68" s="34"/>
      <c r="BC68" s="34"/>
      <c r="BD68" s="34"/>
      <c r="BE68" s="61"/>
    </row>
    <row r="69">
      <c r="A69" s="64"/>
      <c r="B69" s="64"/>
      <c r="C69" s="64"/>
      <c r="D69" s="116"/>
      <c r="E69" s="116"/>
      <c r="F69" s="116"/>
      <c r="G69" s="116"/>
      <c r="H69" s="130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</row>
    <row r="70">
      <c r="A70" s="64"/>
      <c r="B70" s="64"/>
      <c r="C70" s="64"/>
      <c r="D70" s="116"/>
      <c r="E70" s="116"/>
      <c r="F70" s="116"/>
      <c r="G70" s="116"/>
      <c r="H70" s="130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</row>
    <row r="71">
      <c r="A71" s="64"/>
      <c r="B71" s="64"/>
      <c r="C71" s="64"/>
      <c r="D71" s="116"/>
      <c r="E71" s="116"/>
      <c r="F71" s="116"/>
      <c r="G71" s="116"/>
      <c r="H71" s="130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</row>
    <row r="72">
      <c r="A72" s="64"/>
      <c r="B72" s="64"/>
      <c r="C72" s="64"/>
      <c r="D72" s="116"/>
      <c r="E72" s="116"/>
      <c r="F72" s="116"/>
      <c r="G72" s="116"/>
      <c r="H72" s="130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</row>
    <row r="73">
      <c r="A73" s="1" t="s">
        <v>504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3"/>
    </row>
    <row r="74">
      <c r="A74" s="4" t="s">
        <v>1</v>
      </c>
      <c r="B74" s="5" t="s">
        <v>2</v>
      </c>
      <c r="C74" s="6" t="s">
        <v>3</v>
      </c>
      <c r="D74" s="7" t="s">
        <v>494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3"/>
    </row>
    <row r="75" ht="62.25" customHeight="1">
      <c r="A75" s="8"/>
      <c r="B75" s="8"/>
      <c r="C75" s="8"/>
      <c r="D75" s="79" t="s">
        <v>475</v>
      </c>
      <c r="E75" s="79" t="s">
        <v>475</v>
      </c>
      <c r="F75" s="79" t="s">
        <v>475</v>
      </c>
      <c r="G75" s="79" t="s">
        <v>475</v>
      </c>
      <c r="H75" s="79" t="s">
        <v>475</v>
      </c>
      <c r="I75" s="79" t="s">
        <v>475</v>
      </c>
      <c r="J75" s="79" t="s">
        <v>475</v>
      </c>
      <c r="K75" s="79" t="s">
        <v>374</v>
      </c>
      <c r="L75" s="79"/>
      <c r="M75" s="65"/>
      <c r="N75" s="65"/>
      <c r="O75" s="65"/>
      <c r="P75" s="65"/>
      <c r="Q75" s="65"/>
      <c r="R75" s="79"/>
      <c r="S75" s="65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9"/>
      <c r="AY75" s="69"/>
      <c r="AZ75" s="68"/>
      <c r="BA75" s="18" t="s">
        <v>21</v>
      </c>
      <c r="BB75" s="19" t="s">
        <v>22</v>
      </c>
      <c r="BC75" s="20" t="s">
        <v>23</v>
      </c>
      <c r="BD75" s="21" t="s">
        <v>24</v>
      </c>
      <c r="BE75" s="22" t="s">
        <v>25</v>
      </c>
    </row>
    <row r="76" ht="57.75" customHeight="1">
      <c r="A76" s="15"/>
      <c r="B76" s="15"/>
      <c r="C76" s="15"/>
      <c r="D76" s="65" t="s">
        <v>505</v>
      </c>
      <c r="E76" s="65" t="s">
        <v>506</v>
      </c>
      <c r="F76" s="65" t="s">
        <v>507</v>
      </c>
      <c r="G76" s="79" t="s">
        <v>508</v>
      </c>
      <c r="H76" s="79" t="s">
        <v>509</v>
      </c>
      <c r="I76" s="79" t="s">
        <v>510</v>
      </c>
      <c r="J76" s="79" t="s">
        <v>511</v>
      </c>
      <c r="K76" s="65" t="s">
        <v>501</v>
      </c>
      <c r="L76" s="66"/>
      <c r="M76" s="66"/>
      <c r="N76" s="66"/>
      <c r="O76" s="66"/>
      <c r="P76" s="66"/>
      <c r="Q76" s="84"/>
      <c r="R76" s="94"/>
      <c r="S76" s="87"/>
      <c r="T76" s="69"/>
      <c r="U76" s="69"/>
      <c r="V76" s="69"/>
      <c r="W76" s="69"/>
      <c r="X76" s="69"/>
      <c r="Y76" s="69"/>
      <c r="Z76" s="69"/>
      <c r="AA76" s="68"/>
      <c r="AB76" s="68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8"/>
      <c r="BA76" s="32">
        <f t="shared" ref="BA76:BA138" si="11">COUNTIF(D76:AZ76,"L")</f>
        <v>0</v>
      </c>
      <c r="BB76" s="32">
        <f t="shared" ref="BB76:BB138" si="12">COUNTIF(D76:AZ76,"A")</f>
        <v>0</v>
      </c>
      <c r="BC76" s="32">
        <f t="shared" ref="BC76:BC138" si="13">COUNTIF(D76:AZ76,"p")</f>
        <v>0</v>
      </c>
      <c r="BD76" s="32">
        <f t="shared" ref="BD76:BD138" si="14">SUM(BA76:BC76)</f>
        <v>0</v>
      </c>
      <c r="BE76" s="33" t="str">
        <f t="shared" ref="BE76:BE138" si="15">SUM(BA76,BC76)/BD76*100</f>
        <v>#DIV/0!</v>
      </c>
    </row>
    <row r="77">
      <c r="A77" s="24">
        <v>1.0</v>
      </c>
      <c r="B77" s="24" t="s">
        <v>207</v>
      </c>
      <c r="C77" s="25" t="s">
        <v>208</v>
      </c>
      <c r="D77" s="102" t="s">
        <v>28</v>
      </c>
      <c r="E77" s="102" t="s">
        <v>28</v>
      </c>
      <c r="F77" s="125" t="s">
        <v>28</v>
      </c>
      <c r="G77" s="125" t="s">
        <v>28</v>
      </c>
      <c r="H77" s="131" t="s">
        <v>28</v>
      </c>
      <c r="I77" s="132" t="s">
        <v>22</v>
      </c>
      <c r="J77" s="131" t="s">
        <v>28</v>
      </c>
      <c r="K77" s="131" t="s">
        <v>28</v>
      </c>
      <c r="L77" s="96"/>
      <c r="M77" s="82"/>
      <c r="N77" s="96"/>
      <c r="O77" s="96"/>
      <c r="P77" s="96"/>
      <c r="Q77" s="96"/>
      <c r="R77" s="96"/>
      <c r="S77" s="96"/>
      <c r="T77" s="45"/>
      <c r="U77" s="45"/>
      <c r="V77" s="45"/>
      <c r="W77" s="45"/>
      <c r="X77" s="45"/>
      <c r="Y77" s="45"/>
      <c r="Z77" s="45"/>
      <c r="AA77" s="45"/>
      <c r="AB77" s="71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32">
        <f t="shared" si="11"/>
        <v>0</v>
      </c>
      <c r="BB77" s="32">
        <f t="shared" si="12"/>
        <v>1</v>
      </c>
      <c r="BC77" s="32">
        <f t="shared" si="13"/>
        <v>7</v>
      </c>
      <c r="BD77" s="32">
        <f t="shared" si="14"/>
        <v>8</v>
      </c>
      <c r="BE77" s="33">
        <f t="shared" si="15"/>
        <v>87.5</v>
      </c>
    </row>
    <row r="78">
      <c r="A78" s="24">
        <v>2.0</v>
      </c>
      <c r="B78" s="24" t="s">
        <v>209</v>
      </c>
      <c r="C78" s="25" t="s">
        <v>210</v>
      </c>
      <c r="D78" s="104" t="s">
        <v>22</v>
      </c>
      <c r="E78" s="102" t="s">
        <v>28</v>
      </c>
      <c r="F78" s="125" t="s">
        <v>28</v>
      </c>
      <c r="G78" s="125" t="s">
        <v>28</v>
      </c>
      <c r="H78" s="132" t="s">
        <v>22</v>
      </c>
      <c r="I78" s="132" t="s">
        <v>22</v>
      </c>
      <c r="J78" s="132" t="s">
        <v>22</v>
      </c>
      <c r="K78" s="131" t="s">
        <v>28</v>
      </c>
      <c r="L78" s="96"/>
      <c r="M78" s="96"/>
      <c r="N78" s="96"/>
      <c r="O78" s="96"/>
      <c r="P78" s="96"/>
      <c r="Q78" s="96"/>
      <c r="R78" s="96"/>
      <c r="S78" s="96"/>
      <c r="T78" s="45"/>
      <c r="U78" s="45"/>
      <c r="V78" s="45"/>
      <c r="W78" s="45"/>
      <c r="X78" s="45"/>
      <c r="Y78" s="45"/>
      <c r="Z78" s="45"/>
      <c r="AA78" s="45"/>
      <c r="AB78" s="46"/>
      <c r="AC78" s="46"/>
      <c r="AD78" s="46"/>
      <c r="AE78" s="55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32">
        <f t="shared" si="11"/>
        <v>0</v>
      </c>
      <c r="BB78" s="32">
        <f t="shared" si="12"/>
        <v>4</v>
      </c>
      <c r="BC78" s="32">
        <f t="shared" si="13"/>
        <v>4</v>
      </c>
      <c r="BD78" s="32">
        <f t="shared" si="14"/>
        <v>8</v>
      </c>
      <c r="BE78" s="33">
        <f t="shared" si="15"/>
        <v>50</v>
      </c>
    </row>
    <row r="79">
      <c r="A79" s="24">
        <v>3.0</v>
      </c>
      <c r="B79" s="24" t="s">
        <v>211</v>
      </c>
      <c r="C79" s="25" t="s">
        <v>212</v>
      </c>
      <c r="D79" s="102" t="s">
        <v>28</v>
      </c>
      <c r="E79" s="104" t="s">
        <v>22</v>
      </c>
      <c r="F79" s="126" t="s">
        <v>22</v>
      </c>
      <c r="G79" s="125" t="s">
        <v>28</v>
      </c>
      <c r="H79" s="131" t="s">
        <v>28</v>
      </c>
      <c r="I79" s="131" t="s">
        <v>28</v>
      </c>
      <c r="J79" s="131" t="s">
        <v>28</v>
      </c>
      <c r="K79" s="131" t="s">
        <v>28</v>
      </c>
      <c r="L79" s="96"/>
      <c r="M79" s="96"/>
      <c r="N79" s="96"/>
      <c r="O79" s="96"/>
      <c r="P79" s="96"/>
      <c r="Q79" s="96"/>
      <c r="R79" s="96"/>
      <c r="S79" s="96"/>
      <c r="T79" s="28"/>
      <c r="U79" s="29"/>
      <c r="V79" s="29"/>
      <c r="W79" s="29"/>
      <c r="X79" s="29"/>
      <c r="Y79" s="29"/>
      <c r="Z79" s="29"/>
      <c r="AA79" s="29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2">
        <f t="shared" si="11"/>
        <v>0</v>
      </c>
      <c r="BB79" s="32">
        <f t="shared" si="12"/>
        <v>2</v>
      </c>
      <c r="BC79" s="32">
        <f t="shared" si="13"/>
        <v>6</v>
      </c>
      <c r="BD79" s="32">
        <f t="shared" si="14"/>
        <v>8</v>
      </c>
      <c r="BE79" s="33">
        <f t="shared" si="15"/>
        <v>75</v>
      </c>
    </row>
    <row r="80">
      <c r="A80" s="24">
        <v>4.0</v>
      </c>
      <c r="B80" s="24" t="s">
        <v>213</v>
      </c>
      <c r="C80" s="25" t="s">
        <v>214</v>
      </c>
      <c r="D80" s="102" t="s">
        <v>28</v>
      </c>
      <c r="E80" s="104" t="s">
        <v>22</v>
      </c>
      <c r="F80" s="126" t="s">
        <v>22</v>
      </c>
      <c r="G80" s="125" t="s">
        <v>28</v>
      </c>
      <c r="H80" s="131" t="s">
        <v>28</v>
      </c>
      <c r="I80" s="131" t="s">
        <v>28</v>
      </c>
      <c r="J80" s="131" t="s">
        <v>28</v>
      </c>
      <c r="K80" s="131" t="s">
        <v>28</v>
      </c>
      <c r="L80" s="96"/>
      <c r="M80" s="96"/>
      <c r="N80" s="96"/>
      <c r="O80" s="96"/>
      <c r="P80" s="96"/>
      <c r="Q80" s="96"/>
      <c r="R80" s="96"/>
      <c r="S80" s="96"/>
      <c r="T80" s="30"/>
      <c r="U80" s="29"/>
      <c r="V80" s="29"/>
      <c r="W80" s="29"/>
      <c r="X80" s="29"/>
      <c r="Y80" s="29"/>
      <c r="Z80" s="29"/>
      <c r="AA80" s="29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2">
        <f t="shared" si="11"/>
        <v>0</v>
      </c>
      <c r="BB80" s="32">
        <f t="shared" si="12"/>
        <v>2</v>
      </c>
      <c r="BC80" s="32">
        <f t="shared" si="13"/>
        <v>6</v>
      </c>
      <c r="BD80" s="32">
        <f t="shared" si="14"/>
        <v>8</v>
      </c>
      <c r="BE80" s="33">
        <f t="shared" si="15"/>
        <v>75</v>
      </c>
    </row>
    <row r="81">
      <c r="A81" s="24">
        <v>5.0</v>
      </c>
      <c r="B81" s="24" t="s">
        <v>215</v>
      </c>
      <c r="C81" s="25" t="s">
        <v>216</v>
      </c>
      <c r="D81" s="104" t="s">
        <v>22</v>
      </c>
      <c r="E81" s="102" t="s">
        <v>28</v>
      </c>
      <c r="F81" s="125" t="s">
        <v>28</v>
      </c>
      <c r="G81" s="133" t="s">
        <v>22</v>
      </c>
      <c r="H81" s="131" t="s">
        <v>28</v>
      </c>
      <c r="I81" s="132" t="s">
        <v>22</v>
      </c>
      <c r="J81" s="132" t="s">
        <v>22</v>
      </c>
      <c r="K81" s="131" t="s">
        <v>28</v>
      </c>
      <c r="L81" s="82"/>
      <c r="M81" s="96"/>
      <c r="N81" s="96"/>
      <c r="O81" s="96"/>
      <c r="P81" s="96"/>
      <c r="Q81" s="96"/>
      <c r="R81" s="96"/>
      <c r="S81" s="82"/>
      <c r="T81" s="45"/>
      <c r="U81" s="45"/>
      <c r="V81" s="45"/>
      <c r="W81" s="45"/>
      <c r="X81" s="45"/>
      <c r="Y81" s="45"/>
      <c r="Z81" s="45"/>
      <c r="AA81" s="45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32">
        <f t="shared" si="11"/>
        <v>0</v>
      </c>
      <c r="BB81" s="32">
        <f t="shared" si="12"/>
        <v>4</v>
      </c>
      <c r="BC81" s="32">
        <f t="shared" si="13"/>
        <v>4</v>
      </c>
      <c r="BD81" s="32">
        <f t="shared" si="14"/>
        <v>8</v>
      </c>
      <c r="BE81" s="33">
        <f t="shared" si="15"/>
        <v>50</v>
      </c>
    </row>
    <row r="82">
      <c r="A82" s="24">
        <v>6.0</v>
      </c>
      <c r="B82" s="24" t="s">
        <v>217</v>
      </c>
      <c r="C82" s="25" t="s">
        <v>218</v>
      </c>
      <c r="D82" s="104" t="s">
        <v>22</v>
      </c>
      <c r="E82" s="104" t="s">
        <v>22</v>
      </c>
      <c r="F82" s="126" t="s">
        <v>22</v>
      </c>
      <c r="G82" s="125" t="s">
        <v>28</v>
      </c>
      <c r="H82" s="132" t="s">
        <v>22</v>
      </c>
      <c r="I82" s="131" t="s">
        <v>28</v>
      </c>
      <c r="J82" s="131" t="s">
        <v>28</v>
      </c>
      <c r="K82" s="131" t="s">
        <v>28</v>
      </c>
      <c r="L82" s="96"/>
      <c r="M82" s="96"/>
      <c r="N82" s="96"/>
      <c r="O82" s="96"/>
      <c r="P82" s="96"/>
      <c r="Q82" s="96"/>
      <c r="R82" s="96"/>
      <c r="S82" s="96"/>
      <c r="T82" s="45"/>
      <c r="U82" s="45"/>
      <c r="V82" s="45"/>
      <c r="W82" s="45"/>
      <c r="X82" s="45"/>
      <c r="Y82" s="45"/>
      <c r="Z82" s="45"/>
      <c r="AA82" s="45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32">
        <f t="shared" si="11"/>
        <v>0</v>
      </c>
      <c r="BB82" s="32">
        <f t="shared" si="12"/>
        <v>4</v>
      </c>
      <c r="BC82" s="32">
        <f t="shared" si="13"/>
        <v>4</v>
      </c>
      <c r="BD82" s="32">
        <f t="shared" si="14"/>
        <v>8</v>
      </c>
      <c r="BE82" s="33">
        <f t="shared" si="15"/>
        <v>50</v>
      </c>
    </row>
    <row r="83">
      <c r="A83" s="24">
        <v>7.0</v>
      </c>
      <c r="B83" s="24" t="s">
        <v>221</v>
      </c>
      <c r="C83" s="25" t="s">
        <v>222</v>
      </c>
      <c r="D83" s="102" t="s">
        <v>28</v>
      </c>
      <c r="E83" s="102" t="s">
        <v>28</v>
      </c>
      <c r="F83" s="125" t="s">
        <v>28</v>
      </c>
      <c r="G83" s="125" t="s">
        <v>28</v>
      </c>
      <c r="H83" s="131" t="s">
        <v>28</v>
      </c>
      <c r="I83" s="131" t="s">
        <v>28</v>
      </c>
      <c r="J83" s="131" t="s">
        <v>28</v>
      </c>
      <c r="K83" s="131" t="s">
        <v>28</v>
      </c>
      <c r="L83" s="96"/>
      <c r="M83" s="96"/>
      <c r="N83" s="96"/>
      <c r="O83" s="96"/>
      <c r="P83" s="96"/>
      <c r="Q83" s="96"/>
      <c r="R83" s="96"/>
      <c r="S83" s="96"/>
      <c r="T83" s="45"/>
      <c r="U83" s="45"/>
      <c r="V83" s="45"/>
      <c r="W83" s="45"/>
      <c r="X83" s="45"/>
      <c r="Y83" s="45"/>
      <c r="Z83" s="45"/>
      <c r="AA83" s="45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32">
        <f t="shared" si="11"/>
        <v>0</v>
      </c>
      <c r="BB83" s="32">
        <f t="shared" si="12"/>
        <v>0</v>
      </c>
      <c r="BC83" s="32">
        <f t="shared" si="13"/>
        <v>8</v>
      </c>
      <c r="BD83" s="32">
        <f t="shared" si="14"/>
        <v>8</v>
      </c>
      <c r="BE83" s="33">
        <f t="shared" si="15"/>
        <v>100</v>
      </c>
    </row>
    <row r="84">
      <c r="A84" s="24">
        <v>8.0</v>
      </c>
      <c r="B84" s="24" t="s">
        <v>223</v>
      </c>
      <c r="C84" s="25" t="s">
        <v>224</v>
      </c>
      <c r="D84" s="102" t="s">
        <v>28</v>
      </c>
      <c r="E84" s="102" t="s">
        <v>28</v>
      </c>
      <c r="F84" s="125" t="s">
        <v>28</v>
      </c>
      <c r="G84" s="125" t="s">
        <v>28</v>
      </c>
      <c r="H84" s="131" t="s">
        <v>28</v>
      </c>
      <c r="I84" s="131" t="s">
        <v>28</v>
      </c>
      <c r="J84" s="132" t="s">
        <v>22</v>
      </c>
      <c r="K84" s="131" t="s">
        <v>28</v>
      </c>
      <c r="L84" s="96"/>
      <c r="M84" s="96"/>
      <c r="N84" s="96"/>
      <c r="O84" s="96"/>
      <c r="P84" s="96"/>
      <c r="Q84" s="96"/>
      <c r="R84" s="96"/>
      <c r="S84" s="96"/>
      <c r="T84" s="45"/>
      <c r="U84" s="45"/>
      <c r="V84" s="45"/>
      <c r="W84" s="45"/>
      <c r="X84" s="45"/>
      <c r="Y84" s="45"/>
      <c r="Z84" s="45"/>
      <c r="AA84" s="45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32">
        <f t="shared" si="11"/>
        <v>0</v>
      </c>
      <c r="BB84" s="32">
        <f t="shared" si="12"/>
        <v>1</v>
      </c>
      <c r="BC84" s="32">
        <f t="shared" si="13"/>
        <v>7</v>
      </c>
      <c r="BD84" s="32">
        <f t="shared" si="14"/>
        <v>8</v>
      </c>
      <c r="BE84" s="33">
        <f t="shared" si="15"/>
        <v>87.5</v>
      </c>
    </row>
    <row r="85">
      <c r="A85" s="24">
        <v>9.0</v>
      </c>
      <c r="B85" s="24" t="s">
        <v>225</v>
      </c>
      <c r="C85" s="25" t="s">
        <v>226</v>
      </c>
      <c r="D85" s="102" t="s">
        <v>28</v>
      </c>
      <c r="E85" s="102" t="s">
        <v>28</v>
      </c>
      <c r="F85" s="125" t="s">
        <v>28</v>
      </c>
      <c r="G85" s="133" t="s">
        <v>22</v>
      </c>
      <c r="H85" s="131" t="s">
        <v>28</v>
      </c>
      <c r="I85" s="132" t="s">
        <v>22</v>
      </c>
      <c r="J85" s="132" t="s">
        <v>22</v>
      </c>
      <c r="K85" s="131" t="s">
        <v>28</v>
      </c>
      <c r="L85" s="82"/>
      <c r="M85" s="96"/>
      <c r="N85" s="96"/>
      <c r="O85" s="96"/>
      <c r="P85" s="96"/>
      <c r="Q85" s="96"/>
      <c r="R85" s="96"/>
      <c r="S85" s="96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32">
        <f t="shared" si="11"/>
        <v>0</v>
      </c>
      <c r="BB85" s="32">
        <f t="shared" si="12"/>
        <v>3</v>
      </c>
      <c r="BC85" s="32">
        <f t="shared" si="13"/>
        <v>5</v>
      </c>
      <c r="BD85" s="32">
        <f t="shared" si="14"/>
        <v>8</v>
      </c>
      <c r="BE85" s="33">
        <f t="shared" si="15"/>
        <v>62.5</v>
      </c>
    </row>
    <row r="86">
      <c r="A86" s="24">
        <v>10.0</v>
      </c>
      <c r="B86" s="24" t="s">
        <v>227</v>
      </c>
      <c r="C86" s="25" t="s">
        <v>228</v>
      </c>
      <c r="D86" s="102" t="s">
        <v>28</v>
      </c>
      <c r="E86" s="102" t="s">
        <v>28</v>
      </c>
      <c r="F86" s="125" t="s">
        <v>28</v>
      </c>
      <c r="G86" s="125" t="s">
        <v>28</v>
      </c>
      <c r="H86" s="131" t="s">
        <v>28</v>
      </c>
      <c r="I86" s="131" t="s">
        <v>28</v>
      </c>
      <c r="J86" s="132" t="s">
        <v>22</v>
      </c>
      <c r="K86" s="131" t="s">
        <v>28</v>
      </c>
      <c r="L86" s="96"/>
      <c r="M86" s="96"/>
      <c r="N86" s="96"/>
      <c r="O86" s="96"/>
      <c r="P86" s="96"/>
      <c r="Q86" s="96"/>
      <c r="R86" s="96"/>
      <c r="S86" s="82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32">
        <f t="shared" si="11"/>
        <v>0</v>
      </c>
      <c r="BB86" s="32">
        <f t="shared" si="12"/>
        <v>1</v>
      </c>
      <c r="BC86" s="32">
        <f t="shared" si="13"/>
        <v>7</v>
      </c>
      <c r="BD86" s="32">
        <f t="shared" si="14"/>
        <v>8</v>
      </c>
      <c r="BE86" s="33">
        <f t="shared" si="15"/>
        <v>87.5</v>
      </c>
    </row>
    <row r="87">
      <c r="A87" s="24">
        <v>11.0</v>
      </c>
      <c r="B87" s="47" t="s">
        <v>229</v>
      </c>
      <c r="C87" s="85" t="s">
        <v>230</v>
      </c>
      <c r="D87" s="102" t="s">
        <v>28</v>
      </c>
      <c r="E87" s="102" t="s">
        <v>28</v>
      </c>
      <c r="F87" s="126" t="s">
        <v>22</v>
      </c>
      <c r="G87" s="125" t="s">
        <v>28</v>
      </c>
      <c r="H87" s="132" t="s">
        <v>22</v>
      </c>
      <c r="I87" s="131" t="s">
        <v>28</v>
      </c>
      <c r="J87" s="132" t="s">
        <v>22</v>
      </c>
      <c r="K87" s="131" t="s">
        <v>28</v>
      </c>
      <c r="L87" s="96"/>
      <c r="M87" s="96"/>
      <c r="N87" s="96"/>
      <c r="O87" s="96"/>
      <c r="P87" s="96"/>
      <c r="Q87" s="96"/>
      <c r="R87" s="96"/>
      <c r="S87" s="96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32">
        <f t="shared" si="11"/>
        <v>0</v>
      </c>
      <c r="BB87" s="32">
        <f t="shared" si="12"/>
        <v>3</v>
      </c>
      <c r="BC87" s="32">
        <f t="shared" si="13"/>
        <v>5</v>
      </c>
      <c r="BD87" s="32">
        <f t="shared" si="14"/>
        <v>8</v>
      </c>
      <c r="BE87" s="33">
        <f t="shared" si="15"/>
        <v>62.5</v>
      </c>
    </row>
    <row r="88">
      <c r="A88" s="24">
        <v>12.0</v>
      </c>
      <c r="B88" s="24" t="s">
        <v>231</v>
      </c>
      <c r="C88" s="25" t="s">
        <v>232</v>
      </c>
      <c r="D88" s="102" t="s">
        <v>28</v>
      </c>
      <c r="E88" s="102" t="s">
        <v>28</v>
      </c>
      <c r="F88" s="125" t="s">
        <v>28</v>
      </c>
      <c r="G88" s="125" t="s">
        <v>28</v>
      </c>
      <c r="H88" s="131" t="s">
        <v>28</v>
      </c>
      <c r="I88" s="131" t="s">
        <v>28</v>
      </c>
      <c r="J88" s="132" t="s">
        <v>22</v>
      </c>
      <c r="K88" s="131" t="s">
        <v>28</v>
      </c>
      <c r="L88" s="96"/>
      <c r="M88" s="96"/>
      <c r="N88" s="96"/>
      <c r="O88" s="82"/>
      <c r="P88" s="96"/>
      <c r="Q88" s="96"/>
      <c r="R88" s="96"/>
      <c r="S88" s="96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32">
        <f t="shared" si="11"/>
        <v>0</v>
      </c>
      <c r="BB88" s="32">
        <f t="shared" si="12"/>
        <v>1</v>
      </c>
      <c r="BC88" s="32">
        <f t="shared" si="13"/>
        <v>7</v>
      </c>
      <c r="BD88" s="32">
        <f t="shared" si="14"/>
        <v>8</v>
      </c>
      <c r="BE88" s="33">
        <f t="shared" si="15"/>
        <v>87.5</v>
      </c>
    </row>
    <row r="89">
      <c r="A89" s="24">
        <v>13.0</v>
      </c>
      <c r="B89" s="72" t="s">
        <v>233</v>
      </c>
      <c r="C89" s="73" t="s">
        <v>234</v>
      </c>
      <c r="D89" s="104" t="s">
        <v>22</v>
      </c>
      <c r="E89" s="102" t="s">
        <v>28</v>
      </c>
      <c r="F89" s="126" t="s">
        <v>22</v>
      </c>
      <c r="G89" s="125" t="s">
        <v>28</v>
      </c>
      <c r="H89" s="132" t="s">
        <v>22</v>
      </c>
      <c r="I89" s="132" t="s">
        <v>22</v>
      </c>
      <c r="J89" s="132" t="s">
        <v>22</v>
      </c>
      <c r="K89" s="132" t="s">
        <v>22</v>
      </c>
      <c r="L89" s="82"/>
      <c r="M89" s="96"/>
      <c r="N89" s="82"/>
      <c r="O89" s="96"/>
      <c r="P89" s="82"/>
      <c r="Q89" s="96"/>
      <c r="R89" s="96"/>
      <c r="S89" s="82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32">
        <f t="shared" si="11"/>
        <v>0</v>
      </c>
      <c r="BB89" s="32">
        <f t="shared" si="12"/>
        <v>6</v>
      </c>
      <c r="BC89" s="32">
        <f t="shared" si="13"/>
        <v>2</v>
      </c>
      <c r="BD89" s="32">
        <f t="shared" si="14"/>
        <v>8</v>
      </c>
      <c r="BE89" s="33">
        <f t="shared" si="15"/>
        <v>25</v>
      </c>
    </row>
    <row r="90">
      <c r="A90" s="24">
        <v>14.0</v>
      </c>
      <c r="B90" s="24" t="s">
        <v>235</v>
      </c>
      <c r="C90" s="25" t="s">
        <v>236</v>
      </c>
      <c r="D90" s="102" t="s">
        <v>28</v>
      </c>
      <c r="E90" s="102" t="s">
        <v>28</v>
      </c>
      <c r="F90" s="125" t="s">
        <v>28</v>
      </c>
      <c r="G90" s="125" t="s">
        <v>28</v>
      </c>
      <c r="H90" s="131" t="s">
        <v>28</v>
      </c>
      <c r="I90" s="131" t="s">
        <v>28</v>
      </c>
      <c r="J90" s="131" t="s">
        <v>28</v>
      </c>
      <c r="K90" s="131" t="s">
        <v>28</v>
      </c>
      <c r="L90" s="96"/>
      <c r="M90" s="96"/>
      <c r="N90" s="96"/>
      <c r="O90" s="96"/>
      <c r="P90" s="96"/>
      <c r="Q90" s="96"/>
      <c r="R90" s="96"/>
      <c r="S90" s="96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32">
        <f t="shared" si="11"/>
        <v>0</v>
      </c>
      <c r="BB90" s="32">
        <f t="shared" si="12"/>
        <v>0</v>
      </c>
      <c r="BC90" s="32">
        <f t="shared" si="13"/>
        <v>8</v>
      </c>
      <c r="BD90" s="32">
        <f t="shared" si="14"/>
        <v>8</v>
      </c>
      <c r="BE90" s="33">
        <f t="shared" si="15"/>
        <v>100</v>
      </c>
    </row>
    <row r="91">
      <c r="A91" s="24">
        <v>15.0</v>
      </c>
      <c r="B91" s="24" t="s">
        <v>237</v>
      </c>
      <c r="C91" s="25" t="s">
        <v>238</v>
      </c>
      <c r="D91" s="102" t="s">
        <v>28</v>
      </c>
      <c r="E91" s="104" t="s">
        <v>22</v>
      </c>
      <c r="F91" s="125" t="s">
        <v>28</v>
      </c>
      <c r="G91" s="133" t="s">
        <v>22</v>
      </c>
      <c r="H91" s="131" t="s">
        <v>28</v>
      </c>
      <c r="I91" s="132" t="s">
        <v>22</v>
      </c>
      <c r="J91" s="131" t="s">
        <v>28</v>
      </c>
      <c r="K91" s="131" t="s">
        <v>28</v>
      </c>
      <c r="L91" s="82"/>
      <c r="M91" s="96"/>
      <c r="N91" s="96"/>
      <c r="O91" s="96"/>
      <c r="P91" s="82"/>
      <c r="Q91" s="96"/>
      <c r="R91" s="96"/>
      <c r="S91" s="96"/>
      <c r="T91" s="45"/>
      <c r="U91" s="45"/>
      <c r="V91" s="45"/>
      <c r="W91" s="45"/>
      <c r="X91" s="45"/>
      <c r="Y91" s="45"/>
      <c r="Z91" s="45"/>
      <c r="AA91" s="45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32">
        <f t="shared" si="11"/>
        <v>0</v>
      </c>
      <c r="BB91" s="32">
        <f t="shared" si="12"/>
        <v>3</v>
      </c>
      <c r="BC91" s="32">
        <f t="shared" si="13"/>
        <v>5</v>
      </c>
      <c r="BD91" s="32">
        <f t="shared" si="14"/>
        <v>8</v>
      </c>
      <c r="BE91" s="33">
        <f t="shared" si="15"/>
        <v>62.5</v>
      </c>
    </row>
    <row r="92">
      <c r="A92" s="24">
        <v>16.0</v>
      </c>
      <c r="B92" s="24" t="s">
        <v>239</v>
      </c>
      <c r="C92" s="25" t="s">
        <v>240</v>
      </c>
      <c r="D92" s="102" t="s">
        <v>28</v>
      </c>
      <c r="E92" s="102" t="s">
        <v>28</v>
      </c>
      <c r="F92" s="125" t="s">
        <v>28</v>
      </c>
      <c r="G92" s="133" t="s">
        <v>22</v>
      </c>
      <c r="H92" s="131" t="s">
        <v>28</v>
      </c>
      <c r="I92" s="132" t="s">
        <v>22</v>
      </c>
      <c r="J92" s="131" t="s">
        <v>28</v>
      </c>
      <c r="K92" s="131" t="s">
        <v>28</v>
      </c>
      <c r="L92" s="82"/>
      <c r="M92" s="96"/>
      <c r="N92" s="96"/>
      <c r="O92" s="96"/>
      <c r="P92" s="82"/>
      <c r="Q92" s="96"/>
      <c r="R92" s="96"/>
      <c r="S92" s="82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32">
        <f t="shared" si="11"/>
        <v>0</v>
      </c>
      <c r="BB92" s="32">
        <f t="shared" si="12"/>
        <v>2</v>
      </c>
      <c r="BC92" s="32">
        <f t="shared" si="13"/>
        <v>6</v>
      </c>
      <c r="BD92" s="32">
        <f t="shared" si="14"/>
        <v>8</v>
      </c>
      <c r="BE92" s="33">
        <f t="shared" si="15"/>
        <v>75</v>
      </c>
    </row>
    <row r="93">
      <c r="A93" s="24">
        <v>17.0</v>
      </c>
      <c r="B93" s="47" t="s">
        <v>241</v>
      </c>
      <c r="C93" s="85" t="s">
        <v>242</v>
      </c>
      <c r="D93" s="104" t="s">
        <v>22</v>
      </c>
      <c r="E93" s="104" t="s">
        <v>22</v>
      </c>
      <c r="F93" s="126" t="s">
        <v>22</v>
      </c>
      <c r="G93" s="133" t="s">
        <v>22</v>
      </c>
      <c r="H93" s="132" t="s">
        <v>22</v>
      </c>
      <c r="I93" s="132" t="s">
        <v>22</v>
      </c>
      <c r="J93" s="132" t="s">
        <v>22</v>
      </c>
      <c r="K93" s="132" t="s">
        <v>22</v>
      </c>
      <c r="L93" s="82"/>
      <c r="M93" s="82"/>
      <c r="N93" s="96"/>
      <c r="O93" s="82"/>
      <c r="P93" s="82"/>
      <c r="Q93" s="96"/>
      <c r="R93" s="96"/>
      <c r="S93" s="82"/>
      <c r="T93" s="45"/>
      <c r="U93" s="45"/>
      <c r="V93" s="45"/>
      <c r="W93" s="45"/>
      <c r="X93" s="45"/>
      <c r="Y93" s="45"/>
      <c r="Z93" s="45"/>
      <c r="AA93" s="45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32">
        <f t="shared" si="11"/>
        <v>0</v>
      </c>
      <c r="BB93" s="32">
        <f t="shared" si="12"/>
        <v>8</v>
      </c>
      <c r="BC93" s="32">
        <f t="shared" si="13"/>
        <v>0</v>
      </c>
      <c r="BD93" s="32">
        <f t="shared" si="14"/>
        <v>8</v>
      </c>
      <c r="BE93" s="33">
        <f t="shared" si="15"/>
        <v>0</v>
      </c>
    </row>
    <row r="94">
      <c r="A94" s="24">
        <v>18.0</v>
      </c>
      <c r="B94" s="47" t="s">
        <v>243</v>
      </c>
      <c r="C94" s="25" t="s">
        <v>244</v>
      </c>
      <c r="D94" s="102" t="s">
        <v>28</v>
      </c>
      <c r="E94" s="102" t="s">
        <v>28</v>
      </c>
      <c r="F94" s="125" t="s">
        <v>28</v>
      </c>
      <c r="G94" s="125" t="s">
        <v>28</v>
      </c>
      <c r="H94" s="131" t="s">
        <v>28</v>
      </c>
      <c r="I94" s="131" t="s">
        <v>28</v>
      </c>
      <c r="J94" s="131" t="s">
        <v>28</v>
      </c>
      <c r="K94" s="131" t="s">
        <v>28</v>
      </c>
      <c r="L94" s="96"/>
      <c r="M94" s="96"/>
      <c r="N94" s="96"/>
      <c r="O94" s="96"/>
      <c r="P94" s="96"/>
      <c r="Q94" s="96"/>
      <c r="R94" s="96"/>
      <c r="S94" s="82"/>
      <c r="T94" s="45"/>
      <c r="U94" s="45"/>
      <c r="V94" s="45"/>
      <c r="W94" s="45"/>
      <c r="X94" s="45"/>
      <c r="Y94" s="45"/>
      <c r="Z94" s="45"/>
      <c r="AA94" s="45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32">
        <f t="shared" si="11"/>
        <v>0</v>
      </c>
      <c r="BB94" s="32">
        <f t="shared" si="12"/>
        <v>0</v>
      </c>
      <c r="BC94" s="32">
        <f t="shared" si="13"/>
        <v>8</v>
      </c>
      <c r="BD94" s="32">
        <f t="shared" si="14"/>
        <v>8</v>
      </c>
      <c r="BE94" s="33">
        <f t="shared" si="15"/>
        <v>100</v>
      </c>
    </row>
    <row r="95">
      <c r="A95" s="24">
        <v>19.0</v>
      </c>
      <c r="B95" s="24" t="s">
        <v>245</v>
      </c>
      <c r="C95" s="25" t="s">
        <v>246</v>
      </c>
      <c r="D95" s="102" t="s">
        <v>28</v>
      </c>
      <c r="E95" s="102" t="s">
        <v>28</v>
      </c>
      <c r="F95" s="125" t="s">
        <v>28</v>
      </c>
      <c r="G95" s="125" t="s">
        <v>28</v>
      </c>
      <c r="H95" s="132" t="s">
        <v>22</v>
      </c>
      <c r="I95" s="131" t="s">
        <v>28</v>
      </c>
      <c r="J95" s="132" t="s">
        <v>22</v>
      </c>
      <c r="K95" s="131" t="s">
        <v>28</v>
      </c>
      <c r="L95" s="106"/>
      <c r="M95" s="106"/>
      <c r="N95" s="106"/>
      <c r="O95" s="106"/>
      <c r="P95" s="106"/>
      <c r="Q95" s="106"/>
      <c r="R95" s="107"/>
      <c r="S95" s="107"/>
      <c r="T95" s="121"/>
      <c r="U95" s="121"/>
      <c r="V95" s="121"/>
      <c r="W95" s="121"/>
      <c r="X95" s="121"/>
      <c r="Y95" s="121"/>
      <c r="Z95" s="121"/>
      <c r="AA95" s="121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10">
        <f t="shared" si="11"/>
        <v>0</v>
      </c>
      <c r="BB95" s="110">
        <f t="shared" si="12"/>
        <v>2</v>
      </c>
      <c r="BC95" s="110">
        <f t="shared" si="13"/>
        <v>6</v>
      </c>
      <c r="BD95" s="110">
        <f t="shared" si="14"/>
        <v>8</v>
      </c>
      <c r="BE95" s="111">
        <f t="shared" si="15"/>
        <v>75</v>
      </c>
    </row>
    <row r="96">
      <c r="A96" s="24">
        <v>20.0</v>
      </c>
      <c r="B96" s="24" t="s">
        <v>247</v>
      </c>
      <c r="C96" s="25" t="s">
        <v>248</v>
      </c>
      <c r="D96" s="104" t="s">
        <v>22</v>
      </c>
      <c r="E96" s="102" t="s">
        <v>28</v>
      </c>
      <c r="F96" s="125" t="s">
        <v>28</v>
      </c>
      <c r="G96" s="125" t="s">
        <v>28</v>
      </c>
      <c r="H96" s="132" t="s">
        <v>22</v>
      </c>
      <c r="I96" s="132" t="s">
        <v>22</v>
      </c>
      <c r="J96" s="132" t="s">
        <v>22</v>
      </c>
      <c r="K96" s="132" t="s">
        <v>22</v>
      </c>
      <c r="L96" s="96"/>
      <c r="M96" s="82"/>
      <c r="N96" s="96"/>
      <c r="O96" s="96"/>
      <c r="P96" s="96"/>
      <c r="Q96" s="82"/>
      <c r="R96" s="96"/>
      <c r="S96" s="96"/>
      <c r="T96" s="45"/>
      <c r="U96" s="45"/>
      <c r="V96" s="45"/>
      <c r="W96" s="45"/>
      <c r="X96" s="45"/>
      <c r="Y96" s="45"/>
      <c r="Z96" s="45"/>
      <c r="AA96" s="45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32">
        <f t="shared" si="11"/>
        <v>0</v>
      </c>
      <c r="BB96" s="32">
        <f t="shared" si="12"/>
        <v>5</v>
      </c>
      <c r="BC96" s="32">
        <f t="shared" si="13"/>
        <v>3</v>
      </c>
      <c r="BD96" s="32">
        <f t="shared" si="14"/>
        <v>8</v>
      </c>
      <c r="BE96" s="33">
        <f t="shared" si="15"/>
        <v>37.5</v>
      </c>
    </row>
    <row r="97">
      <c r="A97" s="24">
        <v>21.0</v>
      </c>
      <c r="B97" s="24" t="s">
        <v>249</v>
      </c>
      <c r="C97" s="25" t="s">
        <v>250</v>
      </c>
      <c r="D97" s="102" t="s">
        <v>28</v>
      </c>
      <c r="E97" s="102" t="s">
        <v>28</v>
      </c>
      <c r="F97" s="125" t="s">
        <v>28</v>
      </c>
      <c r="G97" s="125" t="s">
        <v>28</v>
      </c>
      <c r="H97" s="132" t="s">
        <v>22</v>
      </c>
      <c r="I97" s="131" t="s">
        <v>28</v>
      </c>
      <c r="J97" s="132" t="s">
        <v>22</v>
      </c>
      <c r="K97" s="131" t="s">
        <v>28</v>
      </c>
      <c r="L97" s="96"/>
      <c r="M97" s="82"/>
      <c r="N97" s="82"/>
      <c r="O97" s="96"/>
      <c r="P97" s="96"/>
      <c r="Q97" s="96"/>
      <c r="R97" s="96"/>
      <c r="S97" s="96"/>
      <c r="T97" s="45"/>
      <c r="U97" s="45"/>
      <c r="V97" s="45"/>
      <c r="W97" s="45"/>
      <c r="X97" s="45"/>
      <c r="Y97" s="45"/>
      <c r="Z97" s="45"/>
      <c r="AA97" s="45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32">
        <f t="shared" si="11"/>
        <v>0</v>
      </c>
      <c r="BB97" s="32">
        <f t="shared" si="12"/>
        <v>2</v>
      </c>
      <c r="BC97" s="32">
        <f t="shared" si="13"/>
        <v>6</v>
      </c>
      <c r="BD97" s="32">
        <f t="shared" si="14"/>
        <v>8</v>
      </c>
      <c r="BE97" s="33">
        <f t="shared" si="15"/>
        <v>75</v>
      </c>
    </row>
    <row r="98">
      <c r="A98" s="24">
        <v>22.0</v>
      </c>
      <c r="B98" s="24" t="s">
        <v>253</v>
      </c>
      <c r="C98" s="25" t="s">
        <v>254</v>
      </c>
      <c r="D98" s="102" t="s">
        <v>28</v>
      </c>
      <c r="E98" s="104" t="s">
        <v>22</v>
      </c>
      <c r="F98" s="126" t="s">
        <v>22</v>
      </c>
      <c r="G98" s="133" t="s">
        <v>22</v>
      </c>
      <c r="H98" s="131" t="s">
        <v>28</v>
      </c>
      <c r="I98" s="131" t="s">
        <v>28</v>
      </c>
      <c r="J98" s="132" t="s">
        <v>22</v>
      </c>
      <c r="K98" s="131" t="s">
        <v>28</v>
      </c>
      <c r="L98" s="82"/>
      <c r="M98" s="96"/>
      <c r="N98" s="82"/>
      <c r="O98" s="96"/>
      <c r="P98" s="96"/>
      <c r="Q98" s="96"/>
      <c r="R98" s="96"/>
      <c r="S98" s="82"/>
      <c r="T98" s="45"/>
      <c r="U98" s="45"/>
      <c r="V98" s="45"/>
      <c r="W98" s="45"/>
      <c r="X98" s="45"/>
      <c r="Y98" s="45"/>
      <c r="Z98" s="45"/>
      <c r="AA98" s="45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32">
        <f t="shared" si="11"/>
        <v>0</v>
      </c>
      <c r="BB98" s="32">
        <f t="shared" si="12"/>
        <v>4</v>
      </c>
      <c r="BC98" s="32">
        <f t="shared" si="13"/>
        <v>4</v>
      </c>
      <c r="BD98" s="32">
        <f t="shared" si="14"/>
        <v>8</v>
      </c>
      <c r="BE98" s="33">
        <f t="shared" si="15"/>
        <v>50</v>
      </c>
    </row>
    <row r="99">
      <c r="A99" s="24">
        <v>23.0</v>
      </c>
      <c r="B99" s="24" t="s">
        <v>255</v>
      </c>
      <c r="C99" s="25" t="s">
        <v>256</v>
      </c>
      <c r="D99" s="102" t="s">
        <v>28</v>
      </c>
      <c r="E99" s="102" t="s">
        <v>28</v>
      </c>
      <c r="F99" s="125" t="s">
        <v>28</v>
      </c>
      <c r="G99" s="125" t="s">
        <v>28</v>
      </c>
      <c r="H99" s="131" t="s">
        <v>28</v>
      </c>
      <c r="I99" s="131" t="s">
        <v>28</v>
      </c>
      <c r="J99" s="132" t="s">
        <v>22</v>
      </c>
      <c r="K99" s="131" t="s">
        <v>28</v>
      </c>
      <c r="L99" s="96"/>
      <c r="M99" s="96"/>
      <c r="N99" s="82"/>
      <c r="O99" s="96"/>
      <c r="P99" s="96"/>
      <c r="Q99" s="96"/>
      <c r="R99" s="96"/>
      <c r="S99" s="82"/>
      <c r="T99" s="45"/>
      <c r="U99" s="45"/>
      <c r="V99" s="45"/>
      <c r="W99" s="45"/>
      <c r="X99" s="45"/>
      <c r="Y99" s="45"/>
      <c r="Z99" s="45"/>
      <c r="AA99" s="45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32">
        <f t="shared" si="11"/>
        <v>0</v>
      </c>
      <c r="BB99" s="32">
        <f t="shared" si="12"/>
        <v>1</v>
      </c>
      <c r="BC99" s="32">
        <f t="shared" si="13"/>
        <v>7</v>
      </c>
      <c r="BD99" s="32">
        <f t="shared" si="14"/>
        <v>8</v>
      </c>
      <c r="BE99" s="33">
        <f t="shared" si="15"/>
        <v>87.5</v>
      </c>
    </row>
    <row r="100">
      <c r="A100" s="24">
        <v>24.0</v>
      </c>
      <c r="B100" s="24" t="s">
        <v>257</v>
      </c>
      <c r="C100" s="25" t="s">
        <v>258</v>
      </c>
      <c r="D100" s="102" t="s">
        <v>28</v>
      </c>
      <c r="E100" s="102" t="s">
        <v>28</v>
      </c>
      <c r="F100" s="125" t="s">
        <v>28</v>
      </c>
      <c r="G100" s="125" t="s">
        <v>28</v>
      </c>
      <c r="H100" s="131" t="s">
        <v>28</v>
      </c>
      <c r="I100" s="132" t="s">
        <v>22</v>
      </c>
      <c r="J100" s="132" t="s">
        <v>22</v>
      </c>
      <c r="K100" s="131" t="s">
        <v>28</v>
      </c>
      <c r="L100" s="96"/>
      <c r="M100" s="96"/>
      <c r="N100" s="96"/>
      <c r="O100" s="96"/>
      <c r="P100" s="96"/>
      <c r="Q100" s="96"/>
      <c r="R100" s="96"/>
      <c r="S100" s="82"/>
      <c r="T100" s="45"/>
      <c r="U100" s="45"/>
      <c r="V100" s="45"/>
      <c r="W100" s="45"/>
      <c r="X100" s="45"/>
      <c r="Y100" s="45"/>
      <c r="Z100" s="45"/>
      <c r="AA100" s="45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32">
        <f t="shared" si="11"/>
        <v>0</v>
      </c>
      <c r="BB100" s="32">
        <f t="shared" si="12"/>
        <v>2</v>
      </c>
      <c r="BC100" s="32">
        <f t="shared" si="13"/>
        <v>6</v>
      </c>
      <c r="BD100" s="32">
        <f t="shared" si="14"/>
        <v>8</v>
      </c>
      <c r="BE100" s="33">
        <f t="shared" si="15"/>
        <v>75</v>
      </c>
    </row>
    <row r="101">
      <c r="A101" s="24">
        <v>25.0</v>
      </c>
      <c r="B101" s="24" t="s">
        <v>259</v>
      </c>
      <c r="C101" s="25" t="s">
        <v>260</v>
      </c>
      <c r="D101" s="102" t="s">
        <v>28</v>
      </c>
      <c r="E101" s="102" t="s">
        <v>28</v>
      </c>
      <c r="F101" s="125" t="s">
        <v>28</v>
      </c>
      <c r="G101" s="133" t="s">
        <v>22</v>
      </c>
      <c r="H101" s="131" t="s">
        <v>28</v>
      </c>
      <c r="I101" s="131" t="s">
        <v>28</v>
      </c>
      <c r="J101" s="132" t="s">
        <v>22</v>
      </c>
      <c r="K101" s="131" t="s">
        <v>28</v>
      </c>
      <c r="L101" s="96"/>
      <c r="M101" s="96"/>
      <c r="N101" s="96"/>
      <c r="O101" s="96"/>
      <c r="P101" s="96"/>
      <c r="Q101" s="96"/>
      <c r="R101" s="96"/>
      <c r="S101" s="96"/>
      <c r="T101" s="45"/>
      <c r="U101" s="45"/>
      <c r="V101" s="45"/>
      <c r="W101" s="45"/>
      <c r="X101" s="45"/>
      <c r="Y101" s="45"/>
      <c r="Z101" s="45"/>
      <c r="AA101" s="45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32">
        <f t="shared" si="11"/>
        <v>0</v>
      </c>
      <c r="BB101" s="32">
        <f t="shared" si="12"/>
        <v>2</v>
      </c>
      <c r="BC101" s="32">
        <f t="shared" si="13"/>
        <v>6</v>
      </c>
      <c r="BD101" s="32">
        <f t="shared" si="14"/>
        <v>8</v>
      </c>
      <c r="BE101" s="33">
        <f t="shared" si="15"/>
        <v>75</v>
      </c>
    </row>
    <row r="102">
      <c r="A102" s="24">
        <v>26.0</v>
      </c>
      <c r="B102" s="24" t="s">
        <v>261</v>
      </c>
      <c r="C102" s="25" t="s">
        <v>262</v>
      </c>
      <c r="D102" s="104" t="s">
        <v>22</v>
      </c>
      <c r="E102" s="104" t="s">
        <v>22</v>
      </c>
      <c r="F102" s="125" t="s">
        <v>28</v>
      </c>
      <c r="G102" s="125" t="s">
        <v>28</v>
      </c>
      <c r="H102" s="131" t="s">
        <v>28</v>
      </c>
      <c r="I102" s="132" t="s">
        <v>22</v>
      </c>
      <c r="J102" s="132" t="s">
        <v>22</v>
      </c>
      <c r="K102" s="131" t="s">
        <v>28</v>
      </c>
      <c r="L102" s="96"/>
      <c r="M102" s="96"/>
      <c r="N102" s="96"/>
      <c r="O102" s="96"/>
      <c r="P102" s="96"/>
      <c r="Q102" s="96"/>
      <c r="R102" s="96"/>
      <c r="S102" s="82"/>
      <c r="T102" s="45"/>
      <c r="U102" s="45"/>
      <c r="V102" s="45"/>
      <c r="W102" s="45"/>
      <c r="X102" s="45"/>
      <c r="Y102" s="45"/>
      <c r="Z102" s="45"/>
      <c r="AA102" s="45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32">
        <f t="shared" si="11"/>
        <v>0</v>
      </c>
      <c r="BB102" s="32">
        <f t="shared" si="12"/>
        <v>4</v>
      </c>
      <c r="BC102" s="32">
        <f t="shared" si="13"/>
        <v>4</v>
      </c>
      <c r="BD102" s="32">
        <f t="shared" si="14"/>
        <v>8</v>
      </c>
      <c r="BE102" s="33">
        <f t="shared" si="15"/>
        <v>50</v>
      </c>
    </row>
    <row r="103">
      <c r="A103" s="24">
        <v>27.0</v>
      </c>
      <c r="B103" s="24" t="s">
        <v>263</v>
      </c>
      <c r="C103" s="25" t="s">
        <v>264</v>
      </c>
      <c r="D103" s="102" t="s">
        <v>28</v>
      </c>
      <c r="E103" s="104" t="s">
        <v>22</v>
      </c>
      <c r="F103" s="126" t="s">
        <v>22</v>
      </c>
      <c r="G103" s="133" t="s">
        <v>22</v>
      </c>
      <c r="H103" s="132" t="s">
        <v>22</v>
      </c>
      <c r="I103" s="132" t="s">
        <v>22</v>
      </c>
      <c r="J103" s="132" t="s">
        <v>22</v>
      </c>
      <c r="K103" s="132" t="s">
        <v>22</v>
      </c>
      <c r="L103" s="96"/>
      <c r="M103" s="96"/>
      <c r="N103" s="82"/>
      <c r="O103" s="96"/>
      <c r="P103" s="96"/>
      <c r="Q103" s="96"/>
      <c r="R103" s="96"/>
      <c r="S103" s="96"/>
      <c r="T103" s="45"/>
      <c r="U103" s="45"/>
      <c r="V103" s="45"/>
      <c r="W103" s="45"/>
      <c r="X103" s="45"/>
      <c r="Y103" s="45"/>
      <c r="Z103" s="45"/>
      <c r="AA103" s="45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32">
        <f t="shared" si="11"/>
        <v>0</v>
      </c>
      <c r="BB103" s="32">
        <f t="shared" si="12"/>
        <v>7</v>
      </c>
      <c r="BC103" s="32">
        <f t="shared" si="13"/>
        <v>1</v>
      </c>
      <c r="BD103" s="32">
        <f t="shared" si="14"/>
        <v>8</v>
      </c>
      <c r="BE103" s="33">
        <f t="shared" si="15"/>
        <v>12.5</v>
      </c>
    </row>
    <row r="104">
      <c r="A104" s="24">
        <v>28.0</v>
      </c>
      <c r="B104" s="24" t="s">
        <v>265</v>
      </c>
      <c r="C104" s="25" t="s">
        <v>266</v>
      </c>
      <c r="D104" s="104" t="s">
        <v>22</v>
      </c>
      <c r="E104" s="102" t="s">
        <v>28</v>
      </c>
      <c r="F104" s="126" t="s">
        <v>22</v>
      </c>
      <c r="G104" s="125" t="s">
        <v>28</v>
      </c>
      <c r="H104" s="132" t="s">
        <v>22</v>
      </c>
      <c r="I104" s="132" t="s">
        <v>22</v>
      </c>
      <c r="J104" s="131" t="s">
        <v>28</v>
      </c>
      <c r="K104" s="131" t="s">
        <v>28</v>
      </c>
      <c r="L104" s="96"/>
      <c r="M104" s="96"/>
      <c r="N104" s="96"/>
      <c r="O104" s="96"/>
      <c r="P104" s="96"/>
      <c r="Q104" s="96"/>
      <c r="R104" s="96"/>
      <c r="S104" s="82"/>
      <c r="T104" s="45"/>
      <c r="U104" s="45"/>
      <c r="V104" s="45"/>
      <c r="W104" s="45"/>
      <c r="X104" s="45"/>
      <c r="Y104" s="45"/>
      <c r="Z104" s="45"/>
      <c r="AA104" s="45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32">
        <f t="shared" si="11"/>
        <v>0</v>
      </c>
      <c r="BB104" s="32">
        <f t="shared" si="12"/>
        <v>4</v>
      </c>
      <c r="BC104" s="32">
        <f t="shared" si="13"/>
        <v>4</v>
      </c>
      <c r="BD104" s="32">
        <f t="shared" si="14"/>
        <v>8</v>
      </c>
      <c r="BE104" s="33">
        <f t="shared" si="15"/>
        <v>50</v>
      </c>
    </row>
    <row r="105">
      <c r="A105" s="24">
        <v>29.0</v>
      </c>
      <c r="B105" s="24" t="s">
        <v>269</v>
      </c>
      <c r="C105" s="25" t="s">
        <v>270</v>
      </c>
      <c r="D105" s="102" t="s">
        <v>28</v>
      </c>
      <c r="E105" s="102" t="s">
        <v>28</v>
      </c>
      <c r="F105" s="125" t="s">
        <v>28</v>
      </c>
      <c r="G105" s="125" t="s">
        <v>28</v>
      </c>
      <c r="H105" s="132" t="s">
        <v>22</v>
      </c>
      <c r="I105" s="131" t="s">
        <v>28</v>
      </c>
      <c r="J105" s="132" t="s">
        <v>22</v>
      </c>
      <c r="K105" s="131" t="s">
        <v>28</v>
      </c>
      <c r="L105" s="96"/>
      <c r="M105" s="96"/>
      <c r="N105" s="96"/>
      <c r="O105" s="96"/>
      <c r="P105" s="96"/>
      <c r="Q105" s="96"/>
      <c r="R105" s="96"/>
      <c r="S105" s="82"/>
      <c r="T105" s="45"/>
      <c r="U105" s="45"/>
      <c r="V105" s="45"/>
      <c r="W105" s="45"/>
      <c r="X105" s="45"/>
      <c r="Y105" s="45"/>
      <c r="Z105" s="45"/>
      <c r="AA105" s="45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32">
        <f t="shared" si="11"/>
        <v>0</v>
      </c>
      <c r="BB105" s="32">
        <f t="shared" si="12"/>
        <v>2</v>
      </c>
      <c r="BC105" s="32">
        <f t="shared" si="13"/>
        <v>6</v>
      </c>
      <c r="BD105" s="32">
        <f t="shared" si="14"/>
        <v>8</v>
      </c>
      <c r="BE105" s="33">
        <f t="shared" si="15"/>
        <v>75</v>
      </c>
    </row>
    <row r="106">
      <c r="A106" s="24">
        <v>30.0</v>
      </c>
      <c r="B106" s="24" t="s">
        <v>271</v>
      </c>
      <c r="C106" s="25" t="s">
        <v>272</v>
      </c>
      <c r="D106" s="102" t="s">
        <v>28</v>
      </c>
      <c r="E106" s="102" t="s">
        <v>28</v>
      </c>
      <c r="F106" s="125" t="s">
        <v>28</v>
      </c>
      <c r="G106" s="125" t="s">
        <v>28</v>
      </c>
      <c r="H106" s="132" t="s">
        <v>22</v>
      </c>
      <c r="I106" s="131" t="s">
        <v>28</v>
      </c>
      <c r="J106" s="132" t="s">
        <v>22</v>
      </c>
      <c r="K106" s="131" t="s">
        <v>28</v>
      </c>
      <c r="L106" s="96"/>
      <c r="M106" s="96"/>
      <c r="N106" s="96"/>
      <c r="O106" s="96"/>
      <c r="P106" s="96"/>
      <c r="Q106" s="96"/>
      <c r="R106" s="96"/>
      <c r="S106" s="82"/>
      <c r="T106" s="45"/>
      <c r="U106" s="45"/>
      <c r="V106" s="45"/>
      <c r="W106" s="45"/>
      <c r="X106" s="45"/>
      <c r="Y106" s="45"/>
      <c r="Z106" s="45"/>
      <c r="AA106" s="45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32">
        <f t="shared" si="11"/>
        <v>0</v>
      </c>
      <c r="BB106" s="32">
        <f t="shared" si="12"/>
        <v>2</v>
      </c>
      <c r="BC106" s="32">
        <f t="shared" si="13"/>
        <v>6</v>
      </c>
      <c r="BD106" s="32">
        <f t="shared" si="14"/>
        <v>8</v>
      </c>
      <c r="BE106" s="33">
        <f t="shared" si="15"/>
        <v>75</v>
      </c>
    </row>
    <row r="107">
      <c r="A107" s="24">
        <v>31.0</v>
      </c>
      <c r="B107" s="24" t="s">
        <v>273</v>
      </c>
      <c r="C107" s="25" t="s">
        <v>274</v>
      </c>
      <c r="D107" s="102" t="s">
        <v>28</v>
      </c>
      <c r="E107" s="102" t="s">
        <v>28</v>
      </c>
      <c r="F107" s="125" t="s">
        <v>28</v>
      </c>
      <c r="G107" s="125" t="s">
        <v>28</v>
      </c>
      <c r="H107" s="131" t="s">
        <v>28</v>
      </c>
      <c r="I107" s="131" t="s">
        <v>28</v>
      </c>
      <c r="J107" s="132" t="s">
        <v>22</v>
      </c>
      <c r="K107" s="131" t="s">
        <v>28</v>
      </c>
      <c r="L107" s="96"/>
      <c r="M107" s="96"/>
      <c r="N107" s="96"/>
      <c r="O107" s="96"/>
      <c r="P107" s="96"/>
      <c r="Q107" s="96"/>
      <c r="R107" s="96"/>
      <c r="S107" s="82"/>
      <c r="T107" s="45"/>
      <c r="U107" s="45"/>
      <c r="V107" s="45"/>
      <c r="W107" s="45"/>
      <c r="X107" s="45"/>
      <c r="Y107" s="45"/>
      <c r="Z107" s="45"/>
      <c r="AA107" s="45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32">
        <f t="shared" si="11"/>
        <v>0</v>
      </c>
      <c r="BB107" s="32">
        <f t="shared" si="12"/>
        <v>1</v>
      </c>
      <c r="BC107" s="32">
        <f t="shared" si="13"/>
        <v>7</v>
      </c>
      <c r="BD107" s="32">
        <f t="shared" si="14"/>
        <v>8</v>
      </c>
      <c r="BE107" s="33">
        <f t="shared" si="15"/>
        <v>87.5</v>
      </c>
    </row>
    <row r="108">
      <c r="A108" s="24">
        <v>32.0</v>
      </c>
      <c r="B108" s="24" t="s">
        <v>275</v>
      </c>
      <c r="C108" s="25" t="s">
        <v>276</v>
      </c>
      <c r="D108" s="102" t="s">
        <v>28</v>
      </c>
      <c r="E108" s="102" t="s">
        <v>28</v>
      </c>
      <c r="F108" s="125" t="s">
        <v>28</v>
      </c>
      <c r="G108" s="125" t="s">
        <v>28</v>
      </c>
      <c r="H108" s="131" t="s">
        <v>28</v>
      </c>
      <c r="I108" s="132" t="s">
        <v>22</v>
      </c>
      <c r="J108" s="131" t="s">
        <v>28</v>
      </c>
      <c r="K108" s="131" t="s">
        <v>28</v>
      </c>
      <c r="L108" s="96"/>
      <c r="M108" s="96"/>
      <c r="N108" s="96"/>
      <c r="O108" s="96"/>
      <c r="P108" s="96"/>
      <c r="Q108" s="96"/>
      <c r="R108" s="96"/>
      <c r="S108" s="82"/>
      <c r="T108" s="45"/>
      <c r="U108" s="45"/>
      <c r="V108" s="45"/>
      <c r="W108" s="45"/>
      <c r="X108" s="45"/>
      <c r="Y108" s="45"/>
      <c r="Z108" s="45"/>
      <c r="AA108" s="45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32">
        <f t="shared" si="11"/>
        <v>0</v>
      </c>
      <c r="BB108" s="32">
        <f t="shared" si="12"/>
        <v>1</v>
      </c>
      <c r="BC108" s="32">
        <f t="shared" si="13"/>
        <v>7</v>
      </c>
      <c r="BD108" s="32">
        <f t="shared" si="14"/>
        <v>8</v>
      </c>
      <c r="BE108" s="33">
        <f t="shared" si="15"/>
        <v>87.5</v>
      </c>
    </row>
    <row r="109">
      <c r="A109" s="24">
        <v>33.0</v>
      </c>
      <c r="B109" s="24" t="s">
        <v>277</v>
      </c>
      <c r="C109" s="25" t="s">
        <v>278</v>
      </c>
      <c r="D109" s="102" t="s">
        <v>28</v>
      </c>
      <c r="E109" s="104" t="s">
        <v>22</v>
      </c>
      <c r="F109" s="126" t="s">
        <v>22</v>
      </c>
      <c r="G109" s="133" t="s">
        <v>22</v>
      </c>
      <c r="H109" s="132" t="s">
        <v>22</v>
      </c>
      <c r="I109" s="132" t="s">
        <v>22</v>
      </c>
      <c r="J109" s="132" t="s">
        <v>22</v>
      </c>
      <c r="K109" s="131" t="s">
        <v>28</v>
      </c>
      <c r="L109" s="96"/>
      <c r="M109" s="96"/>
      <c r="N109" s="82"/>
      <c r="O109" s="96"/>
      <c r="P109" s="82"/>
      <c r="Q109" s="96"/>
      <c r="R109" s="96"/>
      <c r="S109" s="82"/>
      <c r="T109" s="45"/>
      <c r="U109" s="45"/>
      <c r="V109" s="45"/>
      <c r="W109" s="45"/>
      <c r="X109" s="45"/>
      <c r="Y109" s="45"/>
      <c r="Z109" s="45"/>
      <c r="AA109" s="45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32">
        <f t="shared" si="11"/>
        <v>0</v>
      </c>
      <c r="BB109" s="32">
        <f t="shared" si="12"/>
        <v>6</v>
      </c>
      <c r="BC109" s="32">
        <f t="shared" si="13"/>
        <v>2</v>
      </c>
      <c r="BD109" s="32">
        <f t="shared" si="14"/>
        <v>8</v>
      </c>
      <c r="BE109" s="33">
        <f t="shared" si="15"/>
        <v>25</v>
      </c>
    </row>
    <row r="110">
      <c r="A110" s="24">
        <v>34.0</v>
      </c>
      <c r="B110" s="24" t="s">
        <v>279</v>
      </c>
      <c r="C110" s="25" t="s">
        <v>280</v>
      </c>
      <c r="D110" s="102" t="s">
        <v>28</v>
      </c>
      <c r="E110" s="102" t="s">
        <v>28</v>
      </c>
      <c r="F110" s="125" t="s">
        <v>28</v>
      </c>
      <c r="G110" s="125" t="s">
        <v>28</v>
      </c>
      <c r="H110" s="132" t="s">
        <v>22</v>
      </c>
      <c r="I110" s="132" t="s">
        <v>22</v>
      </c>
      <c r="J110" s="131" t="s">
        <v>28</v>
      </c>
      <c r="K110" s="132" t="s">
        <v>22</v>
      </c>
      <c r="L110" s="96"/>
      <c r="M110" s="96"/>
      <c r="N110" s="96"/>
      <c r="O110" s="96"/>
      <c r="P110" s="82"/>
      <c r="Q110" s="96"/>
      <c r="R110" s="96"/>
      <c r="S110" s="82"/>
      <c r="T110" s="45"/>
      <c r="U110" s="45"/>
      <c r="V110" s="45"/>
      <c r="W110" s="45"/>
      <c r="X110" s="45"/>
      <c r="Y110" s="45"/>
      <c r="Z110" s="45"/>
      <c r="AA110" s="45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32">
        <f t="shared" si="11"/>
        <v>0</v>
      </c>
      <c r="BB110" s="32">
        <f t="shared" si="12"/>
        <v>3</v>
      </c>
      <c r="BC110" s="32">
        <f t="shared" si="13"/>
        <v>5</v>
      </c>
      <c r="BD110" s="32">
        <f t="shared" si="14"/>
        <v>8</v>
      </c>
      <c r="BE110" s="33">
        <f t="shared" si="15"/>
        <v>62.5</v>
      </c>
    </row>
    <row r="111">
      <c r="A111" s="24">
        <v>35.0</v>
      </c>
      <c r="B111" s="24" t="s">
        <v>281</v>
      </c>
      <c r="C111" s="25" t="s">
        <v>282</v>
      </c>
      <c r="D111" s="104" t="s">
        <v>22</v>
      </c>
      <c r="E111" s="104" t="s">
        <v>22</v>
      </c>
      <c r="F111" s="126" t="s">
        <v>22</v>
      </c>
      <c r="G111" s="125" t="s">
        <v>28</v>
      </c>
      <c r="H111" s="132" t="s">
        <v>22</v>
      </c>
      <c r="I111" s="131" t="s">
        <v>28</v>
      </c>
      <c r="J111" s="131" t="s">
        <v>28</v>
      </c>
      <c r="K111" s="131" t="s">
        <v>28</v>
      </c>
      <c r="L111" s="96"/>
      <c r="M111" s="96"/>
      <c r="N111" s="96"/>
      <c r="O111" s="96"/>
      <c r="P111" s="96"/>
      <c r="Q111" s="96"/>
      <c r="R111" s="96"/>
      <c r="S111" s="82"/>
      <c r="T111" s="45"/>
      <c r="U111" s="45"/>
      <c r="V111" s="45"/>
      <c r="W111" s="45"/>
      <c r="X111" s="45"/>
      <c r="Y111" s="45"/>
      <c r="Z111" s="45"/>
      <c r="AA111" s="45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32">
        <f t="shared" si="11"/>
        <v>0</v>
      </c>
      <c r="BB111" s="32">
        <f t="shared" si="12"/>
        <v>4</v>
      </c>
      <c r="BC111" s="32">
        <f t="shared" si="13"/>
        <v>4</v>
      </c>
      <c r="BD111" s="32">
        <f t="shared" si="14"/>
        <v>8</v>
      </c>
      <c r="BE111" s="33">
        <f t="shared" si="15"/>
        <v>50</v>
      </c>
    </row>
    <row r="112">
      <c r="A112" s="24">
        <v>36.0</v>
      </c>
      <c r="B112" s="24" t="s">
        <v>283</v>
      </c>
      <c r="C112" s="25" t="s">
        <v>284</v>
      </c>
      <c r="D112" s="102" t="s">
        <v>28</v>
      </c>
      <c r="E112" s="102" t="s">
        <v>28</v>
      </c>
      <c r="F112" s="126" t="s">
        <v>22</v>
      </c>
      <c r="G112" s="125" t="s">
        <v>28</v>
      </c>
      <c r="H112" s="131" t="s">
        <v>28</v>
      </c>
      <c r="I112" s="131" t="s">
        <v>28</v>
      </c>
      <c r="J112" s="132" t="s">
        <v>22</v>
      </c>
      <c r="K112" s="131" t="s">
        <v>28</v>
      </c>
      <c r="L112" s="96"/>
      <c r="M112" s="96"/>
      <c r="N112" s="96"/>
      <c r="O112" s="96"/>
      <c r="P112" s="96"/>
      <c r="Q112" s="96"/>
      <c r="R112" s="96"/>
      <c r="S112" s="96"/>
      <c r="T112" s="45"/>
      <c r="U112" s="45"/>
      <c r="V112" s="45"/>
      <c r="W112" s="45"/>
      <c r="X112" s="45"/>
      <c r="Y112" s="45"/>
      <c r="Z112" s="45"/>
      <c r="AA112" s="45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32">
        <f t="shared" si="11"/>
        <v>0</v>
      </c>
      <c r="BB112" s="32">
        <f t="shared" si="12"/>
        <v>2</v>
      </c>
      <c r="BC112" s="32">
        <f t="shared" si="13"/>
        <v>6</v>
      </c>
      <c r="BD112" s="32">
        <f t="shared" si="14"/>
        <v>8</v>
      </c>
      <c r="BE112" s="33">
        <f t="shared" si="15"/>
        <v>75</v>
      </c>
    </row>
    <row r="113">
      <c r="A113" s="24">
        <v>37.0</v>
      </c>
      <c r="B113" s="24" t="s">
        <v>285</v>
      </c>
      <c r="C113" s="25" t="s">
        <v>286</v>
      </c>
      <c r="D113" s="102" t="s">
        <v>28</v>
      </c>
      <c r="E113" s="104" t="s">
        <v>22</v>
      </c>
      <c r="F113" s="126" t="s">
        <v>22</v>
      </c>
      <c r="G113" s="125" t="s">
        <v>28</v>
      </c>
      <c r="H113" s="132" t="s">
        <v>22</v>
      </c>
      <c r="I113" s="131" t="s">
        <v>28</v>
      </c>
      <c r="J113" s="132" t="s">
        <v>22</v>
      </c>
      <c r="K113" s="131" t="s">
        <v>28</v>
      </c>
      <c r="L113" s="82"/>
      <c r="M113" s="96"/>
      <c r="N113" s="96"/>
      <c r="O113" s="96"/>
      <c r="P113" s="96"/>
      <c r="Q113" s="82"/>
      <c r="R113" s="96"/>
      <c r="S113" s="82"/>
      <c r="T113" s="45"/>
      <c r="U113" s="45"/>
      <c r="V113" s="45"/>
      <c r="W113" s="45"/>
      <c r="X113" s="45"/>
      <c r="Y113" s="45"/>
      <c r="Z113" s="45"/>
      <c r="AA113" s="45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32">
        <f t="shared" si="11"/>
        <v>0</v>
      </c>
      <c r="BB113" s="32">
        <f t="shared" si="12"/>
        <v>4</v>
      </c>
      <c r="BC113" s="32">
        <f t="shared" si="13"/>
        <v>4</v>
      </c>
      <c r="BD113" s="32">
        <f t="shared" si="14"/>
        <v>8</v>
      </c>
      <c r="BE113" s="33">
        <f t="shared" si="15"/>
        <v>50</v>
      </c>
    </row>
    <row r="114">
      <c r="A114" s="24">
        <v>38.0</v>
      </c>
      <c r="B114" s="24" t="s">
        <v>287</v>
      </c>
      <c r="C114" s="25" t="s">
        <v>288</v>
      </c>
      <c r="D114" s="102" t="s">
        <v>28</v>
      </c>
      <c r="E114" s="104" t="s">
        <v>22</v>
      </c>
      <c r="F114" s="126" t="s">
        <v>22</v>
      </c>
      <c r="G114" s="133" t="s">
        <v>22</v>
      </c>
      <c r="H114" s="132" t="s">
        <v>22</v>
      </c>
      <c r="I114" s="131" t="s">
        <v>28</v>
      </c>
      <c r="J114" s="132" t="s">
        <v>22</v>
      </c>
      <c r="K114" s="131" t="s">
        <v>28</v>
      </c>
      <c r="L114" s="82"/>
      <c r="M114" s="96"/>
      <c r="N114" s="96"/>
      <c r="O114" s="82"/>
      <c r="P114" s="82"/>
      <c r="Q114" s="82"/>
      <c r="R114" s="96"/>
      <c r="S114" s="82"/>
      <c r="T114" s="45"/>
      <c r="U114" s="45"/>
      <c r="V114" s="45"/>
      <c r="W114" s="45"/>
      <c r="X114" s="45"/>
      <c r="Y114" s="45"/>
      <c r="Z114" s="45"/>
      <c r="AA114" s="45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32">
        <f t="shared" si="11"/>
        <v>0</v>
      </c>
      <c r="BB114" s="32">
        <f t="shared" si="12"/>
        <v>5</v>
      </c>
      <c r="BC114" s="32">
        <f t="shared" si="13"/>
        <v>3</v>
      </c>
      <c r="BD114" s="32">
        <f t="shared" si="14"/>
        <v>8</v>
      </c>
      <c r="BE114" s="33">
        <f t="shared" si="15"/>
        <v>37.5</v>
      </c>
    </row>
    <row r="115">
      <c r="A115" s="24">
        <v>39.0</v>
      </c>
      <c r="B115" s="24" t="s">
        <v>289</v>
      </c>
      <c r="C115" s="25" t="s">
        <v>290</v>
      </c>
      <c r="D115" s="102" t="s">
        <v>28</v>
      </c>
      <c r="E115" s="102" t="s">
        <v>28</v>
      </c>
      <c r="F115" s="125" t="s">
        <v>28</v>
      </c>
      <c r="G115" s="134" t="s">
        <v>28</v>
      </c>
      <c r="H115" s="132" t="s">
        <v>22</v>
      </c>
      <c r="I115" s="131" t="s">
        <v>28</v>
      </c>
      <c r="J115" s="131" t="s">
        <v>28</v>
      </c>
      <c r="K115" s="131" t="s">
        <v>28</v>
      </c>
      <c r="L115" s="96"/>
      <c r="M115" s="96"/>
      <c r="N115" s="96"/>
      <c r="O115" s="96"/>
      <c r="P115" s="96"/>
      <c r="Q115" s="96"/>
      <c r="R115" s="96"/>
      <c r="S115" s="96"/>
      <c r="T115" s="45"/>
      <c r="U115" s="45"/>
      <c r="V115" s="45"/>
      <c r="W115" s="45"/>
      <c r="X115" s="45"/>
      <c r="Y115" s="45"/>
      <c r="Z115" s="45"/>
      <c r="AA115" s="45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32">
        <f t="shared" si="11"/>
        <v>0</v>
      </c>
      <c r="BB115" s="32">
        <f t="shared" si="12"/>
        <v>1</v>
      </c>
      <c r="BC115" s="32">
        <f t="shared" si="13"/>
        <v>7</v>
      </c>
      <c r="BD115" s="32">
        <f t="shared" si="14"/>
        <v>8</v>
      </c>
      <c r="BE115" s="33">
        <f t="shared" si="15"/>
        <v>87.5</v>
      </c>
    </row>
    <row r="116">
      <c r="A116" s="24">
        <v>40.0</v>
      </c>
      <c r="B116" s="24" t="s">
        <v>291</v>
      </c>
      <c r="C116" s="25" t="s">
        <v>292</v>
      </c>
      <c r="D116" s="102" t="s">
        <v>28</v>
      </c>
      <c r="E116" s="104" t="s">
        <v>22</v>
      </c>
      <c r="F116" s="126" t="s">
        <v>22</v>
      </c>
      <c r="G116" s="133" t="s">
        <v>22</v>
      </c>
      <c r="H116" s="132" t="s">
        <v>22</v>
      </c>
      <c r="I116" s="131" t="s">
        <v>28</v>
      </c>
      <c r="J116" s="131" t="s">
        <v>28</v>
      </c>
      <c r="K116" s="131" t="s">
        <v>28</v>
      </c>
      <c r="L116" s="96"/>
      <c r="M116" s="96"/>
      <c r="N116" s="96"/>
      <c r="O116" s="96"/>
      <c r="P116" s="96"/>
      <c r="Q116" s="96"/>
      <c r="R116" s="96"/>
      <c r="S116" s="82"/>
      <c r="T116" s="45"/>
      <c r="U116" s="45"/>
      <c r="V116" s="45"/>
      <c r="W116" s="45"/>
      <c r="X116" s="45"/>
      <c r="Y116" s="45"/>
      <c r="Z116" s="45"/>
      <c r="AA116" s="45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32">
        <f t="shared" si="11"/>
        <v>0</v>
      </c>
      <c r="BB116" s="32">
        <f t="shared" si="12"/>
        <v>4</v>
      </c>
      <c r="BC116" s="32">
        <f t="shared" si="13"/>
        <v>4</v>
      </c>
      <c r="BD116" s="32">
        <f t="shared" si="14"/>
        <v>8</v>
      </c>
      <c r="BE116" s="33">
        <f t="shared" si="15"/>
        <v>50</v>
      </c>
    </row>
    <row r="117">
      <c r="A117" s="24">
        <v>41.0</v>
      </c>
      <c r="B117" s="24" t="s">
        <v>293</v>
      </c>
      <c r="C117" s="25" t="s">
        <v>294</v>
      </c>
      <c r="D117" s="102" t="s">
        <v>28</v>
      </c>
      <c r="E117" s="102" t="s">
        <v>28</v>
      </c>
      <c r="F117" s="126" t="s">
        <v>22</v>
      </c>
      <c r="G117" s="133" t="s">
        <v>22</v>
      </c>
      <c r="H117" s="132" t="s">
        <v>22</v>
      </c>
      <c r="I117" s="131" t="s">
        <v>28</v>
      </c>
      <c r="J117" s="131" t="s">
        <v>28</v>
      </c>
      <c r="K117" s="131" t="s">
        <v>28</v>
      </c>
      <c r="L117" s="96"/>
      <c r="M117" s="96"/>
      <c r="N117" s="96"/>
      <c r="O117" s="96"/>
      <c r="P117" s="96"/>
      <c r="Q117" s="96"/>
      <c r="R117" s="96"/>
      <c r="S117" s="82"/>
      <c r="T117" s="45"/>
      <c r="U117" s="45"/>
      <c r="V117" s="45"/>
      <c r="W117" s="45"/>
      <c r="X117" s="45"/>
      <c r="Y117" s="45"/>
      <c r="Z117" s="45"/>
      <c r="AA117" s="45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32">
        <f t="shared" si="11"/>
        <v>0</v>
      </c>
      <c r="BB117" s="32">
        <f t="shared" si="12"/>
        <v>3</v>
      </c>
      <c r="BC117" s="32">
        <f t="shared" si="13"/>
        <v>5</v>
      </c>
      <c r="BD117" s="32">
        <f t="shared" si="14"/>
        <v>8</v>
      </c>
      <c r="BE117" s="33">
        <f t="shared" si="15"/>
        <v>62.5</v>
      </c>
    </row>
    <row r="118">
      <c r="A118" s="24">
        <v>42.0</v>
      </c>
      <c r="B118" s="24" t="s">
        <v>295</v>
      </c>
      <c r="C118" s="25" t="s">
        <v>296</v>
      </c>
      <c r="D118" s="104" t="s">
        <v>22</v>
      </c>
      <c r="E118" s="102" t="s">
        <v>28</v>
      </c>
      <c r="F118" s="125" t="s">
        <v>28</v>
      </c>
      <c r="G118" s="134" t="s">
        <v>28</v>
      </c>
      <c r="H118" s="132" t="s">
        <v>22</v>
      </c>
      <c r="I118" s="132" t="s">
        <v>22</v>
      </c>
      <c r="J118" s="131" t="s">
        <v>28</v>
      </c>
      <c r="K118" s="131" t="s">
        <v>28</v>
      </c>
      <c r="L118" s="96"/>
      <c r="M118" s="96"/>
      <c r="N118" s="96"/>
      <c r="O118" s="96"/>
      <c r="P118" s="96"/>
      <c r="Q118" s="96"/>
      <c r="R118" s="96"/>
      <c r="S118" s="96"/>
      <c r="T118" s="45"/>
      <c r="U118" s="45"/>
      <c r="V118" s="45"/>
      <c r="W118" s="45"/>
      <c r="X118" s="45"/>
      <c r="Y118" s="45"/>
      <c r="Z118" s="45"/>
      <c r="AA118" s="45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32">
        <f t="shared" si="11"/>
        <v>0</v>
      </c>
      <c r="BB118" s="32">
        <f t="shared" si="12"/>
        <v>3</v>
      </c>
      <c r="BC118" s="32">
        <f t="shared" si="13"/>
        <v>5</v>
      </c>
      <c r="BD118" s="32">
        <f t="shared" si="14"/>
        <v>8</v>
      </c>
      <c r="BE118" s="33">
        <f t="shared" si="15"/>
        <v>62.5</v>
      </c>
    </row>
    <row r="119">
      <c r="A119" s="24">
        <v>43.0</v>
      </c>
      <c r="B119" s="24" t="s">
        <v>299</v>
      </c>
      <c r="C119" s="25" t="s">
        <v>300</v>
      </c>
      <c r="D119" s="102" t="s">
        <v>28</v>
      </c>
      <c r="E119" s="102" t="s">
        <v>28</v>
      </c>
      <c r="F119" s="125" t="s">
        <v>28</v>
      </c>
      <c r="G119" s="133" t="s">
        <v>22</v>
      </c>
      <c r="H119" s="131" t="s">
        <v>28</v>
      </c>
      <c r="I119" s="131" t="s">
        <v>28</v>
      </c>
      <c r="J119" s="131" t="s">
        <v>28</v>
      </c>
      <c r="K119" s="131" t="s">
        <v>28</v>
      </c>
      <c r="L119" s="96"/>
      <c r="M119" s="96"/>
      <c r="N119" s="82"/>
      <c r="O119" s="96"/>
      <c r="P119" s="96"/>
      <c r="Q119" s="96"/>
      <c r="R119" s="96"/>
      <c r="S119" s="96"/>
      <c r="T119" s="45"/>
      <c r="U119" s="45"/>
      <c r="V119" s="45"/>
      <c r="W119" s="45"/>
      <c r="X119" s="45"/>
      <c r="Y119" s="45"/>
      <c r="Z119" s="45"/>
      <c r="AA119" s="45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32">
        <f t="shared" si="11"/>
        <v>0</v>
      </c>
      <c r="BB119" s="32">
        <f t="shared" si="12"/>
        <v>1</v>
      </c>
      <c r="BC119" s="32">
        <f t="shared" si="13"/>
        <v>7</v>
      </c>
      <c r="BD119" s="32">
        <f t="shared" si="14"/>
        <v>8</v>
      </c>
      <c r="BE119" s="33">
        <f t="shared" si="15"/>
        <v>87.5</v>
      </c>
    </row>
    <row r="120">
      <c r="A120" s="24">
        <v>44.0</v>
      </c>
      <c r="B120" s="24" t="s">
        <v>301</v>
      </c>
      <c r="C120" s="25" t="s">
        <v>302</v>
      </c>
      <c r="D120" s="102" t="s">
        <v>28</v>
      </c>
      <c r="E120" s="102" t="s">
        <v>28</v>
      </c>
      <c r="F120" s="126" t="s">
        <v>22</v>
      </c>
      <c r="G120" s="125" t="s">
        <v>28</v>
      </c>
      <c r="H120" s="132" t="s">
        <v>22</v>
      </c>
      <c r="I120" s="132" t="s">
        <v>22</v>
      </c>
      <c r="J120" s="131" t="s">
        <v>28</v>
      </c>
      <c r="K120" s="131" t="s">
        <v>28</v>
      </c>
      <c r="L120" s="96"/>
      <c r="M120" s="96"/>
      <c r="N120" s="82"/>
      <c r="O120" s="96"/>
      <c r="P120" s="96"/>
      <c r="Q120" s="96"/>
      <c r="R120" s="96"/>
      <c r="S120" s="96"/>
      <c r="T120" s="45"/>
      <c r="U120" s="45"/>
      <c r="V120" s="45"/>
      <c r="W120" s="45"/>
      <c r="X120" s="45"/>
      <c r="Y120" s="45"/>
      <c r="Z120" s="45"/>
      <c r="AA120" s="45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32">
        <f t="shared" si="11"/>
        <v>0</v>
      </c>
      <c r="BB120" s="32">
        <f t="shared" si="12"/>
        <v>3</v>
      </c>
      <c r="BC120" s="32">
        <f t="shared" si="13"/>
        <v>5</v>
      </c>
      <c r="BD120" s="32">
        <f t="shared" si="14"/>
        <v>8</v>
      </c>
      <c r="BE120" s="33">
        <f t="shared" si="15"/>
        <v>62.5</v>
      </c>
    </row>
    <row r="121">
      <c r="A121" s="24">
        <v>45.0</v>
      </c>
      <c r="B121" s="24" t="s">
        <v>303</v>
      </c>
      <c r="C121" s="25" t="s">
        <v>304</v>
      </c>
      <c r="D121" s="102" t="s">
        <v>28</v>
      </c>
      <c r="E121" s="102" t="s">
        <v>28</v>
      </c>
      <c r="F121" s="125" t="s">
        <v>28</v>
      </c>
      <c r="G121" s="125" t="s">
        <v>28</v>
      </c>
      <c r="H121" s="131" t="s">
        <v>28</v>
      </c>
      <c r="I121" s="131" t="s">
        <v>28</v>
      </c>
      <c r="J121" s="132" t="s">
        <v>22</v>
      </c>
      <c r="K121" s="131" t="s">
        <v>28</v>
      </c>
      <c r="L121" s="96"/>
      <c r="M121" s="96"/>
      <c r="N121" s="82"/>
      <c r="O121" s="96"/>
      <c r="P121" s="82"/>
      <c r="Q121" s="96"/>
      <c r="R121" s="96"/>
      <c r="S121" s="82"/>
      <c r="T121" s="45"/>
      <c r="U121" s="45"/>
      <c r="V121" s="45"/>
      <c r="W121" s="45"/>
      <c r="X121" s="45"/>
      <c r="Y121" s="45"/>
      <c r="Z121" s="45"/>
      <c r="AA121" s="45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32">
        <f t="shared" si="11"/>
        <v>0</v>
      </c>
      <c r="BB121" s="32">
        <f t="shared" si="12"/>
        <v>1</v>
      </c>
      <c r="BC121" s="32">
        <f t="shared" si="13"/>
        <v>7</v>
      </c>
      <c r="BD121" s="32">
        <f t="shared" si="14"/>
        <v>8</v>
      </c>
      <c r="BE121" s="33">
        <f t="shared" si="15"/>
        <v>87.5</v>
      </c>
    </row>
    <row r="122">
      <c r="A122" s="24">
        <v>46.0</v>
      </c>
      <c r="B122" s="24" t="s">
        <v>307</v>
      </c>
      <c r="C122" s="25" t="s">
        <v>308</v>
      </c>
      <c r="D122" s="102" t="s">
        <v>28</v>
      </c>
      <c r="E122" s="102" t="s">
        <v>28</v>
      </c>
      <c r="F122" s="125" t="s">
        <v>28</v>
      </c>
      <c r="G122" s="125" t="s">
        <v>28</v>
      </c>
      <c r="H122" s="131" t="s">
        <v>28</v>
      </c>
      <c r="I122" s="131" t="s">
        <v>28</v>
      </c>
      <c r="J122" s="131" t="s">
        <v>28</v>
      </c>
      <c r="K122" s="131" t="s">
        <v>28</v>
      </c>
      <c r="L122" s="96"/>
      <c r="M122" s="96"/>
      <c r="N122" s="96"/>
      <c r="O122" s="96"/>
      <c r="P122" s="82"/>
      <c r="Q122" s="96"/>
      <c r="R122" s="96"/>
      <c r="S122" s="96"/>
      <c r="T122" s="45"/>
      <c r="U122" s="45"/>
      <c r="V122" s="45"/>
      <c r="W122" s="45"/>
      <c r="X122" s="45"/>
      <c r="Y122" s="45"/>
      <c r="Z122" s="45"/>
      <c r="AA122" s="45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32">
        <f t="shared" si="11"/>
        <v>0</v>
      </c>
      <c r="BB122" s="32">
        <f t="shared" si="12"/>
        <v>0</v>
      </c>
      <c r="BC122" s="32">
        <f t="shared" si="13"/>
        <v>8</v>
      </c>
      <c r="BD122" s="32">
        <f t="shared" si="14"/>
        <v>8</v>
      </c>
      <c r="BE122" s="33">
        <f t="shared" si="15"/>
        <v>100</v>
      </c>
    </row>
    <row r="123">
      <c r="A123" s="24">
        <v>47.0</v>
      </c>
      <c r="B123" s="24" t="s">
        <v>309</v>
      </c>
      <c r="C123" s="25" t="s">
        <v>310</v>
      </c>
      <c r="D123" s="102" t="s">
        <v>28</v>
      </c>
      <c r="E123" s="102" t="s">
        <v>28</v>
      </c>
      <c r="F123" s="126" t="s">
        <v>22</v>
      </c>
      <c r="G123" s="125" t="s">
        <v>28</v>
      </c>
      <c r="H123" s="132" t="s">
        <v>22</v>
      </c>
      <c r="I123" s="132" t="s">
        <v>22</v>
      </c>
      <c r="J123" s="132" t="s">
        <v>22</v>
      </c>
      <c r="K123" s="131" t="s">
        <v>28</v>
      </c>
      <c r="L123" s="82"/>
      <c r="M123" s="96"/>
      <c r="N123" s="82"/>
      <c r="O123" s="96"/>
      <c r="P123" s="82"/>
      <c r="Q123" s="96"/>
      <c r="R123" s="96"/>
      <c r="S123" s="96"/>
      <c r="T123" s="45"/>
      <c r="U123" s="45"/>
      <c r="V123" s="45"/>
      <c r="W123" s="45"/>
      <c r="X123" s="45"/>
      <c r="Y123" s="45"/>
      <c r="Z123" s="45"/>
      <c r="AA123" s="45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32">
        <f t="shared" si="11"/>
        <v>0</v>
      </c>
      <c r="BB123" s="32">
        <f t="shared" si="12"/>
        <v>4</v>
      </c>
      <c r="BC123" s="32">
        <f t="shared" si="13"/>
        <v>4</v>
      </c>
      <c r="BD123" s="32">
        <f t="shared" si="14"/>
        <v>8</v>
      </c>
      <c r="BE123" s="33">
        <f t="shared" si="15"/>
        <v>50</v>
      </c>
    </row>
    <row r="124">
      <c r="A124" s="24">
        <v>48.0</v>
      </c>
      <c r="B124" s="24" t="s">
        <v>313</v>
      </c>
      <c r="C124" s="25" t="s">
        <v>314</v>
      </c>
      <c r="D124" s="104" t="s">
        <v>22</v>
      </c>
      <c r="E124" s="102" t="s">
        <v>28</v>
      </c>
      <c r="F124" s="125" t="s">
        <v>28</v>
      </c>
      <c r="G124" s="125" t="s">
        <v>28</v>
      </c>
      <c r="H124" s="131" t="s">
        <v>28</v>
      </c>
      <c r="I124" s="131" t="s">
        <v>28</v>
      </c>
      <c r="J124" s="131" t="s">
        <v>28</v>
      </c>
      <c r="K124" s="131" t="s">
        <v>28</v>
      </c>
      <c r="L124" s="96"/>
      <c r="M124" s="96"/>
      <c r="N124" s="96"/>
      <c r="O124" s="96"/>
      <c r="P124" s="96"/>
      <c r="Q124" s="96"/>
      <c r="R124" s="96"/>
      <c r="S124" s="82"/>
      <c r="T124" s="45"/>
      <c r="U124" s="45"/>
      <c r="V124" s="45"/>
      <c r="W124" s="45"/>
      <c r="X124" s="45"/>
      <c r="Y124" s="45"/>
      <c r="Z124" s="45"/>
      <c r="AA124" s="45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32">
        <f t="shared" si="11"/>
        <v>0</v>
      </c>
      <c r="BB124" s="32">
        <f t="shared" si="12"/>
        <v>1</v>
      </c>
      <c r="BC124" s="32">
        <f t="shared" si="13"/>
        <v>7</v>
      </c>
      <c r="BD124" s="32">
        <f t="shared" si="14"/>
        <v>8</v>
      </c>
      <c r="BE124" s="33">
        <f t="shared" si="15"/>
        <v>87.5</v>
      </c>
    </row>
    <row r="125">
      <c r="A125" s="24">
        <v>49.0</v>
      </c>
      <c r="B125" s="24" t="s">
        <v>315</v>
      </c>
      <c r="C125" s="25" t="s">
        <v>316</v>
      </c>
      <c r="D125" s="102" t="s">
        <v>28</v>
      </c>
      <c r="E125" s="102" t="s">
        <v>28</v>
      </c>
      <c r="F125" s="125" t="s">
        <v>28</v>
      </c>
      <c r="G125" s="125" t="s">
        <v>28</v>
      </c>
      <c r="H125" s="131" t="s">
        <v>28</v>
      </c>
      <c r="I125" s="132" t="s">
        <v>22</v>
      </c>
      <c r="J125" s="131" t="s">
        <v>28</v>
      </c>
      <c r="K125" s="131" t="s">
        <v>28</v>
      </c>
      <c r="L125" s="96"/>
      <c r="M125" s="96"/>
      <c r="N125" s="96"/>
      <c r="O125" s="96"/>
      <c r="P125" s="96"/>
      <c r="Q125" s="96"/>
      <c r="R125" s="96"/>
      <c r="S125" s="96"/>
      <c r="T125" s="45"/>
      <c r="U125" s="45"/>
      <c r="V125" s="45"/>
      <c r="W125" s="45"/>
      <c r="X125" s="45"/>
      <c r="Y125" s="45"/>
      <c r="Z125" s="45"/>
      <c r="AA125" s="45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32">
        <f t="shared" si="11"/>
        <v>0</v>
      </c>
      <c r="BB125" s="32">
        <f t="shared" si="12"/>
        <v>1</v>
      </c>
      <c r="BC125" s="32">
        <f t="shared" si="13"/>
        <v>7</v>
      </c>
      <c r="BD125" s="32">
        <f t="shared" si="14"/>
        <v>8</v>
      </c>
      <c r="BE125" s="33">
        <f t="shared" si="15"/>
        <v>87.5</v>
      </c>
    </row>
    <row r="126">
      <c r="A126" s="24">
        <v>50.0</v>
      </c>
      <c r="B126" s="24" t="s">
        <v>317</v>
      </c>
      <c r="C126" s="25" t="s">
        <v>318</v>
      </c>
      <c r="D126" s="102" t="s">
        <v>28</v>
      </c>
      <c r="E126" s="102" t="s">
        <v>28</v>
      </c>
      <c r="F126" s="125" t="s">
        <v>28</v>
      </c>
      <c r="G126" s="125" t="s">
        <v>28</v>
      </c>
      <c r="H126" s="131" t="s">
        <v>28</v>
      </c>
      <c r="I126" s="132" t="s">
        <v>22</v>
      </c>
      <c r="J126" s="131" t="s">
        <v>28</v>
      </c>
      <c r="K126" s="131" t="s">
        <v>28</v>
      </c>
      <c r="L126" s="96"/>
      <c r="M126" s="96"/>
      <c r="N126" s="96"/>
      <c r="O126" s="96"/>
      <c r="P126" s="96"/>
      <c r="Q126" s="96"/>
      <c r="R126" s="96"/>
      <c r="S126" s="96"/>
      <c r="T126" s="45"/>
      <c r="U126" s="45"/>
      <c r="V126" s="45"/>
      <c r="W126" s="45"/>
      <c r="X126" s="45"/>
      <c r="Y126" s="45"/>
      <c r="Z126" s="45"/>
      <c r="AA126" s="45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32">
        <f t="shared" si="11"/>
        <v>0</v>
      </c>
      <c r="BB126" s="32">
        <f t="shared" si="12"/>
        <v>1</v>
      </c>
      <c r="BC126" s="32">
        <f t="shared" si="13"/>
        <v>7</v>
      </c>
      <c r="BD126" s="32">
        <f t="shared" si="14"/>
        <v>8</v>
      </c>
      <c r="BE126" s="33">
        <f t="shared" si="15"/>
        <v>87.5</v>
      </c>
    </row>
    <row r="127">
      <c r="A127" s="24">
        <v>51.0</v>
      </c>
      <c r="B127" s="24" t="s">
        <v>319</v>
      </c>
      <c r="C127" s="25" t="s">
        <v>320</v>
      </c>
      <c r="D127" s="104" t="s">
        <v>22</v>
      </c>
      <c r="E127" s="104" t="s">
        <v>22</v>
      </c>
      <c r="F127" s="125" t="s">
        <v>28</v>
      </c>
      <c r="G127" s="125" t="s">
        <v>28</v>
      </c>
      <c r="H127" s="131" t="s">
        <v>28</v>
      </c>
      <c r="I127" s="131" t="s">
        <v>28</v>
      </c>
      <c r="J127" s="131" t="s">
        <v>28</v>
      </c>
      <c r="K127" s="131" t="s">
        <v>28</v>
      </c>
      <c r="L127" s="96"/>
      <c r="M127" s="96"/>
      <c r="N127" s="96"/>
      <c r="O127" s="82"/>
      <c r="P127" s="96"/>
      <c r="Q127" s="96"/>
      <c r="R127" s="96"/>
      <c r="S127" s="82"/>
      <c r="T127" s="45"/>
      <c r="U127" s="45"/>
      <c r="V127" s="45"/>
      <c r="W127" s="45"/>
      <c r="X127" s="45"/>
      <c r="Y127" s="45"/>
      <c r="Z127" s="45"/>
      <c r="AA127" s="45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32">
        <f t="shared" si="11"/>
        <v>0</v>
      </c>
      <c r="BB127" s="32">
        <f t="shared" si="12"/>
        <v>2</v>
      </c>
      <c r="BC127" s="32">
        <f t="shared" si="13"/>
        <v>6</v>
      </c>
      <c r="BD127" s="32">
        <f t="shared" si="14"/>
        <v>8</v>
      </c>
      <c r="BE127" s="33">
        <f t="shared" si="15"/>
        <v>75</v>
      </c>
    </row>
    <row r="128">
      <c r="A128" s="47">
        <v>52.0</v>
      </c>
      <c r="B128" s="47" t="s">
        <v>321</v>
      </c>
      <c r="C128" s="85" t="s">
        <v>322</v>
      </c>
      <c r="D128" s="125" t="s">
        <v>28</v>
      </c>
      <c r="E128" s="104" t="s">
        <v>22</v>
      </c>
      <c r="F128" s="125" t="s">
        <v>28</v>
      </c>
      <c r="G128" s="104" t="s">
        <v>22</v>
      </c>
      <c r="H128" s="104" t="s">
        <v>22</v>
      </c>
      <c r="I128" s="104" t="s">
        <v>22</v>
      </c>
      <c r="J128" s="104" t="s">
        <v>22</v>
      </c>
      <c r="K128" s="104" t="s">
        <v>22</v>
      </c>
      <c r="L128" s="96"/>
      <c r="M128" s="96"/>
      <c r="N128" s="82"/>
      <c r="O128" s="96"/>
      <c r="P128" s="82"/>
      <c r="Q128" s="96"/>
      <c r="R128" s="82"/>
      <c r="S128" s="96"/>
      <c r="T128" s="45"/>
      <c r="U128" s="45"/>
      <c r="V128" s="45"/>
      <c r="W128" s="45"/>
      <c r="X128" s="45"/>
      <c r="Y128" s="45"/>
      <c r="Z128" s="45"/>
      <c r="AA128" s="45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32">
        <f t="shared" si="11"/>
        <v>0</v>
      </c>
      <c r="BB128" s="32">
        <f t="shared" si="12"/>
        <v>6</v>
      </c>
      <c r="BC128" s="32">
        <f t="shared" si="13"/>
        <v>2</v>
      </c>
      <c r="BD128" s="32">
        <f t="shared" si="14"/>
        <v>8</v>
      </c>
      <c r="BE128" s="33">
        <f t="shared" si="15"/>
        <v>25</v>
      </c>
    </row>
    <row r="129">
      <c r="A129" s="35">
        <v>53.0</v>
      </c>
      <c r="B129" s="35" t="s">
        <v>327</v>
      </c>
      <c r="C129" s="36" t="s">
        <v>328</v>
      </c>
      <c r="D129" s="104" t="s">
        <v>22</v>
      </c>
      <c r="E129" s="104" t="s">
        <v>22</v>
      </c>
      <c r="F129" s="126" t="s">
        <v>22</v>
      </c>
      <c r="G129" s="133" t="s">
        <v>22</v>
      </c>
      <c r="H129" s="132" t="s">
        <v>22</v>
      </c>
      <c r="I129" s="132" t="s">
        <v>22</v>
      </c>
      <c r="J129" s="132" t="s">
        <v>22</v>
      </c>
      <c r="K129" s="132" t="s">
        <v>22</v>
      </c>
      <c r="L129" s="37"/>
      <c r="M129" s="37"/>
      <c r="N129" s="37"/>
      <c r="O129" s="37"/>
      <c r="P129" s="37"/>
      <c r="Q129" s="37"/>
      <c r="R129" s="37"/>
      <c r="S129" s="27"/>
      <c r="T129" s="39"/>
      <c r="U129" s="39"/>
      <c r="V129" s="39"/>
      <c r="W129" s="39"/>
      <c r="X129" s="39"/>
      <c r="Y129" s="39"/>
      <c r="Z129" s="39"/>
      <c r="AA129" s="39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1">
        <f t="shared" si="11"/>
        <v>0</v>
      </c>
      <c r="BB129" s="41">
        <f t="shared" si="12"/>
        <v>8</v>
      </c>
      <c r="BC129" s="41">
        <f t="shared" si="13"/>
        <v>0</v>
      </c>
      <c r="BD129" s="41">
        <f t="shared" si="14"/>
        <v>8</v>
      </c>
      <c r="BE129" s="42">
        <f t="shared" si="15"/>
        <v>0</v>
      </c>
    </row>
    <row r="130">
      <c r="A130" s="24">
        <v>54.0</v>
      </c>
      <c r="B130" s="24" t="s">
        <v>329</v>
      </c>
      <c r="C130" s="25" t="s">
        <v>330</v>
      </c>
      <c r="D130" s="102" t="s">
        <v>28</v>
      </c>
      <c r="E130" s="102" t="s">
        <v>28</v>
      </c>
      <c r="F130" s="125" t="s">
        <v>28</v>
      </c>
      <c r="G130" s="133" t="s">
        <v>22</v>
      </c>
      <c r="H130" s="132" t="s">
        <v>22</v>
      </c>
      <c r="I130" s="131" t="s">
        <v>28</v>
      </c>
      <c r="J130" s="131" t="s">
        <v>28</v>
      </c>
      <c r="K130" s="131" t="s">
        <v>28</v>
      </c>
      <c r="L130" s="96"/>
      <c r="M130" s="96"/>
      <c r="N130" s="96"/>
      <c r="O130" s="96"/>
      <c r="P130" s="96"/>
      <c r="Q130" s="96"/>
      <c r="R130" s="96"/>
      <c r="S130" s="96"/>
      <c r="T130" s="45"/>
      <c r="U130" s="45"/>
      <c r="V130" s="45"/>
      <c r="W130" s="45"/>
      <c r="X130" s="45"/>
      <c r="Y130" s="45"/>
      <c r="Z130" s="45"/>
      <c r="AA130" s="45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32">
        <f t="shared" si="11"/>
        <v>0</v>
      </c>
      <c r="BB130" s="32">
        <f t="shared" si="12"/>
        <v>2</v>
      </c>
      <c r="BC130" s="32">
        <f t="shared" si="13"/>
        <v>6</v>
      </c>
      <c r="BD130" s="32">
        <f t="shared" si="14"/>
        <v>8</v>
      </c>
      <c r="BE130" s="33">
        <f t="shared" si="15"/>
        <v>75</v>
      </c>
    </row>
    <row r="131">
      <c r="A131" s="24">
        <v>55.0</v>
      </c>
      <c r="B131" s="24" t="s">
        <v>337</v>
      </c>
      <c r="C131" s="25" t="s">
        <v>338</v>
      </c>
      <c r="D131" s="102" t="s">
        <v>28</v>
      </c>
      <c r="E131" s="102" t="s">
        <v>28</v>
      </c>
      <c r="F131" s="125" t="s">
        <v>28</v>
      </c>
      <c r="G131" s="134" t="s">
        <v>28</v>
      </c>
      <c r="H131" s="132" t="s">
        <v>22</v>
      </c>
      <c r="I131" s="131" t="s">
        <v>28</v>
      </c>
      <c r="J131" s="131" t="s">
        <v>28</v>
      </c>
      <c r="K131" s="131" t="s">
        <v>28</v>
      </c>
      <c r="L131" s="96"/>
      <c r="M131" s="96"/>
      <c r="N131" s="96"/>
      <c r="O131" s="96"/>
      <c r="P131" s="96"/>
      <c r="Q131" s="96"/>
      <c r="R131" s="96"/>
      <c r="S131" s="96"/>
      <c r="T131" s="45"/>
      <c r="U131" s="45"/>
      <c r="V131" s="45"/>
      <c r="W131" s="45"/>
      <c r="X131" s="45"/>
      <c r="Y131" s="45"/>
      <c r="Z131" s="45"/>
      <c r="AA131" s="45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32">
        <f t="shared" si="11"/>
        <v>0</v>
      </c>
      <c r="BB131" s="32">
        <f t="shared" si="12"/>
        <v>1</v>
      </c>
      <c r="BC131" s="32">
        <f t="shared" si="13"/>
        <v>7</v>
      </c>
      <c r="BD131" s="32">
        <f t="shared" si="14"/>
        <v>8</v>
      </c>
      <c r="BE131" s="33">
        <f t="shared" si="15"/>
        <v>87.5</v>
      </c>
    </row>
    <row r="132">
      <c r="A132" s="24">
        <v>56.0</v>
      </c>
      <c r="B132" s="24" t="s">
        <v>341</v>
      </c>
      <c r="C132" s="25" t="s">
        <v>342</v>
      </c>
      <c r="D132" s="104" t="s">
        <v>22</v>
      </c>
      <c r="E132" s="104" t="s">
        <v>22</v>
      </c>
      <c r="F132" s="126" t="s">
        <v>22</v>
      </c>
      <c r="G132" s="133" t="s">
        <v>22</v>
      </c>
      <c r="H132" s="131" t="s">
        <v>28</v>
      </c>
      <c r="I132" s="132" t="s">
        <v>22</v>
      </c>
      <c r="J132" s="131" t="s">
        <v>28</v>
      </c>
      <c r="K132" s="132" t="s">
        <v>22</v>
      </c>
      <c r="L132" s="96"/>
      <c r="M132" s="96"/>
      <c r="N132" s="82"/>
      <c r="O132" s="96"/>
      <c r="P132" s="96"/>
      <c r="Q132" s="96"/>
      <c r="R132" s="96"/>
      <c r="S132" s="82"/>
      <c r="T132" s="45"/>
      <c r="U132" s="45"/>
      <c r="V132" s="45"/>
      <c r="W132" s="45"/>
      <c r="X132" s="45"/>
      <c r="Y132" s="45"/>
      <c r="Z132" s="45"/>
      <c r="AA132" s="45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32">
        <f t="shared" si="11"/>
        <v>0</v>
      </c>
      <c r="BB132" s="32">
        <f t="shared" si="12"/>
        <v>6</v>
      </c>
      <c r="BC132" s="32">
        <f t="shared" si="13"/>
        <v>2</v>
      </c>
      <c r="BD132" s="32">
        <f t="shared" si="14"/>
        <v>8</v>
      </c>
      <c r="BE132" s="33">
        <f t="shared" si="15"/>
        <v>25</v>
      </c>
    </row>
    <row r="133">
      <c r="A133" s="24">
        <v>57.0</v>
      </c>
      <c r="B133" s="24" t="s">
        <v>349</v>
      </c>
      <c r="C133" s="25" t="s">
        <v>350</v>
      </c>
      <c r="D133" s="104" t="s">
        <v>22</v>
      </c>
      <c r="E133" s="104" t="s">
        <v>22</v>
      </c>
      <c r="F133" s="125" t="s">
        <v>28</v>
      </c>
      <c r="G133" s="125" t="s">
        <v>28</v>
      </c>
      <c r="H133" s="131" t="s">
        <v>28</v>
      </c>
      <c r="I133" s="131" t="s">
        <v>28</v>
      </c>
      <c r="J133" s="132" t="s">
        <v>22</v>
      </c>
      <c r="K133" s="131" t="s">
        <v>28</v>
      </c>
      <c r="L133" s="96"/>
      <c r="M133" s="96"/>
      <c r="N133" s="82"/>
      <c r="O133" s="96"/>
      <c r="P133" s="96"/>
      <c r="Q133" s="96"/>
      <c r="R133" s="96"/>
      <c r="S133" s="96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32">
        <f t="shared" si="11"/>
        <v>0</v>
      </c>
      <c r="BB133" s="32">
        <f t="shared" si="12"/>
        <v>3</v>
      </c>
      <c r="BC133" s="32">
        <f t="shared" si="13"/>
        <v>5</v>
      </c>
      <c r="BD133" s="32">
        <f t="shared" si="14"/>
        <v>8</v>
      </c>
      <c r="BE133" s="33">
        <f t="shared" si="15"/>
        <v>62.5</v>
      </c>
    </row>
    <row r="134">
      <c r="A134" s="24">
        <v>58.0</v>
      </c>
      <c r="B134" s="24" t="s">
        <v>351</v>
      </c>
      <c r="C134" s="25" t="s">
        <v>352</v>
      </c>
      <c r="D134" s="102" t="s">
        <v>28</v>
      </c>
      <c r="E134" s="102" t="s">
        <v>28</v>
      </c>
      <c r="F134" s="125" t="s">
        <v>28</v>
      </c>
      <c r="G134" s="125" t="s">
        <v>28</v>
      </c>
      <c r="H134" s="132" t="s">
        <v>22</v>
      </c>
      <c r="I134" s="131" t="s">
        <v>28</v>
      </c>
      <c r="J134" s="131" t="s">
        <v>28</v>
      </c>
      <c r="K134" s="131" t="s">
        <v>28</v>
      </c>
      <c r="L134" s="96"/>
      <c r="M134" s="96"/>
      <c r="N134" s="96"/>
      <c r="O134" s="96"/>
      <c r="P134" s="82"/>
      <c r="Q134" s="96"/>
      <c r="R134" s="96"/>
      <c r="S134" s="96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32">
        <f t="shared" si="11"/>
        <v>0</v>
      </c>
      <c r="BB134" s="32">
        <f t="shared" si="12"/>
        <v>1</v>
      </c>
      <c r="BC134" s="32">
        <f t="shared" si="13"/>
        <v>7</v>
      </c>
      <c r="BD134" s="32">
        <f t="shared" si="14"/>
        <v>8</v>
      </c>
      <c r="BE134" s="33">
        <f t="shared" si="15"/>
        <v>87.5</v>
      </c>
    </row>
    <row r="135">
      <c r="A135" s="24">
        <v>59.0</v>
      </c>
      <c r="B135" s="24" t="s">
        <v>357</v>
      </c>
      <c r="C135" s="25" t="s">
        <v>358</v>
      </c>
      <c r="D135" s="102" t="s">
        <v>28</v>
      </c>
      <c r="E135" s="102" t="s">
        <v>28</v>
      </c>
      <c r="F135" s="126" t="s">
        <v>22</v>
      </c>
      <c r="G135" s="133" t="s">
        <v>22</v>
      </c>
      <c r="H135" s="132" t="s">
        <v>22</v>
      </c>
      <c r="I135" s="131" t="s">
        <v>28</v>
      </c>
      <c r="J135" s="131" t="s">
        <v>28</v>
      </c>
      <c r="K135" s="131" t="s">
        <v>28</v>
      </c>
      <c r="L135" s="82"/>
      <c r="M135" s="96"/>
      <c r="N135" s="96"/>
      <c r="O135" s="96"/>
      <c r="P135" s="96"/>
      <c r="Q135" s="96"/>
      <c r="R135" s="96"/>
      <c r="S135" s="82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32">
        <f t="shared" si="11"/>
        <v>0</v>
      </c>
      <c r="BB135" s="32">
        <f t="shared" si="12"/>
        <v>3</v>
      </c>
      <c r="BC135" s="32">
        <f t="shared" si="13"/>
        <v>5</v>
      </c>
      <c r="BD135" s="32">
        <f t="shared" si="14"/>
        <v>8</v>
      </c>
      <c r="BE135" s="33">
        <f t="shared" si="15"/>
        <v>62.5</v>
      </c>
    </row>
    <row r="136">
      <c r="A136" s="24">
        <v>60.0</v>
      </c>
      <c r="B136" s="24" t="s">
        <v>359</v>
      </c>
      <c r="C136" s="25" t="s">
        <v>360</v>
      </c>
      <c r="D136" s="102" t="s">
        <v>28</v>
      </c>
      <c r="E136" s="102" t="s">
        <v>28</v>
      </c>
      <c r="F136" s="126" t="s">
        <v>22</v>
      </c>
      <c r="G136" s="133" t="s">
        <v>22</v>
      </c>
      <c r="H136" s="132" t="s">
        <v>22</v>
      </c>
      <c r="I136" s="132" t="s">
        <v>22</v>
      </c>
      <c r="J136" s="132" t="s">
        <v>22</v>
      </c>
      <c r="K136" s="132" t="s">
        <v>22</v>
      </c>
      <c r="L136" s="82"/>
      <c r="M136" s="96"/>
      <c r="N136" s="96"/>
      <c r="O136" s="96"/>
      <c r="P136" s="82"/>
      <c r="Q136" s="96"/>
      <c r="R136" s="96"/>
      <c r="S136" s="96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32">
        <f t="shared" si="11"/>
        <v>0</v>
      </c>
      <c r="BB136" s="32">
        <f t="shared" si="12"/>
        <v>6</v>
      </c>
      <c r="BC136" s="32">
        <f t="shared" si="13"/>
        <v>2</v>
      </c>
      <c r="BD136" s="32">
        <f t="shared" si="14"/>
        <v>8</v>
      </c>
      <c r="BE136" s="33">
        <f t="shared" si="15"/>
        <v>25</v>
      </c>
    </row>
    <row r="137">
      <c r="A137" s="24">
        <v>61.0</v>
      </c>
      <c r="B137" s="74" t="s">
        <v>361</v>
      </c>
      <c r="C137" s="75" t="s">
        <v>362</v>
      </c>
      <c r="D137" s="102" t="s">
        <v>28</v>
      </c>
      <c r="E137" s="102" t="s">
        <v>28</v>
      </c>
      <c r="F137" s="126" t="s">
        <v>22</v>
      </c>
      <c r="G137" s="125" t="s">
        <v>28</v>
      </c>
      <c r="H137" s="131" t="s">
        <v>28</v>
      </c>
      <c r="I137" s="131" t="s">
        <v>28</v>
      </c>
      <c r="J137" s="132" t="s">
        <v>22</v>
      </c>
      <c r="K137" s="131" t="s">
        <v>28</v>
      </c>
      <c r="L137" s="96"/>
      <c r="M137" s="96"/>
      <c r="N137" s="96"/>
      <c r="O137" s="96"/>
      <c r="P137" s="96"/>
      <c r="Q137" s="96"/>
      <c r="R137" s="96"/>
      <c r="S137" s="82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32">
        <f t="shared" si="11"/>
        <v>0</v>
      </c>
      <c r="BB137" s="32">
        <f t="shared" si="12"/>
        <v>2</v>
      </c>
      <c r="BC137" s="32">
        <f t="shared" si="13"/>
        <v>6</v>
      </c>
      <c r="BD137" s="32">
        <f t="shared" si="14"/>
        <v>8</v>
      </c>
      <c r="BE137" s="33">
        <f t="shared" si="15"/>
        <v>75</v>
      </c>
    </row>
    <row r="138">
      <c r="A138" s="24">
        <v>62.0</v>
      </c>
      <c r="B138" s="24" t="s">
        <v>365</v>
      </c>
      <c r="C138" s="25" t="s">
        <v>366</v>
      </c>
      <c r="D138" s="104" t="s">
        <v>22</v>
      </c>
      <c r="E138" s="102" t="s">
        <v>28</v>
      </c>
      <c r="F138" s="125" t="s">
        <v>28</v>
      </c>
      <c r="G138" s="125" t="s">
        <v>28</v>
      </c>
      <c r="H138" s="132" t="s">
        <v>22</v>
      </c>
      <c r="I138" s="131" t="s">
        <v>28</v>
      </c>
      <c r="J138" s="131" t="s">
        <v>28</v>
      </c>
      <c r="K138" s="131" t="s">
        <v>28</v>
      </c>
      <c r="L138" s="82"/>
      <c r="M138" s="82"/>
      <c r="N138" s="82"/>
      <c r="O138" s="96"/>
      <c r="P138" s="96"/>
      <c r="Q138" s="82"/>
      <c r="R138" s="96"/>
      <c r="S138" s="82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32">
        <f t="shared" si="11"/>
        <v>0</v>
      </c>
      <c r="BB138" s="32">
        <f t="shared" si="12"/>
        <v>2</v>
      </c>
      <c r="BC138" s="32">
        <f t="shared" si="13"/>
        <v>6</v>
      </c>
      <c r="BD138" s="32">
        <f t="shared" si="14"/>
        <v>8</v>
      </c>
      <c r="BE138" s="33">
        <f t="shared" si="15"/>
        <v>75</v>
      </c>
    </row>
    <row r="139">
      <c r="A139" s="55"/>
      <c r="B139" s="55"/>
      <c r="C139" s="56" t="s">
        <v>191</v>
      </c>
      <c r="D139" s="112">
        <f t="shared" ref="D139:AZ139" si="16">COUNTIF(D77:D138,"P")+COUNTIF(D77:D138,"L")</f>
        <v>46</v>
      </c>
      <c r="E139" s="112">
        <f t="shared" si="16"/>
        <v>44</v>
      </c>
      <c r="F139" s="112">
        <f t="shared" si="16"/>
        <v>39</v>
      </c>
      <c r="G139" s="112">
        <f t="shared" si="16"/>
        <v>43</v>
      </c>
      <c r="H139" s="112">
        <f t="shared" si="16"/>
        <v>31</v>
      </c>
      <c r="I139" s="112">
        <f t="shared" si="16"/>
        <v>37</v>
      </c>
      <c r="J139" s="112">
        <f t="shared" si="16"/>
        <v>30</v>
      </c>
      <c r="K139" s="112">
        <f t="shared" si="16"/>
        <v>53</v>
      </c>
      <c r="L139" s="112">
        <f t="shared" si="16"/>
        <v>0</v>
      </c>
      <c r="M139" s="112">
        <f t="shared" si="16"/>
        <v>0</v>
      </c>
      <c r="N139" s="112">
        <f t="shared" si="16"/>
        <v>0</v>
      </c>
      <c r="O139" s="112">
        <f t="shared" si="16"/>
        <v>0</v>
      </c>
      <c r="P139" s="112">
        <f t="shared" si="16"/>
        <v>0</v>
      </c>
      <c r="Q139" s="112">
        <f t="shared" si="16"/>
        <v>0</v>
      </c>
      <c r="R139" s="112">
        <f t="shared" si="16"/>
        <v>0</v>
      </c>
      <c r="S139" s="112">
        <f t="shared" si="16"/>
        <v>0</v>
      </c>
      <c r="T139" s="112">
        <f t="shared" si="16"/>
        <v>0</v>
      </c>
      <c r="U139" s="112">
        <f t="shared" si="16"/>
        <v>0</v>
      </c>
      <c r="V139" s="112">
        <f t="shared" si="16"/>
        <v>0</v>
      </c>
      <c r="W139" s="112">
        <f t="shared" si="16"/>
        <v>0</v>
      </c>
      <c r="X139" s="112">
        <f t="shared" si="16"/>
        <v>0</v>
      </c>
      <c r="Y139" s="112">
        <f t="shared" si="16"/>
        <v>0</v>
      </c>
      <c r="Z139" s="112">
        <f t="shared" si="16"/>
        <v>0</v>
      </c>
      <c r="AA139" s="112">
        <f t="shared" si="16"/>
        <v>0</v>
      </c>
      <c r="AB139" s="112">
        <f t="shared" si="16"/>
        <v>0</v>
      </c>
      <c r="AC139" s="112">
        <f t="shared" si="16"/>
        <v>0</v>
      </c>
      <c r="AD139" s="112">
        <f t="shared" si="16"/>
        <v>0</v>
      </c>
      <c r="AE139" s="112">
        <f t="shared" si="16"/>
        <v>0</v>
      </c>
      <c r="AF139" s="112">
        <f t="shared" si="16"/>
        <v>0</v>
      </c>
      <c r="AG139" s="112">
        <f t="shared" si="16"/>
        <v>0</v>
      </c>
      <c r="AH139" s="112">
        <f t="shared" si="16"/>
        <v>0</v>
      </c>
      <c r="AI139" s="112">
        <f t="shared" si="16"/>
        <v>0</v>
      </c>
      <c r="AJ139" s="112">
        <f t="shared" si="16"/>
        <v>0</v>
      </c>
      <c r="AK139" s="112">
        <f t="shared" si="16"/>
        <v>0</v>
      </c>
      <c r="AL139" s="112">
        <f t="shared" si="16"/>
        <v>0</v>
      </c>
      <c r="AM139" s="112">
        <f t="shared" si="16"/>
        <v>0</v>
      </c>
      <c r="AN139" s="112">
        <f t="shared" si="16"/>
        <v>0</v>
      </c>
      <c r="AO139" s="112">
        <f t="shared" si="16"/>
        <v>0</v>
      </c>
      <c r="AP139" s="112">
        <f t="shared" si="16"/>
        <v>0</v>
      </c>
      <c r="AQ139" s="112">
        <f t="shared" si="16"/>
        <v>0</v>
      </c>
      <c r="AR139" s="112">
        <f t="shared" si="16"/>
        <v>0</v>
      </c>
      <c r="AS139" s="112">
        <f t="shared" si="16"/>
        <v>0</v>
      </c>
      <c r="AT139" s="112">
        <f t="shared" si="16"/>
        <v>0</v>
      </c>
      <c r="AU139" s="112">
        <f t="shared" si="16"/>
        <v>0</v>
      </c>
      <c r="AV139" s="112">
        <f t="shared" si="16"/>
        <v>0</v>
      </c>
      <c r="AW139" s="112">
        <f t="shared" si="16"/>
        <v>0</v>
      </c>
      <c r="AX139" s="112">
        <f t="shared" si="16"/>
        <v>0</v>
      </c>
      <c r="AY139" s="112">
        <f t="shared" si="16"/>
        <v>0</v>
      </c>
      <c r="AZ139" s="112">
        <f t="shared" si="16"/>
        <v>0</v>
      </c>
      <c r="BA139" s="32">
        <f>COUNTIF(D139:AY139,"A")</f>
        <v>0</v>
      </c>
      <c r="BB139" s="32">
        <f>COUNTIF(D139:AY139,"p")</f>
        <v>0</v>
      </c>
      <c r="BC139" s="32">
        <f>SUM(AZ139:BB139)</f>
        <v>0</v>
      </c>
      <c r="BD139" s="33" t="str">
        <f>SUM(AZ139,BB139)/BC139*100</f>
        <v>#DIV/0!</v>
      </c>
    </row>
    <row r="140">
      <c r="A140" s="83" t="s">
        <v>512</v>
      </c>
      <c r="B140" s="55"/>
      <c r="C140" s="59" t="s">
        <v>192</v>
      </c>
      <c r="D140" s="114">
        <v>62.0</v>
      </c>
      <c r="E140" s="114">
        <v>62.0</v>
      </c>
      <c r="F140" s="114">
        <v>62.0</v>
      </c>
      <c r="G140" s="114">
        <v>62.0</v>
      </c>
      <c r="H140" s="114">
        <v>62.0</v>
      </c>
      <c r="I140" s="114">
        <v>62.0</v>
      </c>
      <c r="J140" s="114">
        <v>62.0</v>
      </c>
      <c r="K140" s="114">
        <v>62.0</v>
      </c>
      <c r="L140" s="114">
        <v>62.0</v>
      </c>
      <c r="M140" s="114">
        <v>62.0</v>
      </c>
      <c r="N140" s="114">
        <v>62.0</v>
      </c>
      <c r="O140" s="114">
        <v>62.0</v>
      </c>
      <c r="P140" s="114">
        <v>62.0</v>
      </c>
      <c r="Q140" s="114">
        <v>62.0</v>
      </c>
      <c r="R140" s="114">
        <v>62.0</v>
      </c>
      <c r="S140" s="114">
        <v>62.0</v>
      </c>
      <c r="T140" s="114">
        <v>62.0</v>
      </c>
      <c r="U140" s="114">
        <v>62.0</v>
      </c>
      <c r="V140" s="114">
        <v>62.0</v>
      </c>
      <c r="W140" s="114">
        <v>62.0</v>
      </c>
      <c r="X140" s="114">
        <v>62.0</v>
      </c>
      <c r="Y140" s="114">
        <v>62.0</v>
      </c>
      <c r="Z140" s="114">
        <v>62.0</v>
      </c>
      <c r="AA140" s="114">
        <v>62.0</v>
      </c>
      <c r="AB140" s="114">
        <v>62.0</v>
      </c>
      <c r="AC140" s="114">
        <v>62.0</v>
      </c>
      <c r="AD140" s="114">
        <v>62.0</v>
      </c>
      <c r="AE140" s="114">
        <v>62.0</v>
      </c>
      <c r="AF140" s="114">
        <v>62.0</v>
      </c>
      <c r="AG140" s="114">
        <v>62.0</v>
      </c>
      <c r="AH140" s="114">
        <v>62.0</v>
      </c>
      <c r="AI140" s="114">
        <v>62.0</v>
      </c>
      <c r="AJ140" s="114">
        <v>62.0</v>
      </c>
      <c r="AK140" s="114">
        <v>62.0</v>
      </c>
      <c r="AL140" s="114">
        <v>62.0</v>
      </c>
      <c r="AM140" s="114">
        <v>62.0</v>
      </c>
      <c r="AN140" s="114">
        <v>62.0</v>
      </c>
      <c r="AO140" s="114">
        <v>62.0</v>
      </c>
      <c r="AP140" s="114">
        <v>62.0</v>
      </c>
      <c r="AQ140" s="114">
        <v>62.0</v>
      </c>
      <c r="AR140" s="114">
        <v>62.0</v>
      </c>
      <c r="AS140" s="114">
        <v>62.0</v>
      </c>
      <c r="AT140" s="114">
        <v>62.0</v>
      </c>
      <c r="AU140" s="114">
        <v>62.0</v>
      </c>
      <c r="AV140" s="114">
        <v>62.0</v>
      </c>
      <c r="AW140" s="114">
        <v>62.0</v>
      </c>
      <c r="AX140" s="114">
        <v>62.0</v>
      </c>
      <c r="AY140" s="114">
        <v>62.0</v>
      </c>
      <c r="AZ140" s="114">
        <v>62.0</v>
      </c>
      <c r="BA140" s="55"/>
      <c r="BB140" s="55"/>
      <c r="BC140" s="55"/>
      <c r="BD140" s="55"/>
      <c r="BE140" s="76"/>
    </row>
    <row r="141">
      <c r="A141" s="55"/>
      <c r="B141" s="55"/>
      <c r="C141" s="129" t="s">
        <v>503</v>
      </c>
      <c r="D141" s="63">
        <f t="shared" ref="D141:L141" si="17">D140-D139</f>
        <v>16</v>
      </c>
      <c r="E141" s="63">
        <f t="shared" si="17"/>
        <v>18</v>
      </c>
      <c r="F141" s="63">
        <f t="shared" si="17"/>
        <v>23</v>
      </c>
      <c r="G141" s="63">
        <f t="shared" si="17"/>
        <v>19</v>
      </c>
      <c r="H141" s="63">
        <f t="shared" si="17"/>
        <v>31</v>
      </c>
      <c r="I141" s="63">
        <f t="shared" si="17"/>
        <v>25</v>
      </c>
      <c r="J141" s="63">
        <f t="shared" si="17"/>
        <v>32</v>
      </c>
      <c r="K141" s="63">
        <f t="shared" si="17"/>
        <v>9</v>
      </c>
      <c r="L141" s="63">
        <f t="shared" si="17"/>
        <v>62</v>
      </c>
      <c r="M141" s="63">
        <f t="shared" ref="M141:AZ141" si="18">M140-L139</f>
        <v>62</v>
      </c>
      <c r="N141" s="63">
        <f t="shared" si="18"/>
        <v>62</v>
      </c>
      <c r="O141" s="63">
        <f t="shared" si="18"/>
        <v>62</v>
      </c>
      <c r="P141" s="63">
        <f t="shared" si="18"/>
        <v>62</v>
      </c>
      <c r="Q141" s="63">
        <f t="shared" si="18"/>
        <v>62</v>
      </c>
      <c r="R141" s="63">
        <f t="shared" si="18"/>
        <v>62</v>
      </c>
      <c r="S141" s="63">
        <f t="shared" si="18"/>
        <v>62</v>
      </c>
      <c r="T141" s="63">
        <f t="shared" si="18"/>
        <v>62</v>
      </c>
      <c r="U141" s="63">
        <f t="shared" si="18"/>
        <v>62</v>
      </c>
      <c r="V141" s="63">
        <f t="shared" si="18"/>
        <v>62</v>
      </c>
      <c r="W141" s="63">
        <f t="shared" si="18"/>
        <v>62</v>
      </c>
      <c r="X141" s="63">
        <f t="shared" si="18"/>
        <v>62</v>
      </c>
      <c r="Y141" s="63">
        <f t="shared" si="18"/>
        <v>62</v>
      </c>
      <c r="Z141" s="63">
        <f t="shared" si="18"/>
        <v>62</v>
      </c>
      <c r="AA141" s="63">
        <f t="shared" si="18"/>
        <v>62</v>
      </c>
      <c r="AB141" s="63">
        <f t="shared" si="18"/>
        <v>62</v>
      </c>
      <c r="AC141" s="63">
        <f t="shared" si="18"/>
        <v>62</v>
      </c>
      <c r="AD141" s="63">
        <f t="shared" si="18"/>
        <v>62</v>
      </c>
      <c r="AE141" s="63">
        <f t="shared" si="18"/>
        <v>62</v>
      </c>
      <c r="AF141" s="63">
        <f t="shared" si="18"/>
        <v>62</v>
      </c>
      <c r="AG141" s="63">
        <f t="shared" si="18"/>
        <v>62</v>
      </c>
      <c r="AH141" s="63">
        <f t="shared" si="18"/>
        <v>62</v>
      </c>
      <c r="AI141" s="63">
        <f t="shared" si="18"/>
        <v>62</v>
      </c>
      <c r="AJ141" s="63">
        <f t="shared" si="18"/>
        <v>62</v>
      </c>
      <c r="AK141" s="63">
        <f t="shared" si="18"/>
        <v>62</v>
      </c>
      <c r="AL141" s="63">
        <f t="shared" si="18"/>
        <v>62</v>
      </c>
      <c r="AM141" s="63">
        <f t="shared" si="18"/>
        <v>62</v>
      </c>
      <c r="AN141" s="63">
        <f t="shared" si="18"/>
        <v>62</v>
      </c>
      <c r="AO141" s="63">
        <f t="shared" si="18"/>
        <v>62</v>
      </c>
      <c r="AP141" s="63">
        <f t="shared" si="18"/>
        <v>62</v>
      </c>
      <c r="AQ141" s="63">
        <f t="shared" si="18"/>
        <v>62</v>
      </c>
      <c r="AR141" s="63">
        <f t="shared" si="18"/>
        <v>62</v>
      </c>
      <c r="AS141" s="63">
        <f t="shared" si="18"/>
        <v>62</v>
      </c>
      <c r="AT141" s="63">
        <f t="shared" si="18"/>
        <v>62</v>
      </c>
      <c r="AU141" s="63">
        <f t="shared" si="18"/>
        <v>62</v>
      </c>
      <c r="AV141" s="63">
        <f t="shared" si="18"/>
        <v>62</v>
      </c>
      <c r="AW141" s="63">
        <f t="shared" si="18"/>
        <v>62</v>
      </c>
      <c r="AX141" s="63">
        <f t="shared" si="18"/>
        <v>62</v>
      </c>
      <c r="AY141" s="63">
        <f t="shared" si="18"/>
        <v>62</v>
      </c>
      <c r="AZ141" s="63">
        <f t="shared" si="18"/>
        <v>62</v>
      </c>
      <c r="BA141" s="55"/>
      <c r="BB141" s="55"/>
      <c r="BC141" s="55"/>
      <c r="BD141" s="55"/>
      <c r="BE141" s="76"/>
    </row>
    <row r="142">
      <c r="D142" s="123"/>
      <c r="E142" s="123"/>
      <c r="F142" s="123"/>
      <c r="G142" s="123"/>
      <c r="H142" s="135"/>
    </row>
    <row r="143">
      <c r="D143" s="123"/>
      <c r="E143" s="123"/>
      <c r="F143" s="123"/>
      <c r="G143" s="123"/>
      <c r="H143" s="135"/>
    </row>
    <row r="144">
      <c r="D144" s="123"/>
      <c r="E144" s="123"/>
      <c r="F144" s="123"/>
      <c r="G144" s="123"/>
      <c r="H144" s="135"/>
    </row>
    <row r="145">
      <c r="D145" s="123"/>
      <c r="E145" s="123"/>
      <c r="F145" s="123"/>
      <c r="G145" s="123"/>
      <c r="H145" s="135"/>
    </row>
    <row r="146">
      <c r="D146" s="123"/>
      <c r="E146" s="123"/>
      <c r="F146" s="123"/>
      <c r="G146" s="123"/>
      <c r="H146" s="135"/>
    </row>
    <row r="147">
      <c r="D147" s="123"/>
      <c r="E147" s="123"/>
      <c r="F147" s="123"/>
      <c r="G147" s="123"/>
      <c r="H147" s="135"/>
    </row>
    <row r="148">
      <c r="D148" s="123"/>
      <c r="E148" s="123"/>
      <c r="F148" s="123"/>
      <c r="G148" s="123"/>
      <c r="H148" s="135"/>
    </row>
    <row r="149">
      <c r="D149" s="123"/>
      <c r="E149" s="123"/>
      <c r="F149" s="123"/>
      <c r="G149" s="123"/>
      <c r="H149" s="135"/>
    </row>
    <row r="150">
      <c r="D150" s="123"/>
      <c r="E150" s="123"/>
      <c r="F150" s="123"/>
      <c r="G150" s="123"/>
      <c r="H150" s="135"/>
    </row>
    <row r="151">
      <c r="D151" s="123"/>
      <c r="E151" s="123"/>
      <c r="F151" s="123"/>
      <c r="G151" s="123"/>
      <c r="H151" s="135"/>
    </row>
    <row r="152">
      <c r="D152" s="123"/>
      <c r="E152" s="123"/>
      <c r="F152" s="123"/>
      <c r="G152" s="123"/>
      <c r="H152" s="135"/>
    </row>
    <row r="153">
      <c r="D153" s="123"/>
      <c r="E153" s="123"/>
      <c r="F153" s="123"/>
      <c r="G153" s="123"/>
      <c r="H153" s="135"/>
    </row>
    <row r="154">
      <c r="D154" s="123"/>
      <c r="E154" s="123"/>
      <c r="F154" s="123"/>
      <c r="G154" s="123"/>
      <c r="H154" s="135"/>
    </row>
    <row r="155">
      <c r="D155" s="123"/>
      <c r="E155" s="123"/>
      <c r="F155" s="123"/>
      <c r="G155" s="123"/>
      <c r="H155" s="135"/>
      <c r="L155" s="124" t="s">
        <v>492</v>
      </c>
    </row>
    <row r="156">
      <c r="D156" s="123"/>
      <c r="E156" s="123"/>
      <c r="F156" s="123"/>
      <c r="G156" s="123"/>
      <c r="H156" s="135"/>
    </row>
    <row r="157">
      <c r="D157" s="123"/>
      <c r="E157" s="123"/>
      <c r="F157" s="123"/>
      <c r="G157" s="123"/>
      <c r="H157" s="135"/>
    </row>
    <row r="158">
      <c r="D158" s="123"/>
      <c r="E158" s="123"/>
      <c r="F158" s="123"/>
      <c r="G158" s="123"/>
      <c r="H158" s="135"/>
    </row>
    <row r="159">
      <c r="D159" s="123"/>
      <c r="E159" s="123"/>
      <c r="F159" s="123"/>
      <c r="G159" s="123"/>
      <c r="H159" s="135"/>
    </row>
    <row r="160">
      <c r="D160" s="123"/>
      <c r="E160" s="123"/>
      <c r="F160" s="123"/>
      <c r="G160" s="123"/>
      <c r="H160" s="135"/>
    </row>
    <row r="161">
      <c r="D161" s="123"/>
      <c r="E161" s="123"/>
      <c r="F161" s="123"/>
      <c r="G161" s="123"/>
      <c r="H161" s="135"/>
    </row>
    <row r="162">
      <c r="D162" s="123"/>
      <c r="E162" s="123"/>
      <c r="F162" s="123"/>
      <c r="G162" s="123"/>
      <c r="H162" s="135"/>
    </row>
    <row r="163">
      <c r="D163" s="123"/>
      <c r="E163" s="123"/>
      <c r="F163" s="123"/>
      <c r="G163" s="123"/>
      <c r="H163" s="135"/>
    </row>
    <row r="164">
      <c r="D164" s="123"/>
      <c r="E164" s="123"/>
      <c r="F164" s="123"/>
      <c r="G164" s="123"/>
      <c r="H164" s="135"/>
    </row>
    <row r="165">
      <c r="D165" s="123"/>
      <c r="E165" s="123"/>
      <c r="F165" s="123"/>
      <c r="G165" s="123"/>
      <c r="H165" s="135"/>
    </row>
    <row r="166">
      <c r="D166" s="123"/>
      <c r="E166" s="123"/>
      <c r="F166" s="123"/>
      <c r="G166" s="123"/>
      <c r="H166" s="135"/>
    </row>
    <row r="167">
      <c r="D167" s="123"/>
      <c r="E167" s="123"/>
      <c r="F167" s="123"/>
      <c r="G167" s="123"/>
      <c r="H167" s="135"/>
    </row>
    <row r="168">
      <c r="D168" s="123"/>
      <c r="E168" s="123"/>
      <c r="F168" s="123"/>
      <c r="G168" s="123"/>
      <c r="H168" s="135"/>
    </row>
    <row r="169">
      <c r="D169" s="123"/>
      <c r="E169" s="123"/>
      <c r="F169" s="123"/>
      <c r="G169" s="123"/>
      <c r="H169" s="135"/>
    </row>
    <row r="170">
      <c r="D170" s="123"/>
      <c r="E170" s="123"/>
      <c r="F170" s="123"/>
      <c r="G170" s="123"/>
      <c r="H170" s="135"/>
    </row>
    <row r="171">
      <c r="D171" s="123"/>
      <c r="E171" s="123"/>
      <c r="F171" s="123"/>
      <c r="G171" s="123"/>
      <c r="H171" s="135"/>
    </row>
    <row r="172">
      <c r="D172" s="123"/>
      <c r="E172" s="123"/>
      <c r="F172" s="123"/>
      <c r="G172" s="123"/>
      <c r="H172" s="135"/>
    </row>
    <row r="173">
      <c r="D173" s="123"/>
      <c r="E173" s="123"/>
      <c r="F173" s="123"/>
      <c r="G173" s="123"/>
      <c r="H173" s="135"/>
    </row>
    <row r="174">
      <c r="D174" s="123"/>
      <c r="E174" s="123"/>
      <c r="F174" s="123"/>
      <c r="G174" s="123"/>
      <c r="H174" s="135"/>
    </row>
    <row r="175">
      <c r="D175" s="123"/>
      <c r="E175" s="123"/>
      <c r="F175" s="123"/>
      <c r="G175" s="123"/>
      <c r="H175" s="135"/>
    </row>
    <row r="176">
      <c r="D176" s="123"/>
      <c r="E176" s="123"/>
      <c r="F176" s="123"/>
      <c r="G176" s="123"/>
      <c r="H176" s="135"/>
    </row>
    <row r="177">
      <c r="D177" s="123"/>
      <c r="E177" s="123"/>
      <c r="F177" s="123"/>
      <c r="G177" s="123"/>
      <c r="H177" s="135"/>
    </row>
    <row r="178">
      <c r="D178" s="123"/>
      <c r="E178" s="123"/>
      <c r="F178" s="123"/>
      <c r="G178" s="123"/>
      <c r="H178" s="135"/>
    </row>
    <row r="179">
      <c r="D179" s="123"/>
      <c r="E179" s="123"/>
      <c r="F179" s="123"/>
      <c r="G179" s="123"/>
      <c r="H179" s="135"/>
    </row>
    <row r="180">
      <c r="D180" s="123"/>
      <c r="E180" s="123"/>
      <c r="F180" s="123"/>
      <c r="G180" s="123"/>
      <c r="H180" s="135"/>
    </row>
    <row r="181">
      <c r="D181" s="123"/>
      <c r="E181" s="123"/>
      <c r="F181" s="123"/>
      <c r="G181" s="123"/>
      <c r="H181" s="135"/>
    </row>
    <row r="182">
      <c r="D182" s="123"/>
      <c r="E182" s="123"/>
      <c r="F182" s="123"/>
      <c r="G182" s="123"/>
      <c r="H182" s="135"/>
    </row>
    <row r="183">
      <c r="D183" s="123"/>
      <c r="E183" s="123"/>
      <c r="F183" s="123"/>
      <c r="G183" s="123"/>
      <c r="H183" s="135"/>
    </row>
    <row r="184">
      <c r="D184" s="123"/>
      <c r="E184" s="123"/>
      <c r="F184" s="123"/>
      <c r="G184" s="123"/>
      <c r="H184" s="135"/>
    </row>
    <row r="185">
      <c r="D185" s="123"/>
      <c r="E185" s="123"/>
      <c r="F185" s="123"/>
      <c r="G185" s="123"/>
      <c r="H185" s="135"/>
    </row>
    <row r="186">
      <c r="D186" s="123"/>
      <c r="E186" s="123"/>
      <c r="F186" s="123"/>
      <c r="G186" s="123"/>
      <c r="H186" s="135"/>
    </row>
    <row r="187">
      <c r="D187" s="123"/>
      <c r="E187" s="123"/>
      <c r="F187" s="123"/>
      <c r="G187" s="123"/>
      <c r="H187" s="135"/>
    </row>
    <row r="188">
      <c r="D188" s="123"/>
      <c r="E188" s="123"/>
      <c r="F188" s="123"/>
      <c r="G188" s="123"/>
      <c r="H188" s="135"/>
    </row>
    <row r="189">
      <c r="D189" s="123"/>
      <c r="E189" s="123"/>
      <c r="F189" s="123"/>
      <c r="G189" s="123"/>
      <c r="H189" s="135"/>
    </row>
    <row r="190">
      <c r="D190" s="123"/>
      <c r="E190" s="123"/>
      <c r="F190" s="123"/>
      <c r="G190" s="123"/>
      <c r="H190" s="135"/>
    </row>
    <row r="191">
      <c r="D191" s="123"/>
      <c r="E191" s="123"/>
      <c r="F191" s="123"/>
      <c r="G191" s="123"/>
      <c r="H191" s="135"/>
    </row>
    <row r="192">
      <c r="D192" s="123"/>
      <c r="E192" s="123"/>
      <c r="F192" s="123"/>
      <c r="G192" s="123"/>
      <c r="H192" s="135"/>
    </row>
    <row r="193">
      <c r="D193" s="123"/>
      <c r="E193" s="123"/>
      <c r="F193" s="123"/>
      <c r="G193" s="123"/>
      <c r="H193" s="135"/>
    </row>
    <row r="194">
      <c r="D194" s="123"/>
      <c r="E194" s="123"/>
      <c r="F194" s="123"/>
      <c r="G194" s="123"/>
      <c r="H194" s="135"/>
    </row>
    <row r="195">
      <c r="D195" s="123"/>
      <c r="E195" s="123"/>
      <c r="F195" s="123"/>
      <c r="G195" s="123"/>
      <c r="H195" s="135"/>
    </row>
    <row r="196">
      <c r="D196" s="123"/>
      <c r="E196" s="123"/>
      <c r="F196" s="123"/>
      <c r="G196" s="123"/>
      <c r="H196" s="135"/>
    </row>
    <row r="197">
      <c r="D197" s="123"/>
      <c r="E197" s="123"/>
      <c r="F197" s="123"/>
      <c r="G197" s="123"/>
      <c r="H197" s="135"/>
    </row>
    <row r="198">
      <c r="D198" s="123"/>
      <c r="E198" s="123"/>
      <c r="F198" s="123"/>
      <c r="G198" s="123"/>
      <c r="H198" s="135"/>
    </row>
    <row r="199">
      <c r="D199" s="123"/>
      <c r="E199" s="123"/>
      <c r="F199" s="123"/>
      <c r="G199" s="123"/>
      <c r="H199" s="135"/>
    </row>
    <row r="200">
      <c r="D200" s="123"/>
      <c r="E200" s="123"/>
      <c r="F200" s="123"/>
      <c r="G200" s="123"/>
      <c r="H200" s="135"/>
    </row>
    <row r="201">
      <c r="D201" s="123"/>
      <c r="E201" s="123"/>
      <c r="F201" s="123"/>
      <c r="G201" s="123"/>
      <c r="H201" s="135"/>
    </row>
    <row r="202">
      <c r="D202" s="123"/>
      <c r="E202" s="123"/>
      <c r="F202" s="123"/>
      <c r="G202" s="123"/>
      <c r="H202" s="135"/>
    </row>
    <row r="203">
      <c r="D203" s="123"/>
      <c r="E203" s="123"/>
      <c r="F203" s="123"/>
      <c r="G203" s="123"/>
      <c r="H203" s="135"/>
    </row>
    <row r="204">
      <c r="D204" s="123"/>
      <c r="E204" s="123"/>
      <c r="F204" s="123"/>
      <c r="G204" s="123"/>
      <c r="H204" s="135"/>
    </row>
    <row r="205">
      <c r="D205" s="123"/>
      <c r="E205" s="123"/>
      <c r="F205" s="123"/>
      <c r="G205" s="123"/>
      <c r="H205" s="135"/>
    </row>
    <row r="206">
      <c r="D206" s="123"/>
      <c r="E206" s="123"/>
      <c r="F206" s="123"/>
      <c r="G206" s="123"/>
      <c r="H206" s="135"/>
    </row>
    <row r="207">
      <c r="D207" s="123"/>
      <c r="E207" s="123"/>
      <c r="F207" s="123"/>
      <c r="G207" s="123"/>
      <c r="H207" s="135"/>
    </row>
    <row r="208">
      <c r="D208" s="123"/>
      <c r="E208" s="123"/>
      <c r="F208" s="123"/>
      <c r="G208" s="123"/>
      <c r="H208" s="135"/>
    </row>
    <row r="209">
      <c r="D209" s="123"/>
      <c r="E209" s="123"/>
      <c r="F209" s="123"/>
      <c r="G209" s="123"/>
      <c r="H209" s="135"/>
    </row>
    <row r="210">
      <c r="D210" s="123"/>
      <c r="E210" s="123"/>
      <c r="F210" s="123"/>
      <c r="G210" s="123"/>
      <c r="H210" s="135"/>
    </row>
    <row r="211">
      <c r="D211" s="123"/>
      <c r="E211" s="123"/>
      <c r="F211" s="123"/>
      <c r="G211" s="123"/>
      <c r="H211" s="135"/>
    </row>
    <row r="212">
      <c r="D212" s="123"/>
      <c r="E212" s="123"/>
      <c r="F212" s="123"/>
      <c r="G212" s="123"/>
      <c r="H212" s="135"/>
    </row>
    <row r="213">
      <c r="D213" s="123"/>
      <c r="E213" s="123"/>
      <c r="F213" s="123"/>
      <c r="G213" s="123"/>
      <c r="H213" s="135"/>
    </row>
    <row r="214">
      <c r="D214" s="123"/>
      <c r="E214" s="123"/>
      <c r="F214" s="123"/>
      <c r="G214" s="123"/>
      <c r="H214" s="135"/>
    </row>
    <row r="215">
      <c r="D215" s="123"/>
      <c r="E215" s="123"/>
      <c r="F215" s="123"/>
      <c r="G215" s="123"/>
      <c r="H215" s="135"/>
    </row>
    <row r="216">
      <c r="D216" s="123"/>
      <c r="E216" s="123"/>
      <c r="F216" s="123"/>
      <c r="G216" s="123"/>
      <c r="H216" s="135"/>
    </row>
    <row r="217">
      <c r="D217" s="123"/>
      <c r="E217" s="123"/>
      <c r="F217" s="123"/>
      <c r="G217" s="123"/>
      <c r="H217" s="135"/>
    </row>
    <row r="218">
      <c r="D218" s="123"/>
      <c r="E218" s="123"/>
      <c r="F218" s="123"/>
      <c r="G218" s="123"/>
      <c r="H218" s="135"/>
    </row>
    <row r="219">
      <c r="D219" s="123"/>
      <c r="E219" s="123"/>
      <c r="F219" s="123"/>
      <c r="G219" s="123"/>
      <c r="H219" s="135"/>
    </row>
    <row r="220">
      <c r="D220" s="123"/>
      <c r="E220" s="123"/>
      <c r="F220" s="123"/>
      <c r="G220" s="123"/>
      <c r="H220" s="135"/>
    </row>
    <row r="221">
      <c r="D221" s="123"/>
      <c r="E221" s="123"/>
      <c r="F221" s="123"/>
      <c r="G221" s="123"/>
      <c r="H221" s="135"/>
    </row>
    <row r="222">
      <c r="D222" s="123"/>
      <c r="E222" s="123"/>
      <c r="F222" s="123"/>
      <c r="G222" s="123"/>
      <c r="H222" s="135"/>
    </row>
    <row r="223">
      <c r="D223" s="123"/>
      <c r="E223" s="123"/>
      <c r="F223" s="123"/>
      <c r="G223" s="123"/>
      <c r="H223" s="135"/>
    </row>
    <row r="224">
      <c r="D224" s="123"/>
      <c r="E224" s="123"/>
      <c r="F224" s="123"/>
      <c r="G224" s="123"/>
      <c r="H224" s="135"/>
    </row>
    <row r="225">
      <c r="D225" s="123"/>
      <c r="E225" s="123"/>
      <c r="F225" s="123"/>
      <c r="G225" s="123"/>
      <c r="H225" s="135"/>
    </row>
    <row r="226">
      <c r="D226" s="123"/>
      <c r="E226" s="123"/>
      <c r="F226" s="123"/>
      <c r="G226" s="123"/>
      <c r="H226" s="135"/>
    </row>
    <row r="227">
      <c r="D227" s="123"/>
      <c r="E227" s="123"/>
      <c r="F227" s="123"/>
      <c r="G227" s="123"/>
      <c r="H227" s="135"/>
    </row>
    <row r="228">
      <c r="D228" s="123"/>
      <c r="E228" s="123"/>
      <c r="F228" s="123"/>
      <c r="G228" s="123"/>
      <c r="H228" s="135"/>
    </row>
    <row r="229">
      <c r="D229" s="123"/>
      <c r="E229" s="123"/>
      <c r="F229" s="123"/>
      <c r="G229" s="123"/>
      <c r="H229" s="135"/>
    </row>
    <row r="230">
      <c r="D230" s="123"/>
      <c r="E230" s="123"/>
      <c r="F230" s="123"/>
      <c r="G230" s="123"/>
      <c r="H230" s="135"/>
    </row>
    <row r="231">
      <c r="D231" s="123"/>
      <c r="E231" s="123"/>
      <c r="F231" s="123"/>
      <c r="G231" s="123"/>
      <c r="H231" s="135"/>
    </row>
    <row r="232">
      <c r="D232" s="123"/>
      <c r="E232" s="123"/>
      <c r="F232" s="123"/>
      <c r="G232" s="123"/>
      <c r="H232" s="135"/>
    </row>
    <row r="233">
      <c r="D233" s="123"/>
      <c r="E233" s="123"/>
      <c r="F233" s="123"/>
      <c r="G233" s="123"/>
      <c r="H233" s="135"/>
    </row>
    <row r="234">
      <c r="D234" s="123"/>
      <c r="E234" s="123"/>
      <c r="F234" s="123"/>
      <c r="G234" s="123"/>
      <c r="H234" s="135"/>
    </row>
    <row r="235">
      <c r="D235" s="123"/>
      <c r="E235" s="123"/>
      <c r="F235" s="123"/>
      <c r="G235" s="123"/>
      <c r="H235" s="135"/>
    </row>
    <row r="236">
      <c r="D236" s="123"/>
      <c r="E236" s="123"/>
      <c r="F236" s="123"/>
      <c r="G236" s="123"/>
      <c r="H236" s="135"/>
    </row>
    <row r="237">
      <c r="D237" s="123"/>
      <c r="E237" s="123"/>
      <c r="F237" s="123"/>
      <c r="G237" s="123"/>
      <c r="H237" s="135"/>
    </row>
    <row r="238">
      <c r="D238" s="123"/>
      <c r="E238" s="123"/>
      <c r="F238" s="123"/>
      <c r="G238" s="123"/>
      <c r="H238" s="135"/>
    </row>
    <row r="239">
      <c r="D239" s="123"/>
      <c r="E239" s="123"/>
      <c r="F239" s="123"/>
      <c r="G239" s="123"/>
      <c r="H239" s="135"/>
    </row>
    <row r="240">
      <c r="D240" s="123"/>
      <c r="E240" s="123"/>
      <c r="F240" s="123"/>
      <c r="G240" s="123"/>
      <c r="H240" s="135"/>
    </row>
    <row r="241">
      <c r="D241" s="123"/>
      <c r="E241" s="123"/>
      <c r="F241" s="123"/>
      <c r="G241" s="123"/>
      <c r="H241" s="135"/>
    </row>
    <row r="242">
      <c r="D242" s="123"/>
      <c r="E242" s="123"/>
      <c r="F242" s="123"/>
      <c r="G242" s="123"/>
      <c r="H242" s="135"/>
    </row>
    <row r="243">
      <c r="D243" s="123"/>
      <c r="E243" s="123"/>
      <c r="F243" s="123"/>
      <c r="G243" s="123"/>
      <c r="H243" s="135"/>
    </row>
    <row r="244">
      <c r="D244" s="123"/>
      <c r="E244" s="123"/>
      <c r="F244" s="123"/>
      <c r="G244" s="123"/>
      <c r="H244" s="135"/>
    </row>
    <row r="245">
      <c r="D245" s="123"/>
      <c r="E245" s="123"/>
      <c r="F245" s="123"/>
      <c r="G245" s="123"/>
      <c r="H245" s="135"/>
    </row>
    <row r="246">
      <c r="D246" s="123"/>
      <c r="E246" s="123"/>
      <c r="F246" s="123"/>
      <c r="G246" s="123"/>
      <c r="H246" s="135"/>
    </row>
    <row r="247">
      <c r="D247" s="123"/>
      <c r="E247" s="123"/>
      <c r="F247" s="123"/>
      <c r="G247" s="123"/>
      <c r="H247" s="135"/>
    </row>
    <row r="248">
      <c r="D248" s="123"/>
      <c r="E248" s="123"/>
      <c r="F248" s="123"/>
      <c r="G248" s="123"/>
      <c r="H248" s="135"/>
    </row>
    <row r="249">
      <c r="D249" s="123"/>
      <c r="E249" s="123"/>
      <c r="F249" s="123"/>
      <c r="G249" s="123"/>
      <c r="H249" s="135"/>
    </row>
    <row r="250">
      <c r="D250" s="123"/>
      <c r="E250" s="123"/>
      <c r="F250" s="123"/>
      <c r="G250" s="123"/>
      <c r="H250" s="135"/>
    </row>
    <row r="251">
      <c r="D251" s="123"/>
      <c r="E251" s="123"/>
      <c r="F251" s="123"/>
      <c r="G251" s="123"/>
      <c r="H251" s="135"/>
    </row>
    <row r="252">
      <c r="D252" s="123"/>
      <c r="E252" s="123"/>
      <c r="F252" s="123"/>
      <c r="G252" s="123"/>
      <c r="H252" s="135"/>
    </row>
    <row r="253">
      <c r="D253" s="123"/>
      <c r="E253" s="123"/>
      <c r="F253" s="123"/>
      <c r="G253" s="123"/>
      <c r="H253" s="135"/>
    </row>
    <row r="254">
      <c r="D254" s="123"/>
      <c r="E254" s="123"/>
      <c r="F254" s="123"/>
      <c r="G254" s="123"/>
      <c r="H254" s="135"/>
    </row>
    <row r="255">
      <c r="D255" s="123"/>
      <c r="E255" s="123"/>
      <c r="F255" s="123"/>
      <c r="G255" s="123"/>
      <c r="H255" s="135"/>
    </row>
    <row r="256">
      <c r="D256" s="123"/>
      <c r="E256" s="123"/>
      <c r="F256" s="123"/>
      <c r="G256" s="123"/>
      <c r="H256" s="135"/>
    </row>
    <row r="257">
      <c r="D257" s="123"/>
      <c r="E257" s="123"/>
      <c r="F257" s="123"/>
      <c r="G257" s="123"/>
      <c r="H257" s="135"/>
    </row>
    <row r="258">
      <c r="D258" s="123"/>
      <c r="E258" s="123"/>
      <c r="F258" s="123"/>
      <c r="G258" s="123"/>
      <c r="H258" s="135"/>
    </row>
    <row r="259">
      <c r="D259" s="123"/>
      <c r="E259" s="123"/>
      <c r="F259" s="123"/>
      <c r="G259" s="123"/>
      <c r="H259" s="135"/>
    </row>
    <row r="260">
      <c r="D260" s="123"/>
      <c r="E260" s="123"/>
      <c r="F260" s="123"/>
      <c r="G260" s="123"/>
      <c r="H260" s="135"/>
    </row>
    <row r="261">
      <c r="D261" s="123"/>
      <c r="E261" s="123"/>
      <c r="F261" s="123"/>
      <c r="G261" s="123"/>
      <c r="H261" s="135"/>
    </row>
    <row r="262">
      <c r="D262" s="123"/>
      <c r="E262" s="123"/>
      <c r="F262" s="123"/>
      <c r="G262" s="123"/>
      <c r="H262" s="135"/>
    </row>
    <row r="263">
      <c r="D263" s="123"/>
      <c r="E263" s="123"/>
      <c r="F263" s="123"/>
      <c r="G263" s="123"/>
      <c r="H263" s="135"/>
    </row>
    <row r="264">
      <c r="D264" s="123"/>
      <c r="E264" s="123"/>
      <c r="F264" s="123"/>
      <c r="G264" s="123"/>
      <c r="H264" s="135"/>
    </row>
    <row r="265">
      <c r="D265" s="123"/>
      <c r="E265" s="123"/>
      <c r="F265" s="123"/>
      <c r="G265" s="123"/>
      <c r="H265" s="135"/>
    </row>
    <row r="266">
      <c r="D266" s="123"/>
      <c r="E266" s="123"/>
      <c r="F266" s="123"/>
      <c r="G266" s="123"/>
      <c r="H266" s="135"/>
    </row>
    <row r="267">
      <c r="D267" s="123"/>
      <c r="E267" s="123"/>
      <c r="F267" s="123"/>
      <c r="G267" s="123"/>
      <c r="H267" s="135"/>
    </row>
    <row r="268">
      <c r="D268" s="123"/>
      <c r="E268" s="123"/>
      <c r="F268" s="123"/>
      <c r="G268" s="123"/>
      <c r="H268" s="135"/>
    </row>
    <row r="269">
      <c r="D269" s="123"/>
      <c r="E269" s="123"/>
      <c r="F269" s="123"/>
      <c r="G269" s="123"/>
      <c r="H269" s="135"/>
    </row>
    <row r="270">
      <c r="D270" s="123"/>
      <c r="E270" s="123"/>
      <c r="F270" s="123"/>
      <c r="G270" s="123"/>
      <c r="H270" s="135"/>
    </row>
    <row r="271">
      <c r="D271" s="123"/>
      <c r="E271" s="123"/>
      <c r="F271" s="123"/>
      <c r="G271" s="123"/>
      <c r="H271" s="135"/>
    </row>
    <row r="272">
      <c r="D272" s="123"/>
      <c r="E272" s="123"/>
      <c r="F272" s="123"/>
      <c r="G272" s="123"/>
      <c r="H272" s="135"/>
    </row>
    <row r="273">
      <c r="D273" s="123"/>
      <c r="E273" s="123"/>
      <c r="F273" s="123"/>
      <c r="G273" s="123"/>
      <c r="H273" s="135"/>
    </row>
    <row r="274">
      <c r="D274" s="123"/>
      <c r="E274" s="123"/>
      <c r="F274" s="123"/>
      <c r="G274" s="123"/>
      <c r="H274" s="135"/>
    </row>
    <row r="275">
      <c r="D275" s="123"/>
      <c r="E275" s="123"/>
      <c r="F275" s="123"/>
      <c r="G275" s="123"/>
      <c r="H275" s="135"/>
    </row>
    <row r="276">
      <c r="D276" s="123"/>
      <c r="E276" s="123"/>
      <c r="F276" s="123"/>
      <c r="G276" s="123"/>
      <c r="H276" s="135"/>
    </row>
    <row r="277">
      <c r="D277" s="123"/>
      <c r="E277" s="123"/>
      <c r="F277" s="123"/>
      <c r="G277" s="123"/>
      <c r="H277" s="135"/>
    </row>
    <row r="278">
      <c r="D278" s="123"/>
      <c r="E278" s="123"/>
      <c r="F278" s="123"/>
      <c r="G278" s="123"/>
      <c r="H278" s="135"/>
    </row>
    <row r="279">
      <c r="D279" s="123"/>
      <c r="E279" s="123"/>
      <c r="F279" s="123"/>
      <c r="G279" s="123"/>
      <c r="H279" s="135"/>
    </row>
    <row r="280">
      <c r="D280" s="123"/>
      <c r="E280" s="123"/>
      <c r="F280" s="123"/>
      <c r="G280" s="123"/>
      <c r="H280" s="135"/>
    </row>
    <row r="281">
      <c r="D281" s="123"/>
      <c r="E281" s="123"/>
      <c r="F281" s="123"/>
      <c r="G281" s="123"/>
      <c r="H281" s="135"/>
    </row>
    <row r="282">
      <c r="D282" s="123"/>
      <c r="E282" s="123"/>
      <c r="F282" s="123"/>
      <c r="G282" s="123"/>
      <c r="H282" s="135"/>
    </row>
    <row r="283">
      <c r="D283" s="123"/>
      <c r="E283" s="123"/>
      <c r="F283" s="123"/>
      <c r="G283" s="123"/>
      <c r="H283" s="135"/>
    </row>
    <row r="284">
      <c r="D284" s="123"/>
      <c r="E284" s="123"/>
      <c r="F284" s="123"/>
      <c r="G284" s="123"/>
      <c r="H284" s="135"/>
    </row>
    <row r="285">
      <c r="D285" s="123"/>
      <c r="E285" s="123"/>
      <c r="F285" s="123"/>
      <c r="G285" s="123"/>
      <c r="H285" s="135"/>
    </row>
    <row r="286">
      <c r="D286" s="123"/>
      <c r="E286" s="123"/>
      <c r="F286" s="123"/>
      <c r="G286" s="123"/>
      <c r="H286" s="135"/>
    </row>
    <row r="287">
      <c r="D287" s="123"/>
      <c r="E287" s="123"/>
      <c r="F287" s="123"/>
      <c r="G287" s="123"/>
      <c r="H287" s="135"/>
    </row>
    <row r="288">
      <c r="D288" s="123"/>
      <c r="E288" s="123"/>
      <c r="F288" s="123"/>
      <c r="G288" s="123"/>
      <c r="H288" s="135"/>
    </row>
    <row r="289">
      <c r="D289" s="123"/>
      <c r="E289" s="123"/>
      <c r="F289" s="123"/>
      <c r="G289" s="123"/>
      <c r="H289" s="135"/>
    </row>
    <row r="290">
      <c r="D290" s="123"/>
      <c r="E290" s="123"/>
      <c r="F290" s="123"/>
      <c r="G290" s="123"/>
      <c r="H290" s="135"/>
    </row>
    <row r="291">
      <c r="D291" s="123"/>
      <c r="E291" s="123"/>
      <c r="F291" s="123"/>
      <c r="G291" s="123"/>
      <c r="H291" s="135"/>
    </row>
    <row r="292">
      <c r="D292" s="123"/>
      <c r="E292" s="123"/>
      <c r="F292" s="123"/>
      <c r="G292" s="123"/>
      <c r="H292" s="135"/>
    </row>
    <row r="293">
      <c r="D293" s="123"/>
      <c r="E293" s="123"/>
      <c r="F293" s="123"/>
      <c r="G293" s="123"/>
      <c r="H293" s="135"/>
    </row>
    <row r="294">
      <c r="D294" s="123"/>
      <c r="E294" s="123"/>
      <c r="F294" s="123"/>
      <c r="G294" s="123"/>
      <c r="H294" s="135"/>
    </row>
    <row r="295">
      <c r="D295" s="123"/>
      <c r="E295" s="123"/>
      <c r="F295" s="123"/>
      <c r="G295" s="123"/>
      <c r="H295" s="135"/>
    </row>
    <row r="296">
      <c r="D296" s="123"/>
      <c r="E296" s="123"/>
      <c r="F296" s="123"/>
      <c r="G296" s="123"/>
      <c r="H296" s="135"/>
    </row>
    <row r="297">
      <c r="D297" s="123"/>
      <c r="E297" s="123"/>
      <c r="F297" s="123"/>
      <c r="G297" s="123"/>
      <c r="H297" s="135"/>
    </row>
    <row r="298">
      <c r="D298" s="123"/>
      <c r="E298" s="123"/>
      <c r="F298" s="123"/>
      <c r="G298" s="123"/>
      <c r="H298" s="135"/>
    </row>
    <row r="299">
      <c r="D299" s="123"/>
      <c r="E299" s="123"/>
      <c r="F299" s="123"/>
      <c r="G299" s="123"/>
      <c r="H299" s="135"/>
    </row>
    <row r="300">
      <c r="D300" s="123"/>
      <c r="E300" s="123"/>
      <c r="F300" s="123"/>
      <c r="G300" s="123"/>
      <c r="H300" s="135"/>
    </row>
    <row r="301">
      <c r="D301" s="123"/>
      <c r="E301" s="123"/>
      <c r="F301" s="123"/>
      <c r="G301" s="123"/>
      <c r="H301" s="135"/>
    </row>
    <row r="302">
      <c r="D302" s="123"/>
      <c r="E302" s="123"/>
      <c r="F302" s="123"/>
      <c r="G302" s="123"/>
      <c r="H302" s="135"/>
    </row>
    <row r="303">
      <c r="D303" s="123"/>
      <c r="E303" s="123"/>
      <c r="F303" s="123"/>
      <c r="G303" s="123"/>
      <c r="H303" s="135"/>
    </row>
    <row r="304">
      <c r="D304" s="123"/>
      <c r="E304" s="123"/>
      <c r="F304" s="123"/>
      <c r="G304" s="123"/>
      <c r="H304" s="135"/>
    </row>
    <row r="305">
      <c r="D305" s="123"/>
      <c r="E305" s="123"/>
      <c r="F305" s="123"/>
      <c r="G305" s="123"/>
      <c r="H305" s="135"/>
    </row>
    <row r="306">
      <c r="D306" s="123"/>
      <c r="E306" s="123"/>
      <c r="F306" s="123"/>
      <c r="G306" s="123"/>
      <c r="H306" s="135"/>
    </row>
    <row r="307">
      <c r="D307" s="123"/>
      <c r="E307" s="123"/>
      <c r="F307" s="123"/>
      <c r="G307" s="123"/>
      <c r="H307" s="135"/>
    </row>
    <row r="308">
      <c r="D308" s="123"/>
      <c r="E308" s="123"/>
      <c r="F308" s="123"/>
      <c r="G308" s="123"/>
      <c r="H308" s="135"/>
    </row>
    <row r="309">
      <c r="D309" s="123"/>
      <c r="E309" s="123"/>
      <c r="F309" s="123"/>
      <c r="G309" s="123"/>
      <c r="H309" s="135"/>
    </row>
    <row r="310">
      <c r="D310" s="123"/>
      <c r="E310" s="123"/>
      <c r="F310" s="123"/>
      <c r="G310" s="123"/>
      <c r="H310" s="135"/>
    </row>
    <row r="311">
      <c r="D311" s="123"/>
      <c r="E311" s="123"/>
      <c r="F311" s="123"/>
      <c r="G311" s="123"/>
      <c r="H311" s="135"/>
    </row>
    <row r="312">
      <c r="D312" s="123"/>
      <c r="E312" s="123"/>
      <c r="F312" s="123"/>
      <c r="G312" s="123"/>
      <c r="H312" s="135"/>
    </row>
    <row r="313">
      <c r="D313" s="123"/>
      <c r="E313" s="123"/>
      <c r="F313" s="123"/>
      <c r="G313" s="123"/>
      <c r="H313" s="135"/>
    </row>
    <row r="314">
      <c r="D314" s="123"/>
      <c r="E314" s="123"/>
      <c r="F314" s="123"/>
      <c r="G314" s="123"/>
      <c r="H314" s="135"/>
    </row>
    <row r="315">
      <c r="D315" s="123"/>
      <c r="E315" s="123"/>
      <c r="F315" s="123"/>
      <c r="G315" s="123"/>
      <c r="H315" s="135"/>
    </row>
    <row r="316">
      <c r="D316" s="123"/>
      <c r="E316" s="123"/>
      <c r="F316" s="123"/>
      <c r="G316" s="123"/>
      <c r="H316" s="135"/>
    </row>
    <row r="317">
      <c r="D317" s="123"/>
      <c r="E317" s="123"/>
      <c r="F317" s="123"/>
      <c r="G317" s="123"/>
      <c r="H317" s="135"/>
    </row>
    <row r="318">
      <c r="D318" s="123"/>
      <c r="E318" s="123"/>
      <c r="F318" s="123"/>
      <c r="G318" s="123"/>
      <c r="H318" s="135"/>
    </row>
    <row r="319">
      <c r="D319" s="123"/>
      <c r="E319" s="123"/>
      <c r="F319" s="123"/>
      <c r="G319" s="123"/>
      <c r="H319" s="135"/>
    </row>
    <row r="320">
      <c r="D320" s="123"/>
      <c r="E320" s="123"/>
      <c r="F320" s="123"/>
      <c r="G320" s="123"/>
      <c r="H320" s="135"/>
    </row>
    <row r="321">
      <c r="D321" s="123"/>
      <c r="E321" s="123"/>
      <c r="F321" s="123"/>
      <c r="G321" s="123"/>
      <c r="H321" s="135"/>
    </row>
    <row r="322">
      <c r="D322" s="123"/>
      <c r="E322" s="123"/>
      <c r="F322" s="123"/>
      <c r="G322" s="123"/>
      <c r="H322" s="135"/>
    </row>
    <row r="323">
      <c r="D323" s="123"/>
      <c r="E323" s="123"/>
      <c r="F323" s="123"/>
      <c r="G323" s="123"/>
      <c r="H323" s="135"/>
    </row>
    <row r="324">
      <c r="D324" s="123"/>
      <c r="E324" s="123"/>
      <c r="F324" s="123"/>
      <c r="G324" s="123"/>
      <c r="H324" s="135"/>
    </row>
    <row r="325">
      <c r="D325" s="123"/>
      <c r="E325" s="123"/>
      <c r="F325" s="123"/>
      <c r="G325" s="123"/>
      <c r="H325" s="135"/>
    </row>
    <row r="326">
      <c r="D326" s="123"/>
      <c r="E326" s="123"/>
      <c r="F326" s="123"/>
      <c r="G326" s="123"/>
      <c r="H326" s="135"/>
    </row>
    <row r="327">
      <c r="D327" s="123"/>
      <c r="E327" s="123"/>
      <c r="F327" s="123"/>
      <c r="G327" s="123"/>
      <c r="H327" s="135"/>
    </row>
    <row r="328">
      <c r="D328" s="123"/>
      <c r="E328" s="123"/>
      <c r="F328" s="123"/>
      <c r="G328" s="123"/>
      <c r="H328" s="135"/>
    </row>
    <row r="329">
      <c r="D329" s="123"/>
      <c r="E329" s="123"/>
      <c r="F329" s="123"/>
      <c r="G329" s="123"/>
      <c r="H329" s="135"/>
    </row>
    <row r="330">
      <c r="D330" s="123"/>
      <c r="E330" s="123"/>
      <c r="F330" s="123"/>
      <c r="G330" s="123"/>
      <c r="H330" s="135"/>
    </row>
    <row r="331">
      <c r="D331" s="123"/>
      <c r="E331" s="123"/>
      <c r="F331" s="123"/>
      <c r="G331" s="123"/>
      <c r="H331" s="135"/>
    </row>
    <row r="332">
      <c r="D332" s="123"/>
      <c r="E332" s="123"/>
      <c r="F332" s="123"/>
      <c r="G332" s="123"/>
      <c r="H332" s="135"/>
    </row>
    <row r="333">
      <c r="D333" s="123"/>
      <c r="E333" s="123"/>
      <c r="F333" s="123"/>
      <c r="G333" s="123"/>
      <c r="H333" s="135"/>
    </row>
    <row r="334">
      <c r="D334" s="123"/>
      <c r="E334" s="123"/>
      <c r="F334" s="123"/>
      <c r="G334" s="123"/>
      <c r="H334" s="135"/>
    </row>
    <row r="335">
      <c r="D335" s="123"/>
      <c r="E335" s="123"/>
      <c r="F335" s="123"/>
      <c r="G335" s="123"/>
      <c r="H335" s="135"/>
    </row>
    <row r="336">
      <c r="D336" s="123"/>
      <c r="E336" s="123"/>
      <c r="F336" s="123"/>
      <c r="G336" s="123"/>
      <c r="H336" s="135"/>
    </row>
    <row r="337">
      <c r="D337" s="123"/>
      <c r="E337" s="123"/>
      <c r="F337" s="123"/>
      <c r="G337" s="123"/>
      <c r="H337" s="135"/>
    </row>
    <row r="338">
      <c r="D338" s="123"/>
      <c r="E338" s="123"/>
      <c r="F338" s="123"/>
      <c r="G338" s="123"/>
      <c r="H338" s="135"/>
    </row>
    <row r="339">
      <c r="D339" s="123"/>
      <c r="E339" s="123"/>
      <c r="F339" s="123"/>
      <c r="G339" s="123"/>
      <c r="H339" s="135"/>
    </row>
    <row r="340">
      <c r="D340" s="123"/>
      <c r="E340" s="123"/>
      <c r="F340" s="123"/>
      <c r="G340" s="123"/>
      <c r="H340" s="135"/>
    </row>
    <row r="341">
      <c r="D341" s="123"/>
      <c r="E341" s="123"/>
      <c r="F341" s="123"/>
      <c r="G341" s="123"/>
      <c r="H341" s="135"/>
    </row>
    <row r="342">
      <c r="D342" s="123"/>
      <c r="E342" s="123"/>
      <c r="F342" s="123"/>
      <c r="G342" s="123"/>
      <c r="H342" s="135"/>
    </row>
    <row r="343">
      <c r="D343" s="123"/>
      <c r="E343" s="123"/>
      <c r="F343" s="123"/>
      <c r="G343" s="123"/>
      <c r="H343" s="135"/>
    </row>
    <row r="344">
      <c r="D344" s="123"/>
      <c r="E344" s="123"/>
      <c r="F344" s="123"/>
      <c r="G344" s="123"/>
      <c r="H344" s="135"/>
    </row>
    <row r="345">
      <c r="D345" s="123"/>
      <c r="E345" s="123"/>
      <c r="F345" s="123"/>
      <c r="G345" s="123"/>
      <c r="H345" s="135"/>
    </row>
    <row r="346">
      <c r="D346" s="123"/>
      <c r="E346" s="123"/>
      <c r="F346" s="123"/>
      <c r="G346" s="123"/>
      <c r="H346" s="135"/>
    </row>
    <row r="347">
      <c r="D347" s="123"/>
      <c r="E347" s="123"/>
      <c r="F347" s="123"/>
      <c r="G347" s="123"/>
      <c r="H347" s="135"/>
    </row>
    <row r="348">
      <c r="D348" s="123"/>
      <c r="E348" s="123"/>
      <c r="F348" s="123"/>
      <c r="G348" s="123"/>
      <c r="H348" s="135"/>
    </row>
    <row r="349">
      <c r="D349" s="123"/>
      <c r="E349" s="123"/>
      <c r="F349" s="123"/>
      <c r="G349" s="123"/>
      <c r="H349" s="135"/>
    </row>
    <row r="350">
      <c r="D350" s="123"/>
      <c r="E350" s="123"/>
      <c r="F350" s="123"/>
      <c r="G350" s="123"/>
      <c r="H350" s="135"/>
    </row>
    <row r="351">
      <c r="D351" s="123"/>
      <c r="E351" s="123"/>
      <c r="F351" s="123"/>
      <c r="G351" s="123"/>
      <c r="H351" s="135"/>
    </row>
    <row r="352">
      <c r="D352" s="123"/>
      <c r="E352" s="123"/>
      <c r="F352" s="123"/>
      <c r="G352" s="123"/>
      <c r="H352" s="135"/>
    </row>
    <row r="353">
      <c r="D353" s="123"/>
      <c r="E353" s="123"/>
      <c r="F353" s="123"/>
      <c r="G353" s="123"/>
      <c r="H353" s="135"/>
    </row>
    <row r="354">
      <c r="D354" s="123"/>
      <c r="E354" s="123"/>
      <c r="F354" s="123"/>
      <c r="G354" s="123"/>
      <c r="H354" s="135"/>
    </row>
    <row r="355">
      <c r="D355" s="123"/>
      <c r="E355" s="123"/>
      <c r="F355" s="123"/>
      <c r="G355" s="123"/>
      <c r="H355" s="135"/>
    </row>
    <row r="356">
      <c r="D356" s="123"/>
      <c r="E356" s="123"/>
      <c r="F356" s="123"/>
      <c r="G356" s="123"/>
      <c r="H356" s="135"/>
    </row>
    <row r="357">
      <c r="D357" s="123"/>
      <c r="E357" s="123"/>
      <c r="F357" s="123"/>
      <c r="G357" s="123"/>
      <c r="H357" s="135"/>
    </row>
    <row r="358">
      <c r="D358" s="123"/>
      <c r="E358" s="123"/>
      <c r="F358" s="123"/>
      <c r="G358" s="123"/>
      <c r="H358" s="135"/>
    </row>
    <row r="359">
      <c r="D359" s="123"/>
      <c r="E359" s="123"/>
      <c r="F359" s="123"/>
      <c r="G359" s="123"/>
      <c r="H359" s="135"/>
    </row>
    <row r="360">
      <c r="D360" s="123"/>
      <c r="E360" s="123"/>
      <c r="F360" s="123"/>
      <c r="G360" s="123"/>
      <c r="H360" s="135"/>
    </row>
    <row r="361">
      <c r="D361" s="123"/>
      <c r="E361" s="123"/>
      <c r="F361" s="123"/>
      <c r="G361" s="123"/>
      <c r="H361" s="135"/>
    </row>
    <row r="362">
      <c r="D362" s="123"/>
      <c r="E362" s="123"/>
      <c r="F362" s="123"/>
      <c r="G362" s="123"/>
      <c r="H362" s="135"/>
    </row>
    <row r="363">
      <c r="D363" s="123"/>
      <c r="E363" s="123"/>
      <c r="F363" s="123"/>
      <c r="G363" s="123"/>
      <c r="H363" s="135"/>
    </row>
    <row r="364">
      <c r="D364" s="123"/>
      <c r="E364" s="123"/>
      <c r="F364" s="123"/>
      <c r="G364" s="123"/>
      <c r="H364" s="135"/>
    </row>
    <row r="365">
      <c r="D365" s="123"/>
      <c r="E365" s="123"/>
      <c r="F365" s="123"/>
      <c r="G365" s="123"/>
      <c r="H365" s="135"/>
    </row>
    <row r="366">
      <c r="D366" s="123"/>
      <c r="E366" s="123"/>
      <c r="F366" s="123"/>
      <c r="G366" s="123"/>
      <c r="H366" s="135"/>
    </row>
    <row r="367">
      <c r="D367" s="123"/>
      <c r="E367" s="123"/>
      <c r="F367" s="123"/>
      <c r="G367" s="123"/>
      <c r="H367" s="135"/>
    </row>
    <row r="368">
      <c r="D368" s="123"/>
      <c r="E368" s="123"/>
      <c r="F368" s="123"/>
      <c r="G368" s="123"/>
      <c r="H368" s="135"/>
    </row>
    <row r="369">
      <c r="D369" s="123"/>
      <c r="E369" s="123"/>
      <c r="F369" s="123"/>
      <c r="G369" s="123"/>
      <c r="H369" s="135"/>
    </row>
    <row r="370">
      <c r="D370" s="123"/>
      <c r="E370" s="123"/>
      <c r="F370" s="123"/>
      <c r="G370" s="123"/>
      <c r="H370" s="135"/>
    </row>
    <row r="371">
      <c r="D371" s="123"/>
      <c r="E371" s="123"/>
      <c r="F371" s="123"/>
      <c r="G371" s="123"/>
      <c r="H371" s="135"/>
    </row>
    <row r="372">
      <c r="D372" s="123"/>
      <c r="E372" s="123"/>
      <c r="F372" s="123"/>
      <c r="G372" s="123"/>
      <c r="H372" s="135"/>
    </row>
    <row r="373">
      <c r="D373" s="123"/>
      <c r="E373" s="123"/>
      <c r="F373" s="123"/>
      <c r="G373" s="123"/>
      <c r="H373" s="135"/>
    </row>
    <row r="374">
      <c r="D374" s="123"/>
      <c r="E374" s="123"/>
      <c r="F374" s="123"/>
      <c r="G374" s="123"/>
      <c r="H374" s="135"/>
    </row>
    <row r="375">
      <c r="D375" s="123"/>
      <c r="E375" s="123"/>
      <c r="F375" s="123"/>
      <c r="G375" s="123"/>
      <c r="H375" s="135"/>
    </row>
    <row r="376">
      <c r="D376" s="123"/>
      <c r="E376" s="123"/>
      <c r="F376" s="123"/>
      <c r="G376" s="123"/>
      <c r="H376" s="135"/>
    </row>
    <row r="377">
      <c r="D377" s="123"/>
      <c r="E377" s="123"/>
      <c r="F377" s="123"/>
      <c r="G377" s="123"/>
      <c r="H377" s="135"/>
    </row>
    <row r="378">
      <c r="D378" s="123"/>
      <c r="E378" s="123"/>
      <c r="F378" s="123"/>
      <c r="G378" s="123"/>
      <c r="H378" s="135"/>
    </row>
    <row r="379">
      <c r="D379" s="123"/>
      <c r="E379" s="123"/>
      <c r="F379" s="123"/>
      <c r="G379" s="123"/>
      <c r="H379" s="135"/>
    </row>
    <row r="380">
      <c r="D380" s="123"/>
      <c r="E380" s="123"/>
      <c r="F380" s="123"/>
      <c r="G380" s="123"/>
      <c r="H380" s="135"/>
    </row>
    <row r="381">
      <c r="D381" s="123"/>
      <c r="E381" s="123"/>
      <c r="F381" s="123"/>
      <c r="G381" s="123"/>
      <c r="H381" s="135"/>
    </row>
    <row r="382">
      <c r="D382" s="123"/>
      <c r="E382" s="123"/>
      <c r="F382" s="123"/>
      <c r="G382" s="123"/>
      <c r="H382" s="135"/>
    </row>
    <row r="383">
      <c r="D383" s="123"/>
      <c r="E383" s="123"/>
      <c r="F383" s="123"/>
      <c r="G383" s="123"/>
      <c r="H383" s="135"/>
    </row>
    <row r="384">
      <c r="D384" s="123"/>
      <c r="E384" s="123"/>
      <c r="F384" s="123"/>
      <c r="G384" s="123"/>
      <c r="H384" s="135"/>
    </row>
    <row r="385">
      <c r="D385" s="123"/>
      <c r="E385" s="123"/>
      <c r="F385" s="123"/>
      <c r="G385" s="123"/>
      <c r="H385" s="135"/>
    </row>
    <row r="386">
      <c r="D386" s="123"/>
      <c r="E386" s="123"/>
      <c r="F386" s="123"/>
      <c r="G386" s="123"/>
      <c r="H386" s="135"/>
    </row>
    <row r="387">
      <c r="D387" s="123"/>
      <c r="E387" s="123"/>
      <c r="F387" s="123"/>
      <c r="G387" s="123"/>
      <c r="H387" s="135"/>
    </row>
    <row r="388">
      <c r="D388" s="123"/>
      <c r="E388" s="123"/>
      <c r="F388" s="123"/>
      <c r="G388" s="123"/>
      <c r="H388" s="135"/>
    </row>
    <row r="389">
      <c r="D389" s="123"/>
      <c r="E389" s="123"/>
      <c r="F389" s="123"/>
      <c r="G389" s="123"/>
      <c r="H389" s="135"/>
    </row>
    <row r="390">
      <c r="D390" s="123"/>
      <c r="E390" s="123"/>
      <c r="F390" s="123"/>
      <c r="G390" s="123"/>
      <c r="H390" s="135"/>
    </row>
    <row r="391">
      <c r="D391" s="123"/>
      <c r="E391" s="123"/>
      <c r="F391" s="123"/>
      <c r="G391" s="123"/>
      <c r="H391" s="135"/>
    </row>
    <row r="392">
      <c r="D392" s="123"/>
      <c r="E392" s="123"/>
      <c r="F392" s="123"/>
      <c r="G392" s="123"/>
      <c r="H392" s="135"/>
    </row>
    <row r="393">
      <c r="D393" s="123"/>
      <c r="E393" s="123"/>
      <c r="F393" s="123"/>
      <c r="G393" s="123"/>
      <c r="H393" s="135"/>
    </row>
    <row r="394">
      <c r="D394" s="123"/>
      <c r="E394" s="123"/>
      <c r="F394" s="123"/>
      <c r="G394" s="123"/>
      <c r="H394" s="135"/>
    </row>
    <row r="395">
      <c r="D395" s="123"/>
      <c r="E395" s="123"/>
      <c r="F395" s="123"/>
      <c r="G395" s="123"/>
      <c r="H395" s="135"/>
    </row>
    <row r="396">
      <c r="D396" s="123"/>
      <c r="E396" s="123"/>
      <c r="F396" s="123"/>
      <c r="G396" s="123"/>
      <c r="H396" s="135"/>
    </row>
    <row r="397">
      <c r="D397" s="123"/>
      <c r="E397" s="123"/>
      <c r="F397" s="123"/>
      <c r="G397" s="123"/>
      <c r="H397" s="135"/>
    </row>
    <row r="398">
      <c r="D398" s="123"/>
      <c r="E398" s="123"/>
      <c r="F398" s="123"/>
      <c r="G398" s="123"/>
      <c r="H398" s="135"/>
    </row>
    <row r="399">
      <c r="D399" s="123"/>
      <c r="E399" s="123"/>
      <c r="F399" s="123"/>
      <c r="G399" s="123"/>
      <c r="H399" s="135"/>
    </row>
    <row r="400">
      <c r="D400" s="123"/>
      <c r="E400" s="123"/>
      <c r="F400" s="123"/>
      <c r="G400" s="123"/>
      <c r="H400" s="135"/>
    </row>
    <row r="401">
      <c r="D401" s="123"/>
      <c r="E401" s="123"/>
      <c r="F401" s="123"/>
      <c r="G401" s="123"/>
      <c r="H401" s="135"/>
    </row>
    <row r="402">
      <c r="D402" s="123"/>
      <c r="E402" s="123"/>
      <c r="F402" s="123"/>
      <c r="G402" s="123"/>
      <c r="H402" s="135"/>
    </row>
    <row r="403">
      <c r="D403" s="123"/>
      <c r="E403" s="123"/>
      <c r="F403" s="123"/>
      <c r="G403" s="123"/>
      <c r="H403" s="135"/>
    </row>
    <row r="404">
      <c r="D404" s="123"/>
      <c r="E404" s="123"/>
      <c r="F404" s="123"/>
      <c r="G404" s="123"/>
      <c r="H404" s="135"/>
    </row>
    <row r="405">
      <c r="D405" s="123"/>
      <c r="E405" s="123"/>
      <c r="F405" s="123"/>
      <c r="G405" s="123"/>
      <c r="H405" s="135"/>
    </row>
    <row r="406">
      <c r="D406" s="123"/>
      <c r="E406" s="123"/>
      <c r="F406" s="123"/>
      <c r="G406" s="123"/>
      <c r="H406" s="135"/>
    </row>
    <row r="407">
      <c r="D407" s="123"/>
      <c r="E407" s="123"/>
      <c r="F407" s="123"/>
      <c r="G407" s="123"/>
      <c r="H407" s="135"/>
    </row>
    <row r="408">
      <c r="D408" s="123"/>
      <c r="E408" s="123"/>
      <c r="F408" s="123"/>
      <c r="G408" s="123"/>
      <c r="H408" s="135"/>
    </row>
    <row r="409">
      <c r="D409" s="123"/>
      <c r="E409" s="123"/>
      <c r="F409" s="123"/>
      <c r="G409" s="123"/>
      <c r="H409" s="135"/>
    </row>
    <row r="410">
      <c r="D410" s="123"/>
      <c r="E410" s="123"/>
      <c r="F410" s="123"/>
      <c r="G410" s="123"/>
      <c r="H410" s="135"/>
    </row>
    <row r="411">
      <c r="D411" s="123"/>
      <c r="E411" s="123"/>
      <c r="F411" s="123"/>
      <c r="G411" s="123"/>
      <c r="H411" s="135"/>
    </row>
    <row r="412">
      <c r="D412" s="123"/>
      <c r="E412" s="123"/>
      <c r="F412" s="123"/>
      <c r="G412" s="123"/>
      <c r="H412" s="135"/>
    </row>
    <row r="413">
      <c r="D413" s="123"/>
      <c r="E413" s="123"/>
      <c r="F413" s="123"/>
      <c r="G413" s="123"/>
      <c r="H413" s="135"/>
    </row>
    <row r="414">
      <c r="D414" s="123"/>
      <c r="E414" s="123"/>
      <c r="F414" s="123"/>
      <c r="G414" s="123"/>
      <c r="H414" s="135"/>
    </row>
    <row r="415">
      <c r="D415" s="123"/>
      <c r="E415" s="123"/>
      <c r="F415" s="123"/>
      <c r="G415" s="123"/>
      <c r="H415" s="135"/>
    </row>
    <row r="416">
      <c r="D416" s="123"/>
      <c r="E416" s="123"/>
      <c r="F416" s="123"/>
      <c r="G416" s="123"/>
      <c r="H416" s="135"/>
    </row>
    <row r="417">
      <c r="D417" s="123"/>
      <c r="E417" s="123"/>
      <c r="F417" s="123"/>
      <c r="G417" s="123"/>
      <c r="H417" s="135"/>
    </row>
    <row r="418">
      <c r="D418" s="123"/>
      <c r="E418" s="123"/>
      <c r="F418" s="123"/>
      <c r="G418" s="123"/>
      <c r="H418" s="135"/>
    </row>
    <row r="419">
      <c r="D419" s="123"/>
      <c r="E419" s="123"/>
      <c r="F419" s="123"/>
      <c r="G419" s="123"/>
      <c r="H419" s="135"/>
    </row>
    <row r="420">
      <c r="D420" s="123"/>
      <c r="E420" s="123"/>
      <c r="F420" s="123"/>
      <c r="G420" s="123"/>
      <c r="H420" s="135"/>
    </row>
    <row r="421">
      <c r="D421" s="123"/>
      <c r="E421" s="123"/>
      <c r="F421" s="123"/>
      <c r="G421" s="123"/>
      <c r="H421" s="135"/>
    </row>
    <row r="422">
      <c r="D422" s="123"/>
      <c r="E422" s="123"/>
      <c r="F422" s="123"/>
      <c r="G422" s="123"/>
      <c r="H422" s="135"/>
    </row>
    <row r="423">
      <c r="D423" s="123"/>
      <c r="E423" s="123"/>
      <c r="F423" s="123"/>
      <c r="G423" s="123"/>
      <c r="H423" s="135"/>
    </row>
    <row r="424">
      <c r="D424" s="123"/>
      <c r="E424" s="123"/>
      <c r="F424" s="123"/>
      <c r="G424" s="123"/>
      <c r="H424" s="135"/>
    </row>
    <row r="425">
      <c r="D425" s="123"/>
      <c r="E425" s="123"/>
      <c r="F425" s="123"/>
      <c r="G425" s="123"/>
      <c r="H425" s="135"/>
    </row>
    <row r="426">
      <c r="D426" s="123"/>
      <c r="E426" s="123"/>
      <c r="F426" s="123"/>
      <c r="G426" s="123"/>
      <c r="H426" s="135"/>
    </row>
    <row r="427">
      <c r="D427" s="123"/>
      <c r="E427" s="123"/>
      <c r="F427" s="123"/>
      <c r="G427" s="123"/>
      <c r="H427" s="135"/>
    </row>
    <row r="428">
      <c r="D428" s="123"/>
      <c r="E428" s="123"/>
      <c r="F428" s="123"/>
      <c r="G428" s="123"/>
      <c r="H428" s="135"/>
    </row>
    <row r="429">
      <c r="D429" s="123"/>
      <c r="E429" s="123"/>
      <c r="F429" s="123"/>
      <c r="G429" s="123"/>
      <c r="H429" s="135"/>
    </row>
    <row r="430">
      <c r="D430" s="123"/>
      <c r="E430" s="123"/>
      <c r="F430" s="123"/>
      <c r="G430" s="123"/>
      <c r="H430" s="135"/>
    </row>
    <row r="431">
      <c r="D431" s="123"/>
      <c r="E431" s="123"/>
      <c r="F431" s="123"/>
      <c r="G431" s="123"/>
      <c r="H431" s="135"/>
    </row>
    <row r="432">
      <c r="D432" s="123"/>
      <c r="E432" s="123"/>
      <c r="F432" s="123"/>
      <c r="G432" s="123"/>
      <c r="H432" s="135"/>
    </row>
    <row r="433">
      <c r="D433" s="123"/>
      <c r="E433" s="123"/>
      <c r="F433" s="123"/>
      <c r="G433" s="123"/>
      <c r="H433" s="135"/>
    </row>
    <row r="434">
      <c r="D434" s="123"/>
      <c r="E434" s="123"/>
      <c r="F434" s="123"/>
      <c r="G434" s="123"/>
      <c r="H434" s="135"/>
    </row>
    <row r="435">
      <c r="D435" s="123"/>
      <c r="E435" s="123"/>
      <c r="F435" s="123"/>
      <c r="G435" s="123"/>
      <c r="H435" s="135"/>
    </row>
    <row r="436">
      <c r="D436" s="123"/>
      <c r="E436" s="123"/>
      <c r="F436" s="123"/>
      <c r="G436" s="123"/>
      <c r="H436" s="135"/>
    </row>
    <row r="437">
      <c r="D437" s="123"/>
      <c r="E437" s="123"/>
      <c r="F437" s="123"/>
      <c r="G437" s="123"/>
      <c r="H437" s="135"/>
    </row>
    <row r="438">
      <c r="D438" s="123"/>
      <c r="E438" s="123"/>
      <c r="F438" s="123"/>
      <c r="G438" s="123"/>
      <c r="H438" s="135"/>
    </row>
    <row r="439">
      <c r="D439" s="123"/>
      <c r="E439" s="123"/>
      <c r="F439" s="123"/>
      <c r="G439" s="123"/>
      <c r="H439" s="135"/>
    </row>
    <row r="440">
      <c r="D440" s="123"/>
      <c r="E440" s="123"/>
      <c r="F440" s="123"/>
      <c r="G440" s="123"/>
      <c r="H440" s="135"/>
    </row>
    <row r="441">
      <c r="D441" s="123"/>
      <c r="E441" s="123"/>
      <c r="F441" s="123"/>
      <c r="G441" s="123"/>
      <c r="H441" s="135"/>
    </row>
    <row r="442">
      <c r="D442" s="123"/>
      <c r="E442" s="123"/>
      <c r="F442" s="123"/>
      <c r="G442" s="123"/>
      <c r="H442" s="135"/>
    </row>
    <row r="443">
      <c r="D443" s="123"/>
      <c r="E443" s="123"/>
      <c r="F443" s="123"/>
      <c r="G443" s="123"/>
      <c r="H443" s="135"/>
    </row>
    <row r="444">
      <c r="D444" s="123"/>
      <c r="E444" s="123"/>
      <c r="F444" s="123"/>
      <c r="G444" s="123"/>
      <c r="H444" s="135"/>
    </row>
    <row r="445">
      <c r="D445" s="123"/>
      <c r="E445" s="123"/>
      <c r="F445" s="123"/>
      <c r="G445" s="123"/>
      <c r="H445" s="135"/>
    </row>
    <row r="446">
      <c r="D446" s="123"/>
      <c r="E446" s="123"/>
      <c r="F446" s="123"/>
      <c r="G446" s="123"/>
      <c r="H446" s="135"/>
    </row>
    <row r="447">
      <c r="D447" s="123"/>
      <c r="E447" s="123"/>
      <c r="F447" s="123"/>
      <c r="G447" s="123"/>
      <c r="H447" s="135"/>
    </row>
    <row r="448">
      <c r="D448" s="123"/>
      <c r="E448" s="123"/>
      <c r="F448" s="123"/>
      <c r="G448" s="123"/>
      <c r="H448" s="135"/>
    </row>
    <row r="449">
      <c r="D449" s="123"/>
      <c r="E449" s="123"/>
      <c r="F449" s="123"/>
      <c r="G449" s="123"/>
      <c r="H449" s="135"/>
    </row>
    <row r="450">
      <c r="D450" s="123"/>
      <c r="E450" s="123"/>
      <c r="F450" s="123"/>
      <c r="G450" s="123"/>
      <c r="H450" s="135"/>
    </row>
    <row r="451">
      <c r="D451" s="123"/>
      <c r="E451" s="123"/>
      <c r="F451" s="123"/>
      <c r="G451" s="123"/>
      <c r="H451" s="135"/>
    </row>
    <row r="452">
      <c r="D452" s="123"/>
      <c r="E452" s="123"/>
      <c r="F452" s="123"/>
      <c r="G452" s="123"/>
      <c r="H452" s="135"/>
    </row>
    <row r="453">
      <c r="D453" s="123"/>
      <c r="E453" s="123"/>
      <c r="F453" s="123"/>
      <c r="G453" s="123"/>
      <c r="H453" s="135"/>
    </row>
    <row r="454">
      <c r="D454" s="123"/>
      <c r="E454" s="123"/>
      <c r="F454" s="123"/>
      <c r="G454" s="123"/>
      <c r="H454" s="135"/>
    </row>
    <row r="455">
      <c r="D455" s="123"/>
      <c r="E455" s="123"/>
      <c r="F455" s="123"/>
      <c r="G455" s="123"/>
      <c r="H455" s="135"/>
    </row>
    <row r="456">
      <c r="D456" s="123"/>
      <c r="E456" s="123"/>
      <c r="F456" s="123"/>
      <c r="G456" s="123"/>
      <c r="H456" s="135"/>
    </row>
    <row r="457">
      <c r="D457" s="123"/>
      <c r="E457" s="123"/>
      <c r="F457" s="123"/>
      <c r="G457" s="123"/>
      <c r="H457" s="135"/>
    </row>
    <row r="458">
      <c r="D458" s="123"/>
      <c r="E458" s="123"/>
      <c r="F458" s="123"/>
      <c r="G458" s="123"/>
      <c r="H458" s="135"/>
    </row>
    <row r="459">
      <c r="D459" s="123"/>
      <c r="E459" s="123"/>
      <c r="F459" s="123"/>
      <c r="G459" s="123"/>
      <c r="H459" s="135"/>
    </row>
    <row r="460">
      <c r="D460" s="123"/>
      <c r="E460" s="123"/>
      <c r="F460" s="123"/>
      <c r="G460" s="123"/>
      <c r="H460" s="135"/>
    </row>
    <row r="461">
      <c r="D461" s="123"/>
      <c r="E461" s="123"/>
      <c r="F461" s="123"/>
      <c r="G461" s="123"/>
      <c r="H461" s="135"/>
    </row>
    <row r="462">
      <c r="D462" s="123"/>
      <c r="E462" s="123"/>
      <c r="F462" s="123"/>
      <c r="G462" s="123"/>
      <c r="H462" s="135"/>
    </row>
    <row r="463">
      <c r="D463" s="123"/>
      <c r="E463" s="123"/>
      <c r="F463" s="123"/>
      <c r="G463" s="123"/>
      <c r="H463" s="135"/>
    </row>
    <row r="464">
      <c r="D464" s="123"/>
      <c r="E464" s="123"/>
      <c r="F464" s="123"/>
      <c r="G464" s="123"/>
      <c r="H464" s="135"/>
    </row>
    <row r="465">
      <c r="D465" s="123"/>
      <c r="E465" s="123"/>
      <c r="F465" s="123"/>
      <c r="G465" s="123"/>
      <c r="H465" s="135"/>
    </row>
    <row r="466">
      <c r="D466" s="123"/>
      <c r="E466" s="123"/>
      <c r="F466" s="123"/>
      <c r="G466" s="123"/>
      <c r="H466" s="135"/>
    </row>
    <row r="467">
      <c r="D467" s="123"/>
      <c r="E467" s="123"/>
      <c r="F467" s="123"/>
      <c r="G467" s="123"/>
      <c r="H467" s="135"/>
    </row>
    <row r="468">
      <c r="D468" s="123"/>
      <c r="E468" s="123"/>
      <c r="F468" s="123"/>
      <c r="G468" s="123"/>
      <c r="H468" s="135"/>
    </row>
    <row r="469">
      <c r="D469" s="123"/>
      <c r="E469" s="123"/>
      <c r="F469" s="123"/>
      <c r="G469" s="123"/>
      <c r="H469" s="135"/>
    </row>
    <row r="470">
      <c r="D470" s="123"/>
      <c r="E470" s="123"/>
      <c r="F470" s="123"/>
      <c r="G470" s="123"/>
      <c r="H470" s="135"/>
    </row>
    <row r="471">
      <c r="D471" s="123"/>
      <c r="E471" s="123"/>
      <c r="F471" s="123"/>
      <c r="G471" s="123"/>
      <c r="H471" s="135"/>
    </row>
    <row r="472">
      <c r="D472" s="123"/>
      <c r="E472" s="123"/>
      <c r="F472" s="123"/>
      <c r="G472" s="123"/>
      <c r="H472" s="135"/>
    </row>
    <row r="473">
      <c r="D473" s="123"/>
      <c r="E473" s="123"/>
      <c r="F473" s="123"/>
      <c r="G473" s="123"/>
      <c r="H473" s="135"/>
    </row>
    <row r="474">
      <c r="D474" s="123"/>
      <c r="E474" s="123"/>
      <c r="F474" s="123"/>
      <c r="G474" s="123"/>
      <c r="H474" s="135"/>
    </row>
    <row r="475">
      <c r="D475" s="123"/>
      <c r="E475" s="123"/>
      <c r="F475" s="123"/>
      <c r="G475" s="123"/>
      <c r="H475" s="135"/>
    </row>
    <row r="476">
      <c r="D476" s="123"/>
      <c r="E476" s="123"/>
      <c r="F476" s="123"/>
      <c r="G476" s="123"/>
      <c r="H476" s="135"/>
    </row>
    <row r="477">
      <c r="D477" s="123"/>
      <c r="E477" s="123"/>
      <c r="F477" s="123"/>
      <c r="G477" s="123"/>
      <c r="H477" s="135"/>
    </row>
    <row r="478">
      <c r="D478" s="123"/>
      <c r="E478" s="123"/>
      <c r="F478" s="123"/>
      <c r="G478" s="123"/>
      <c r="H478" s="135"/>
    </row>
    <row r="479">
      <c r="D479" s="123"/>
      <c r="E479" s="123"/>
      <c r="F479" s="123"/>
      <c r="G479" s="123"/>
      <c r="H479" s="135"/>
    </row>
    <row r="480">
      <c r="D480" s="123"/>
      <c r="E480" s="123"/>
      <c r="F480" s="123"/>
      <c r="G480" s="123"/>
      <c r="H480" s="135"/>
    </row>
    <row r="481">
      <c r="D481" s="123"/>
      <c r="E481" s="123"/>
      <c r="F481" s="123"/>
      <c r="G481" s="123"/>
      <c r="H481" s="135"/>
    </row>
    <row r="482">
      <c r="D482" s="123"/>
      <c r="E482" s="123"/>
      <c r="F482" s="123"/>
      <c r="G482" s="123"/>
      <c r="H482" s="135"/>
    </row>
    <row r="483">
      <c r="D483" s="123"/>
      <c r="E483" s="123"/>
      <c r="F483" s="123"/>
      <c r="G483" s="123"/>
      <c r="H483" s="135"/>
    </row>
    <row r="484">
      <c r="D484" s="123"/>
      <c r="E484" s="123"/>
      <c r="F484" s="123"/>
      <c r="G484" s="123"/>
      <c r="H484" s="135"/>
    </row>
    <row r="485">
      <c r="D485" s="123"/>
      <c r="E485" s="123"/>
      <c r="F485" s="123"/>
      <c r="G485" s="123"/>
      <c r="H485" s="135"/>
    </row>
    <row r="486">
      <c r="D486" s="123"/>
      <c r="E486" s="123"/>
      <c r="F486" s="123"/>
      <c r="G486" s="123"/>
      <c r="H486" s="135"/>
    </row>
    <row r="487">
      <c r="D487" s="123"/>
      <c r="E487" s="123"/>
      <c r="F487" s="123"/>
      <c r="G487" s="123"/>
      <c r="H487" s="135"/>
    </row>
    <row r="488">
      <c r="D488" s="123"/>
      <c r="E488" s="123"/>
      <c r="F488" s="123"/>
      <c r="G488" s="123"/>
      <c r="H488" s="135"/>
    </row>
    <row r="489">
      <c r="D489" s="123"/>
      <c r="E489" s="123"/>
      <c r="F489" s="123"/>
      <c r="G489" s="123"/>
      <c r="H489" s="135"/>
    </row>
    <row r="490">
      <c r="D490" s="123"/>
      <c r="E490" s="123"/>
      <c r="F490" s="123"/>
      <c r="G490" s="123"/>
      <c r="H490" s="135"/>
    </row>
    <row r="491">
      <c r="D491" s="123"/>
      <c r="E491" s="123"/>
      <c r="F491" s="123"/>
      <c r="G491" s="123"/>
      <c r="H491" s="135"/>
    </row>
    <row r="492">
      <c r="D492" s="123"/>
      <c r="E492" s="123"/>
      <c r="F492" s="123"/>
      <c r="G492" s="123"/>
      <c r="H492" s="135"/>
    </row>
    <row r="493">
      <c r="D493" s="123"/>
      <c r="E493" s="123"/>
      <c r="F493" s="123"/>
      <c r="G493" s="123"/>
      <c r="H493" s="135"/>
    </row>
    <row r="494">
      <c r="D494" s="123"/>
      <c r="E494" s="123"/>
      <c r="F494" s="123"/>
      <c r="G494" s="123"/>
      <c r="H494" s="135"/>
    </row>
    <row r="495">
      <c r="D495" s="123"/>
      <c r="E495" s="123"/>
      <c r="F495" s="123"/>
      <c r="G495" s="123"/>
      <c r="H495" s="135"/>
    </row>
    <row r="496">
      <c r="D496" s="123"/>
      <c r="E496" s="123"/>
      <c r="F496" s="123"/>
      <c r="G496" s="123"/>
      <c r="H496" s="135"/>
    </row>
    <row r="497">
      <c r="D497" s="123"/>
      <c r="E497" s="123"/>
      <c r="F497" s="123"/>
      <c r="G497" s="123"/>
      <c r="H497" s="135"/>
    </row>
    <row r="498">
      <c r="D498" s="123"/>
      <c r="E498" s="123"/>
      <c r="F498" s="123"/>
      <c r="G498" s="123"/>
      <c r="H498" s="135"/>
    </row>
    <row r="499">
      <c r="D499" s="123"/>
      <c r="E499" s="123"/>
      <c r="F499" s="123"/>
      <c r="G499" s="123"/>
      <c r="H499" s="135"/>
    </row>
    <row r="500">
      <c r="D500" s="123"/>
      <c r="E500" s="123"/>
      <c r="F500" s="123"/>
      <c r="G500" s="123"/>
      <c r="H500" s="135"/>
    </row>
    <row r="501">
      <c r="D501" s="123"/>
      <c r="E501" s="123"/>
      <c r="F501" s="123"/>
      <c r="G501" s="123"/>
      <c r="H501" s="135"/>
    </row>
    <row r="502">
      <c r="D502" s="123"/>
      <c r="E502" s="123"/>
      <c r="F502" s="123"/>
      <c r="G502" s="123"/>
      <c r="H502" s="135"/>
    </row>
    <row r="503">
      <c r="D503" s="123"/>
      <c r="E503" s="123"/>
      <c r="F503" s="123"/>
      <c r="G503" s="123"/>
      <c r="H503" s="135"/>
    </row>
    <row r="504">
      <c r="D504" s="123"/>
      <c r="E504" s="123"/>
      <c r="F504" s="123"/>
      <c r="G504" s="123"/>
      <c r="H504" s="135"/>
    </row>
    <row r="505">
      <c r="D505" s="123"/>
      <c r="E505" s="123"/>
      <c r="F505" s="123"/>
      <c r="G505" s="123"/>
      <c r="H505" s="135"/>
    </row>
    <row r="506">
      <c r="D506" s="123"/>
      <c r="E506" s="123"/>
      <c r="F506" s="123"/>
      <c r="G506" s="123"/>
      <c r="H506" s="135"/>
    </row>
    <row r="507">
      <c r="D507" s="123"/>
      <c r="E507" s="123"/>
      <c r="F507" s="123"/>
      <c r="G507" s="123"/>
      <c r="H507" s="135"/>
    </row>
    <row r="508">
      <c r="D508" s="123"/>
      <c r="E508" s="123"/>
      <c r="F508" s="123"/>
      <c r="G508" s="123"/>
      <c r="H508" s="135"/>
    </row>
    <row r="509">
      <c r="D509" s="123"/>
      <c r="E509" s="123"/>
      <c r="F509" s="123"/>
      <c r="G509" s="123"/>
      <c r="H509" s="135"/>
    </row>
    <row r="510">
      <c r="D510" s="123"/>
      <c r="E510" s="123"/>
      <c r="F510" s="123"/>
      <c r="G510" s="123"/>
      <c r="H510" s="135"/>
    </row>
    <row r="511">
      <c r="D511" s="123"/>
      <c r="E511" s="123"/>
      <c r="F511" s="123"/>
      <c r="G511" s="123"/>
      <c r="H511" s="135"/>
    </row>
    <row r="512">
      <c r="D512" s="123"/>
      <c r="E512" s="123"/>
      <c r="F512" s="123"/>
      <c r="G512" s="123"/>
      <c r="H512" s="135"/>
    </row>
    <row r="513">
      <c r="D513" s="123"/>
      <c r="E513" s="123"/>
      <c r="F513" s="123"/>
      <c r="G513" s="123"/>
      <c r="H513" s="135"/>
    </row>
    <row r="514">
      <c r="D514" s="123"/>
      <c r="E514" s="123"/>
      <c r="F514" s="123"/>
      <c r="G514" s="123"/>
      <c r="H514" s="135"/>
    </row>
    <row r="515">
      <c r="D515" s="123"/>
      <c r="E515" s="123"/>
      <c r="F515" s="123"/>
      <c r="G515" s="123"/>
      <c r="H515" s="135"/>
    </row>
    <row r="516">
      <c r="D516" s="123"/>
      <c r="E516" s="123"/>
      <c r="F516" s="123"/>
      <c r="G516" s="123"/>
      <c r="H516" s="135"/>
    </row>
    <row r="517">
      <c r="D517" s="123"/>
      <c r="E517" s="123"/>
      <c r="F517" s="123"/>
      <c r="G517" s="123"/>
      <c r="H517" s="135"/>
    </row>
    <row r="518">
      <c r="D518" s="123"/>
      <c r="E518" s="123"/>
      <c r="F518" s="123"/>
      <c r="G518" s="123"/>
      <c r="H518" s="135"/>
    </row>
    <row r="519">
      <c r="D519" s="123"/>
      <c r="E519" s="123"/>
      <c r="F519" s="123"/>
      <c r="G519" s="123"/>
      <c r="H519" s="135"/>
    </row>
    <row r="520">
      <c r="D520" s="123"/>
      <c r="E520" s="123"/>
      <c r="F520" s="123"/>
      <c r="G520" s="123"/>
      <c r="H520" s="135"/>
    </row>
    <row r="521">
      <c r="D521" s="123"/>
      <c r="E521" s="123"/>
      <c r="F521" s="123"/>
      <c r="G521" s="123"/>
      <c r="H521" s="135"/>
    </row>
    <row r="522">
      <c r="D522" s="123"/>
      <c r="E522" s="123"/>
      <c r="F522" s="123"/>
      <c r="G522" s="123"/>
      <c r="H522" s="135"/>
    </row>
    <row r="523">
      <c r="D523" s="123"/>
      <c r="E523" s="123"/>
      <c r="F523" s="123"/>
      <c r="G523" s="123"/>
      <c r="H523" s="135"/>
    </row>
    <row r="524">
      <c r="D524" s="123"/>
      <c r="E524" s="123"/>
      <c r="F524" s="123"/>
      <c r="G524" s="123"/>
      <c r="H524" s="135"/>
    </row>
    <row r="525">
      <c r="D525" s="123"/>
      <c r="E525" s="123"/>
      <c r="F525" s="123"/>
      <c r="G525" s="123"/>
      <c r="H525" s="135"/>
    </row>
    <row r="526">
      <c r="D526" s="123"/>
      <c r="E526" s="123"/>
      <c r="F526" s="123"/>
      <c r="G526" s="123"/>
      <c r="H526" s="135"/>
    </row>
    <row r="527">
      <c r="D527" s="123"/>
      <c r="E527" s="123"/>
      <c r="F527" s="123"/>
      <c r="G527" s="123"/>
      <c r="H527" s="135"/>
    </row>
    <row r="528">
      <c r="D528" s="123"/>
      <c r="E528" s="123"/>
      <c r="F528" s="123"/>
      <c r="G528" s="123"/>
      <c r="H528" s="135"/>
    </row>
    <row r="529">
      <c r="D529" s="123"/>
      <c r="E529" s="123"/>
      <c r="F529" s="123"/>
      <c r="G529" s="123"/>
      <c r="H529" s="135"/>
    </row>
    <row r="530">
      <c r="D530" s="123"/>
      <c r="E530" s="123"/>
      <c r="F530" s="123"/>
      <c r="G530" s="123"/>
      <c r="H530" s="135"/>
    </row>
    <row r="531">
      <c r="D531" s="123"/>
      <c r="E531" s="123"/>
      <c r="F531" s="123"/>
      <c r="G531" s="123"/>
      <c r="H531" s="135"/>
    </row>
    <row r="532">
      <c r="D532" s="123"/>
      <c r="E532" s="123"/>
      <c r="F532" s="123"/>
      <c r="G532" s="123"/>
      <c r="H532" s="135"/>
    </row>
    <row r="533">
      <c r="D533" s="123"/>
      <c r="E533" s="123"/>
      <c r="F533" s="123"/>
      <c r="G533" s="123"/>
      <c r="H533" s="135"/>
    </row>
    <row r="534">
      <c r="D534" s="123"/>
      <c r="E534" s="123"/>
      <c r="F534" s="123"/>
      <c r="G534" s="123"/>
      <c r="H534" s="135"/>
    </row>
    <row r="535">
      <c r="D535" s="123"/>
      <c r="E535" s="123"/>
      <c r="F535" s="123"/>
      <c r="G535" s="123"/>
      <c r="H535" s="135"/>
    </row>
    <row r="536">
      <c r="D536" s="123"/>
      <c r="E536" s="123"/>
      <c r="F536" s="123"/>
      <c r="G536" s="123"/>
      <c r="H536" s="135"/>
    </row>
    <row r="537">
      <c r="D537" s="123"/>
      <c r="E537" s="123"/>
      <c r="F537" s="123"/>
      <c r="G537" s="123"/>
      <c r="H537" s="135"/>
    </row>
    <row r="538">
      <c r="D538" s="123"/>
      <c r="E538" s="123"/>
      <c r="F538" s="123"/>
      <c r="G538" s="123"/>
      <c r="H538" s="135"/>
    </row>
    <row r="539">
      <c r="D539" s="123"/>
      <c r="E539" s="123"/>
      <c r="F539" s="123"/>
      <c r="G539" s="123"/>
      <c r="H539" s="135"/>
    </row>
    <row r="540">
      <c r="D540" s="123"/>
      <c r="E540" s="123"/>
      <c r="F540" s="123"/>
      <c r="G540" s="123"/>
      <c r="H540" s="135"/>
    </row>
    <row r="541">
      <c r="D541" s="123"/>
      <c r="E541" s="123"/>
      <c r="F541" s="123"/>
      <c r="G541" s="123"/>
      <c r="H541" s="135"/>
    </row>
    <row r="542">
      <c r="D542" s="123"/>
      <c r="E542" s="123"/>
      <c r="F542" s="123"/>
      <c r="G542" s="123"/>
      <c r="H542" s="135"/>
    </row>
    <row r="543">
      <c r="D543" s="123"/>
      <c r="E543" s="123"/>
      <c r="F543" s="123"/>
      <c r="G543" s="123"/>
      <c r="H543" s="135"/>
    </row>
    <row r="544">
      <c r="D544" s="123"/>
      <c r="E544" s="123"/>
      <c r="F544" s="123"/>
      <c r="G544" s="123"/>
      <c r="H544" s="135"/>
    </row>
    <row r="545">
      <c r="D545" s="123"/>
      <c r="E545" s="123"/>
      <c r="F545" s="123"/>
      <c r="G545" s="123"/>
      <c r="H545" s="135"/>
    </row>
    <row r="546">
      <c r="D546" s="123"/>
      <c r="E546" s="123"/>
      <c r="F546" s="123"/>
      <c r="G546" s="123"/>
      <c r="H546" s="135"/>
    </row>
    <row r="547">
      <c r="D547" s="123"/>
      <c r="E547" s="123"/>
      <c r="F547" s="123"/>
      <c r="G547" s="123"/>
      <c r="H547" s="135"/>
    </row>
    <row r="548">
      <c r="D548" s="123"/>
      <c r="E548" s="123"/>
      <c r="F548" s="123"/>
      <c r="G548" s="123"/>
      <c r="H548" s="135"/>
    </row>
    <row r="549">
      <c r="D549" s="123"/>
      <c r="E549" s="123"/>
      <c r="F549" s="123"/>
      <c r="G549" s="123"/>
      <c r="H549" s="135"/>
    </row>
    <row r="550">
      <c r="D550" s="123"/>
      <c r="E550" s="123"/>
      <c r="F550" s="123"/>
      <c r="G550" s="123"/>
      <c r="H550" s="135"/>
    </row>
    <row r="551">
      <c r="D551" s="123"/>
      <c r="E551" s="123"/>
      <c r="F551" s="123"/>
      <c r="G551" s="123"/>
      <c r="H551" s="135"/>
    </row>
    <row r="552">
      <c r="D552" s="123"/>
      <c r="E552" s="123"/>
      <c r="F552" s="123"/>
      <c r="G552" s="123"/>
      <c r="H552" s="135"/>
    </row>
    <row r="553">
      <c r="D553" s="123"/>
      <c r="E553" s="123"/>
      <c r="F553" s="123"/>
      <c r="G553" s="123"/>
      <c r="H553" s="135"/>
    </row>
    <row r="554">
      <c r="D554" s="123"/>
      <c r="E554" s="123"/>
      <c r="F554" s="123"/>
      <c r="G554" s="123"/>
      <c r="H554" s="135"/>
    </row>
    <row r="555">
      <c r="D555" s="123"/>
      <c r="E555" s="123"/>
      <c r="F555" s="123"/>
      <c r="G555" s="123"/>
      <c r="H555" s="135"/>
    </row>
    <row r="556">
      <c r="D556" s="123"/>
      <c r="E556" s="123"/>
      <c r="F556" s="123"/>
      <c r="G556" s="123"/>
      <c r="H556" s="135"/>
    </row>
    <row r="557">
      <c r="D557" s="123"/>
      <c r="E557" s="123"/>
      <c r="F557" s="123"/>
      <c r="G557" s="123"/>
      <c r="H557" s="135"/>
    </row>
    <row r="558">
      <c r="D558" s="123"/>
      <c r="E558" s="123"/>
      <c r="F558" s="123"/>
      <c r="G558" s="123"/>
      <c r="H558" s="135"/>
    </row>
    <row r="559">
      <c r="D559" s="123"/>
      <c r="E559" s="123"/>
      <c r="F559" s="123"/>
      <c r="G559" s="123"/>
      <c r="H559" s="135"/>
    </row>
    <row r="560">
      <c r="D560" s="123"/>
      <c r="E560" s="123"/>
      <c r="F560" s="123"/>
      <c r="G560" s="123"/>
      <c r="H560" s="135"/>
    </row>
    <row r="561">
      <c r="D561" s="123"/>
      <c r="E561" s="123"/>
      <c r="F561" s="123"/>
      <c r="G561" s="123"/>
      <c r="H561" s="135"/>
    </row>
    <row r="562">
      <c r="D562" s="123"/>
      <c r="E562" s="123"/>
      <c r="F562" s="123"/>
      <c r="G562" s="123"/>
      <c r="H562" s="135"/>
    </row>
    <row r="563">
      <c r="D563" s="123"/>
      <c r="E563" s="123"/>
      <c r="F563" s="123"/>
      <c r="G563" s="123"/>
      <c r="H563" s="135"/>
    </row>
    <row r="564">
      <c r="D564" s="123"/>
      <c r="E564" s="123"/>
      <c r="F564" s="123"/>
      <c r="G564" s="123"/>
      <c r="H564" s="135"/>
    </row>
    <row r="565">
      <c r="D565" s="123"/>
      <c r="E565" s="123"/>
      <c r="F565" s="123"/>
      <c r="G565" s="123"/>
      <c r="H565" s="135"/>
    </row>
    <row r="566">
      <c r="D566" s="123"/>
      <c r="E566" s="123"/>
      <c r="F566" s="123"/>
      <c r="G566" s="123"/>
      <c r="H566" s="135"/>
    </row>
    <row r="567">
      <c r="D567" s="123"/>
      <c r="E567" s="123"/>
      <c r="F567" s="123"/>
      <c r="G567" s="123"/>
      <c r="H567" s="135"/>
    </row>
    <row r="568">
      <c r="D568" s="123"/>
      <c r="E568" s="123"/>
      <c r="F568" s="123"/>
      <c r="G568" s="123"/>
      <c r="H568" s="135"/>
    </row>
    <row r="569">
      <c r="D569" s="123"/>
      <c r="E569" s="123"/>
      <c r="F569" s="123"/>
      <c r="G569" s="123"/>
      <c r="H569" s="135"/>
    </row>
    <row r="570">
      <c r="D570" s="123"/>
      <c r="E570" s="123"/>
      <c r="F570" s="123"/>
      <c r="G570" s="123"/>
      <c r="H570" s="135"/>
    </row>
    <row r="571">
      <c r="D571" s="123"/>
      <c r="E571" s="123"/>
      <c r="F571" s="123"/>
      <c r="G571" s="123"/>
      <c r="H571" s="135"/>
    </row>
    <row r="572">
      <c r="D572" s="123"/>
      <c r="E572" s="123"/>
      <c r="F572" s="123"/>
      <c r="G572" s="123"/>
      <c r="H572" s="135"/>
    </row>
    <row r="573">
      <c r="D573" s="123"/>
      <c r="E573" s="123"/>
      <c r="F573" s="123"/>
      <c r="G573" s="123"/>
      <c r="H573" s="135"/>
    </row>
    <row r="574">
      <c r="D574" s="123"/>
      <c r="E574" s="123"/>
      <c r="F574" s="123"/>
      <c r="G574" s="123"/>
      <c r="H574" s="135"/>
    </row>
    <row r="575">
      <c r="D575" s="123"/>
      <c r="E575" s="123"/>
      <c r="F575" s="123"/>
      <c r="G575" s="123"/>
      <c r="H575" s="135"/>
    </row>
    <row r="576">
      <c r="D576" s="123"/>
      <c r="E576" s="123"/>
      <c r="F576" s="123"/>
      <c r="G576" s="123"/>
      <c r="H576" s="135"/>
    </row>
    <row r="577">
      <c r="D577" s="123"/>
      <c r="E577" s="123"/>
      <c r="F577" s="123"/>
      <c r="G577" s="123"/>
      <c r="H577" s="135"/>
    </row>
    <row r="578">
      <c r="D578" s="123"/>
      <c r="E578" s="123"/>
      <c r="F578" s="123"/>
      <c r="G578" s="123"/>
      <c r="H578" s="135"/>
    </row>
    <row r="579">
      <c r="D579" s="123"/>
      <c r="E579" s="123"/>
      <c r="F579" s="123"/>
      <c r="G579" s="123"/>
      <c r="H579" s="135"/>
    </row>
    <row r="580">
      <c r="D580" s="123"/>
      <c r="E580" s="123"/>
      <c r="F580" s="123"/>
      <c r="G580" s="123"/>
      <c r="H580" s="135"/>
    </row>
    <row r="581">
      <c r="D581" s="123"/>
      <c r="E581" s="123"/>
      <c r="F581" s="123"/>
      <c r="G581" s="123"/>
      <c r="H581" s="135"/>
    </row>
    <row r="582">
      <c r="D582" s="123"/>
      <c r="E582" s="123"/>
      <c r="F582" s="123"/>
      <c r="G582" s="123"/>
      <c r="H582" s="135"/>
    </row>
    <row r="583">
      <c r="D583" s="123"/>
      <c r="E583" s="123"/>
      <c r="F583" s="123"/>
      <c r="G583" s="123"/>
      <c r="H583" s="135"/>
    </row>
    <row r="584">
      <c r="D584" s="123"/>
      <c r="E584" s="123"/>
      <c r="F584" s="123"/>
      <c r="G584" s="123"/>
      <c r="H584" s="135"/>
    </row>
    <row r="585">
      <c r="D585" s="123"/>
      <c r="E585" s="123"/>
      <c r="F585" s="123"/>
      <c r="G585" s="123"/>
      <c r="H585" s="135"/>
    </row>
    <row r="586">
      <c r="D586" s="123"/>
      <c r="E586" s="123"/>
      <c r="F586" s="123"/>
      <c r="G586" s="123"/>
      <c r="H586" s="135"/>
    </row>
    <row r="587">
      <c r="D587" s="123"/>
      <c r="E587" s="123"/>
      <c r="F587" s="123"/>
      <c r="G587" s="123"/>
      <c r="H587" s="135"/>
    </row>
    <row r="588">
      <c r="D588" s="123"/>
      <c r="E588" s="123"/>
      <c r="F588" s="123"/>
      <c r="G588" s="123"/>
      <c r="H588" s="135"/>
    </row>
    <row r="589">
      <c r="D589" s="123"/>
      <c r="E589" s="123"/>
      <c r="F589" s="123"/>
      <c r="G589" s="123"/>
      <c r="H589" s="135"/>
    </row>
    <row r="590">
      <c r="D590" s="123"/>
      <c r="E590" s="123"/>
      <c r="F590" s="123"/>
      <c r="G590" s="123"/>
      <c r="H590" s="135"/>
    </row>
    <row r="591">
      <c r="D591" s="123"/>
      <c r="E591" s="123"/>
      <c r="F591" s="123"/>
      <c r="G591" s="123"/>
      <c r="H591" s="135"/>
    </row>
    <row r="592">
      <c r="D592" s="123"/>
      <c r="E592" s="123"/>
      <c r="F592" s="123"/>
      <c r="G592" s="123"/>
      <c r="H592" s="135"/>
    </row>
    <row r="593">
      <c r="D593" s="123"/>
      <c r="E593" s="123"/>
      <c r="F593" s="123"/>
      <c r="G593" s="123"/>
      <c r="H593" s="135"/>
    </row>
    <row r="594">
      <c r="D594" s="123"/>
      <c r="E594" s="123"/>
      <c r="F594" s="123"/>
      <c r="G594" s="123"/>
      <c r="H594" s="135"/>
    </row>
    <row r="595">
      <c r="D595" s="123"/>
      <c r="E595" s="123"/>
      <c r="F595" s="123"/>
      <c r="G595" s="123"/>
      <c r="H595" s="135"/>
    </row>
    <row r="596">
      <c r="D596" s="123"/>
      <c r="E596" s="123"/>
      <c r="F596" s="123"/>
      <c r="G596" s="123"/>
      <c r="H596" s="135"/>
    </row>
    <row r="597">
      <c r="D597" s="123"/>
      <c r="E597" s="123"/>
      <c r="F597" s="123"/>
      <c r="G597" s="123"/>
      <c r="H597" s="135"/>
    </row>
    <row r="598">
      <c r="D598" s="123"/>
      <c r="E598" s="123"/>
      <c r="F598" s="123"/>
      <c r="G598" s="123"/>
      <c r="H598" s="135"/>
    </row>
    <row r="599">
      <c r="D599" s="123"/>
      <c r="E599" s="123"/>
      <c r="F599" s="123"/>
      <c r="G599" s="123"/>
      <c r="H599" s="135"/>
    </row>
    <row r="600">
      <c r="D600" s="123"/>
      <c r="E600" s="123"/>
      <c r="F600" s="123"/>
      <c r="G600" s="123"/>
      <c r="H600" s="135"/>
    </row>
    <row r="601">
      <c r="D601" s="123"/>
      <c r="E601" s="123"/>
      <c r="F601" s="123"/>
      <c r="G601" s="123"/>
      <c r="H601" s="135"/>
    </row>
    <row r="602">
      <c r="D602" s="123"/>
      <c r="E602" s="123"/>
      <c r="F602" s="123"/>
      <c r="G602" s="123"/>
      <c r="H602" s="135"/>
    </row>
    <row r="603">
      <c r="D603" s="123"/>
      <c r="E603" s="123"/>
      <c r="F603" s="123"/>
      <c r="G603" s="123"/>
      <c r="H603" s="135"/>
    </row>
    <row r="604">
      <c r="D604" s="123"/>
      <c r="E604" s="123"/>
      <c r="F604" s="123"/>
      <c r="G604" s="123"/>
      <c r="H604" s="135"/>
    </row>
    <row r="605">
      <c r="D605" s="123"/>
      <c r="E605" s="123"/>
      <c r="F605" s="123"/>
      <c r="G605" s="123"/>
      <c r="H605" s="135"/>
    </row>
    <row r="606">
      <c r="D606" s="123"/>
      <c r="E606" s="123"/>
      <c r="F606" s="123"/>
      <c r="G606" s="123"/>
      <c r="H606" s="135"/>
    </row>
    <row r="607">
      <c r="D607" s="123"/>
      <c r="E607" s="123"/>
      <c r="F607" s="123"/>
      <c r="G607" s="123"/>
      <c r="H607" s="135"/>
    </row>
    <row r="608">
      <c r="D608" s="123"/>
      <c r="E608" s="123"/>
      <c r="F608" s="123"/>
      <c r="G608" s="123"/>
      <c r="H608" s="135"/>
    </row>
    <row r="609">
      <c r="D609" s="123"/>
      <c r="E609" s="123"/>
      <c r="F609" s="123"/>
      <c r="G609" s="123"/>
      <c r="H609" s="135"/>
    </row>
    <row r="610">
      <c r="D610" s="123"/>
      <c r="E610" s="123"/>
      <c r="F610" s="123"/>
      <c r="G610" s="123"/>
      <c r="H610" s="135"/>
    </row>
    <row r="611">
      <c r="D611" s="123"/>
      <c r="E611" s="123"/>
      <c r="F611" s="123"/>
      <c r="G611" s="123"/>
      <c r="H611" s="135"/>
    </row>
    <row r="612">
      <c r="D612" s="123"/>
      <c r="E612" s="123"/>
      <c r="F612" s="123"/>
      <c r="G612" s="123"/>
      <c r="H612" s="135"/>
    </row>
    <row r="613">
      <c r="D613" s="123"/>
      <c r="E613" s="123"/>
      <c r="F613" s="123"/>
      <c r="G613" s="123"/>
      <c r="H613" s="135"/>
    </row>
    <row r="614">
      <c r="D614" s="123"/>
      <c r="E614" s="123"/>
      <c r="F614" s="123"/>
      <c r="G614" s="123"/>
      <c r="H614" s="135"/>
    </row>
    <row r="615">
      <c r="D615" s="123"/>
      <c r="E615" s="123"/>
      <c r="F615" s="123"/>
      <c r="G615" s="123"/>
      <c r="H615" s="135"/>
    </row>
    <row r="616">
      <c r="D616" s="123"/>
      <c r="E616" s="123"/>
      <c r="F616" s="123"/>
      <c r="G616" s="123"/>
      <c r="H616" s="135"/>
    </row>
    <row r="617">
      <c r="D617" s="123"/>
      <c r="E617" s="123"/>
      <c r="F617" s="123"/>
      <c r="G617" s="123"/>
      <c r="H617" s="135"/>
    </row>
    <row r="618">
      <c r="D618" s="123"/>
      <c r="E618" s="123"/>
      <c r="F618" s="123"/>
      <c r="G618" s="123"/>
      <c r="H618" s="135"/>
    </row>
    <row r="619">
      <c r="D619" s="123"/>
      <c r="E619" s="123"/>
      <c r="F619" s="123"/>
      <c r="G619" s="123"/>
      <c r="H619" s="135"/>
    </row>
    <row r="620">
      <c r="D620" s="123"/>
      <c r="E620" s="123"/>
      <c r="F620" s="123"/>
      <c r="G620" s="123"/>
      <c r="H620" s="135"/>
    </row>
    <row r="621">
      <c r="D621" s="123"/>
      <c r="E621" s="123"/>
      <c r="F621" s="123"/>
      <c r="G621" s="123"/>
      <c r="H621" s="135"/>
    </row>
    <row r="622">
      <c r="D622" s="123"/>
      <c r="E622" s="123"/>
      <c r="F622" s="123"/>
      <c r="G622" s="123"/>
      <c r="H622" s="135"/>
    </row>
    <row r="623">
      <c r="D623" s="123"/>
      <c r="E623" s="123"/>
      <c r="F623" s="123"/>
      <c r="G623" s="123"/>
      <c r="H623" s="135"/>
    </row>
    <row r="624">
      <c r="D624" s="123"/>
      <c r="E624" s="123"/>
      <c r="F624" s="123"/>
      <c r="G624" s="123"/>
      <c r="H624" s="135"/>
    </row>
    <row r="625">
      <c r="D625" s="123"/>
      <c r="E625" s="123"/>
      <c r="F625" s="123"/>
      <c r="G625" s="123"/>
      <c r="H625" s="135"/>
    </row>
    <row r="626">
      <c r="D626" s="123"/>
      <c r="E626" s="123"/>
      <c r="F626" s="123"/>
      <c r="G626" s="123"/>
      <c r="H626" s="135"/>
    </row>
    <row r="627">
      <c r="D627" s="123"/>
      <c r="E627" s="123"/>
      <c r="F627" s="123"/>
      <c r="G627" s="123"/>
      <c r="H627" s="135"/>
    </row>
    <row r="628">
      <c r="D628" s="123"/>
      <c r="E628" s="123"/>
      <c r="F628" s="123"/>
      <c r="G628" s="123"/>
      <c r="H628" s="135"/>
    </row>
    <row r="629">
      <c r="D629" s="123"/>
      <c r="E629" s="123"/>
      <c r="F629" s="123"/>
      <c r="G629" s="123"/>
      <c r="H629" s="135"/>
    </row>
    <row r="630">
      <c r="D630" s="123"/>
      <c r="E630" s="123"/>
      <c r="F630" s="123"/>
      <c r="G630" s="123"/>
      <c r="H630" s="135"/>
    </row>
    <row r="631">
      <c r="D631" s="123"/>
      <c r="E631" s="123"/>
      <c r="F631" s="123"/>
      <c r="G631" s="123"/>
      <c r="H631" s="135"/>
    </row>
    <row r="632">
      <c r="D632" s="123"/>
      <c r="E632" s="123"/>
      <c r="F632" s="123"/>
      <c r="G632" s="123"/>
      <c r="H632" s="135"/>
    </row>
    <row r="633">
      <c r="D633" s="123"/>
      <c r="E633" s="123"/>
      <c r="F633" s="123"/>
      <c r="G633" s="123"/>
      <c r="H633" s="135"/>
    </row>
    <row r="634">
      <c r="D634" s="123"/>
      <c r="E634" s="123"/>
      <c r="F634" s="123"/>
      <c r="G634" s="123"/>
      <c r="H634" s="135"/>
    </row>
    <row r="635">
      <c r="D635" s="123"/>
      <c r="E635" s="123"/>
      <c r="F635" s="123"/>
      <c r="G635" s="123"/>
      <c r="H635" s="135"/>
    </row>
    <row r="636">
      <c r="D636" s="123"/>
      <c r="E636" s="123"/>
      <c r="F636" s="123"/>
      <c r="G636" s="123"/>
      <c r="H636" s="135"/>
    </row>
    <row r="637">
      <c r="D637" s="123"/>
      <c r="E637" s="123"/>
      <c r="F637" s="123"/>
      <c r="G637" s="123"/>
      <c r="H637" s="135"/>
    </row>
    <row r="638">
      <c r="D638" s="123"/>
      <c r="E638" s="123"/>
      <c r="F638" s="123"/>
      <c r="G638" s="123"/>
      <c r="H638" s="135"/>
    </row>
    <row r="639">
      <c r="D639" s="123"/>
      <c r="E639" s="123"/>
      <c r="F639" s="123"/>
      <c r="G639" s="123"/>
      <c r="H639" s="135"/>
    </row>
    <row r="640">
      <c r="D640" s="123"/>
      <c r="E640" s="123"/>
      <c r="F640" s="123"/>
      <c r="G640" s="123"/>
      <c r="H640" s="135"/>
    </row>
    <row r="641">
      <c r="D641" s="123"/>
      <c r="E641" s="123"/>
      <c r="F641" s="123"/>
      <c r="G641" s="123"/>
      <c r="H641" s="135"/>
    </row>
    <row r="642">
      <c r="D642" s="123"/>
      <c r="E642" s="123"/>
      <c r="F642" s="123"/>
      <c r="G642" s="123"/>
      <c r="H642" s="135"/>
    </row>
    <row r="643">
      <c r="D643" s="123"/>
      <c r="E643" s="123"/>
      <c r="F643" s="123"/>
      <c r="G643" s="123"/>
      <c r="H643" s="135"/>
    </row>
    <row r="644">
      <c r="D644" s="123"/>
      <c r="E644" s="123"/>
      <c r="F644" s="123"/>
      <c r="G644" s="123"/>
      <c r="H644" s="135"/>
    </row>
    <row r="645">
      <c r="D645" s="123"/>
      <c r="E645" s="123"/>
      <c r="F645" s="123"/>
      <c r="G645" s="123"/>
      <c r="H645" s="135"/>
    </row>
    <row r="646">
      <c r="D646" s="123"/>
      <c r="E646" s="123"/>
      <c r="F646" s="123"/>
      <c r="G646" s="123"/>
      <c r="H646" s="135"/>
    </row>
    <row r="647">
      <c r="D647" s="123"/>
      <c r="E647" s="123"/>
      <c r="F647" s="123"/>
      <c r="G647" s="123"/>
      <c r="H647" s="135"/>
    </row>
    <row r="648">
      <c r="D648" s="123"/>
      <c r="E648" s="123"/>
      <c r="F648" s="123"/>
      <c r="G648" s="123"/>
      <c r="H648" s="135"/>
    </row>
    <row r="649">
      <c r="D649" s="123"/>
      <c r="E649" s="123"/>
      <c r="F649" s="123"/>
      <c r="G649" s="123"/>
      <c r="H649" s="135"/>
    </row>
    <row r="650">
      <c r="D650" s="123"/>
      <c r="E650" s="123"/>
      <c r="F650" s="123"/>
      <c r="G650" s="123"/>
      <c r="H650" s="135"/>
    </row>
    <row r="651">
      <c r="D651" s="123"/>
      <c r="E651" s="123"/>
      <c r="F651" s="123"/>
      <c r="G651" s="123"/>
      <c r="H651" s="135"/>
    </row>
    <row r="652">
      <c r="D652" s="123"/>
      <c r="E652" s="123"/>
      <c r="F652" s="123"/>
      <c r="G652" s="123"/>
      <c r="H652" s="135"/>
    </row>
    <row r="653">
      <c r="D653" s="123"/>
      <c r="E653" s="123"/>
      <c r="F653" s="123"/>
      <c r="G653" s="123"/>
      <c r="H653" s="135"/>
    </row>
    <row r="654">
      <c r="D654" s="123"/>
      <c r="E654" s="123"/>
      <c r="F654" s="123"/>
      <c r="G654" s="123"/>
      <c r="H654" s="135"/>
    </row>
    <row r="655">
      <c r="D655" s="123"/>
      <c r="E655" s="123"/>
      <c r="F655" s="123"/>
      <c r="G655" s="123"/>
      <c r="H655" s="135"/>
    </row>
    <row r="656">
      <c r="D656" s="123"/>
      <c r="E656" s="123"/>
      <c r="F656" s="123"/>
      <c r="G656" s="123"/>
      <c r="H656" s="135"/>
    </row>
    <row r="657">
      <c r="D657" s="123"/>
      <c r="E657" s="123"/>
      <c r="F657" s="123"/>
      <c r="G657" s="123"/>
      <c r="H657" s="135"/>
    </row>
    <row r="658">
      <c r="D658" s="123"/>
      <c r="E658" s="123"/>
      <c r="F658" s="123"/>
      <c r="G658" s="123"/>
      <c r="H658" s="135"/>
    </row>
    <row r="659">
      <c r="D659" s="123"/>
      <c r="E659" s="123"/>
      <c r="F659" s="123"/>
      <c r="G659" s="123"/>
      <c r="H659" s="135"/>
    </row>
    <row r="660">
      <c r="D660" s="123"/>
      <c r="E660" s="123"/>
      <c r="F660" s="123"/>
      <c r="G660" s="123"/>
      <c r="H660" s="135"/>
    </row>
    <row r="661">
      <c r="D661" s="123"/>
      <c r="E661" s="123"/>
      <c r="F661" s="123"/>
      <c r="G661" s="123"/>
      <c r="H661" s="135"/>
    </row>
    <row r="662">
      <c r="D662" s="123"/>
      <c r="E662" s="123"/>
      <c r="F662" s="123"/>
      <c r="G662" s="123"/>
      <c r="H662" s="135"/>
    </row>
    <row r="663">
      <c r="D663" s="123"/>
      <c r="E663" s="123"/>
      <c r="F663" s="123"/>
      <c r="G663" s="123"/>
      <c r="H663" s="135"/>
    </row>
    <row r="664">
      <c r="D664" s="123"/>
      <c r="E664" s="123"/>
      <c r="F664" s="123"/>
      <c r="G664" s="123"/>
      <c r="H664" s="135"/>
    </row>
    <row r="665">
      <c r="D665" s="123"/>
      <c r="E665" s="123"/>
      <c r="F665" s="123"/>
      <c r="G665" s="123"/>
      <c r="H665" s="135"/>
    </row>
    <row r="666">
      <c r="D666" s="123"/>
      <c r="E666" s="123"/>
      <c r="F666" s="123"/>
      <c r="G666" s="123"/>
      <c r="H666" s="135"/>
    </row>
    <row r="667">
      <c r="D667" s="123"/>
      <c r="E667" s="123"/>
      <c r="F667" s="123"/>
      <c r="G667" s="123"/>
      <c r="H667" s="135"/>
    </row>
    <row r="668">
      <c r="D668" s="123"/>
      <c r="E668" s="123"/>
      <c r="F668" s="123"/>
      <c r="G668" s="123"/>
      <c r="H668" s="135"/>
    </row>
    <row r="669">
      <c r="D669" s="123"/>
      <c r="E669" s="123"/>
      <c r="F669" s="123"/>
      <c r="G669" s="123"/>
      <c r="H669" s="135"/>
    </row>
    <row r="670">
      <c r="D670" s="123"/>
      <c r="E670" s="123"/>
      <c r="F670" s="123"/>
      <c r="G670" s="123"/>
      <c r="H670" s="135"/>
    </row>
    <row r="671">
      <c r="D671" s="123"/>
      <c r="E671" s="123"/>
      <c r="F671" s="123"/>
      <c r="G671" s="123"/>
      <c r="H671" s="135"/>
    </row>
    <row r="672">
      <c r="D672" s="123"/>
      <c r="E672" s="123"/>
      <c r="F672" s="123"/>
      <c r="G672" s="123"/>
      <c r="H672" s="135"/>
    </row>
    <row r="673">
      <c r="D673" s="123"/>
      <c r="E673" s="123"/>
      <c r="F673" s="123"/>
      <c r="G673" s="123"/>
      <c r="H673" s="135"/>
    </row>
    <row r="674">
      <c r="D674" s="123"/>
      <c r="E674" s="123"/>
      <c r="F674" s="123"/>
      <c r="G674" s="123"/>
      <c r="H674" s="135"/>
    </row>
    <row r="675">
      <c r="D675" s="123"/>
      <c r="E675" s="123"/>
      <c r="F675" s="123"/>
      <c r="G675" s="123"/>
      <c r="H675" s="135"/>
    </row>
    <row r="676">
      <c r="D676" s="123"/>
      <c r="E676" s="123"/>
      <c r="F676" s="123"/>
      <c r="G676" s="123"/>
      <c r="H676" s="135"/>
    </row>
    <row r="677">
      <c r="D677" s="123"/>
      <c r="E677" s="123"/>
      <c r="F677" s="123"/>
      <c r="G677" s="123"/>
      <c r="H677" s="135"/>
    </row>
    <row r="678">
      <c r="D678" s="123"/>
      <c r="E678" s="123"/>
      <c r="F678" s="123"/>
      <c r="G678" s="123"/>
      <c r="H678" s="135"/>
    </row>
    <row r="679">
      <c r="D679" s="123"/>
      <c r="E679" s="123"/>
      <c r="F679" s="123"/>
      <c r="G679" s="123"/>
      <c r="H679" s="135"/>
    </row>
    <row r="680">
      <c r="D680" s="123"/>
      <c r="E680" s="123"/>
      <c r="F680" s="123"/>
      <c r="G680" s="123"/>
      <c r="H680" s="135"/>
    </row>
    <row r="681">
      <c r="D681" s="123"/>
      <c r="E681" s="123"/>
      <c r="F681" s="123"/>
      <c r="G681" s="123"/>
      <c r="H681" s="135"/>
    </row>
    <row r="682">
      <c r="D682" s="123"/>
      <c r="E682" s="123"/>
      <c r="F682" s="123"/>
      <c r="G682" s="123"/>
      <c r="H682" s="135"/>
    </row>
    <row r="683">
      <c r="D683" s="123"/>
      <c r="E683" s="123"/>
      <c r="F683" s="123"/>
      <c r="G683" s="123"/>
      <c r="H683" s="135"/>
    </row>
    <row r="684">
      <c r="D684" s="123"/>
      <c r="E684" s="123"/>
      <c r="F684" s="123"/>
      <c r="G684" s="123"/>
      <c r="H684" s="135"/>
    </row>
    <row r="685">
      <c r="D685" s="123"/>
      <c r="E685" s="123"/>
      <c r="F685" s="123"/>
      <c r="G685" s="123"/>
      <c r="H685" s="135"/>
    </row>
    <row r="686">
      <c r="D686" s="123"/>
      <c r="E686" s="123"/>
      <c r="F686" s="123"/>
      <c r="G686" s="123"/>
      <c r="H686" s="135"/>
    </row>
    <row r="687">
      <c r="D687" s="123"/>
      <c r="E687" s="123"/>
      <c r="F687" s="123"/>
      <c r="G687" s="123"/>
      <c r="H687" s="135"/>
    </row>
    <row r="688">
      <c r="D688" s="123"/>
      <c r="E688" s="123"/>
      <c r="F688" s="123"/>
      <c r="G688" s="123"/>
      <c r="H688" s="135"/>
    </row>
    <row r="689">
      <c r="D689" s="123"/>
      <c r="E689" s="123"/>
      <c r="F689" s="123"/>
      <c r="G689" s="123"/>
      <c r="H689" s="135"/>
    </row>
    <row r="690">
      <c r="D690" s="123"/>
      <c r="E690" s="123"/>
      <c r="F690" s="123"/>
      <c r="G690" s="123"/>
      <c r="H690" s="135"/>
    </row>
    <row r="691">
      <c r="D691" s="123"/>
      <c r="E691" s="123"/>
      <c r="F691" s="123"/>
      <c r="G691" s="123"/>
      <c r="H691" s="135"/>
    </row>
    <row r="692">
      <c r="D692" s="123"/>
      <c r="E692" s="123"/>
      <c r="F692" s="123"/>
      <c r="G692" s="123"/>
      <c r="H692" s="135"/>
    </row>
    <row r="693">
      <c r="D693" s="123"/>
      <c r="E693" s="123"/>
      <c r="F693" s="123"/>
      <c r="G693" s="123"/>
      <c r="H693" s="135"/>
    </row>
    <row r="694">
      <c r="D694" s="123"/>
      <c r="E694" s="123"/>
      <c r="F694" s="123"/>
      <c r="G694" s="123"/>
      <c r="H694" s="135"/>
    </row>
    <row r="695">
      <c r="D695" s="123"/>
      <c r="E695" s="123"/>
      <c r="F695" s="123"/>
      <c r="G695" s="123"/>
      <c r="H695" s="135"/>
    </row>
    <row r="696">
      <c r="D696" s="123"/>
      <c r="E696" s="123"/>
      <c r="F696" s="123"/>
      <c r="G696" s="123"/>
      <c r="H696" s="135"/>
    </row>
    <row r="697">
      <c r="D697" s="123"/>
      <c r="E697" s="123"/>
      <c r="F697" s="123"/>
      <c r="G697" s="123"/>
      <c r="H697" s="135"/>
    </row>
    <row r="698">
      <c r="D698" s="123"/>
      <c r="E698" s="123"/>
      <c r="F698" s="123"/>
      <c r="G698" s="123"/>
      <c r="H698" s="135"/>
    </row>
    <row r="699">
      <c r="D699" s="123"/>
      <c r="E699" s="123"/>
      <c r="F699" s="123"/>
      <c r="G699" s="123"/>
      <c r="H699" s="135"/>
    </row>
    <row r="700">
      <c r="D700" s="123"/>
      <c r="E700" s="123"/>
      <c r="F700" s="123"/>
      <c r="G700" s="123"/>
      <c r="H700" s="135"/>
    </row>
    <row r="701">
      <c r="D701" s="123"/>
      <c r="E701" s="123"/>
      <c r="F701" s="123"/>
      <c r="G701" s="123"/>
      <c r="H701" s="135"/>
    </row>
    <row r="702">
      <c r="D702" s="123"/>
      <c r="E702" s="123"/>
      <c r="F702" s="123"/>
      <c r="G702" s="123"/>
      <c r="H702" s="135"/>
    </row>
    <row r="703">
      <c r="D703" s="123"/>
      <c r="E703" s="123"/>
      <c r="F703" s="123"/>
      <c r="G703" s="123"/>
      <c r="H703" s="135"/>
    </row>
    <row r="704">
      <c r="D704" s="123"/>
      <c r="E704" s="123"/>
      <c r="F704" s="123"/>
      <c r="G704" s="123"/>
      <c r="H704" s="135"/>
    </row>
    <row r="705">
      <c r="D705" s="123"/>
      <c r="E705" s="123"/>
      <c r="F705" s="123"/>
      <c r="G705" s="123"/>
      <c r="H705" s="135"/>
    </row>
    <row r="706">
      <c r="D706" s="123"/>
      <c r="E706" s="123"/>
      <c r="F706" s="123"/>
      <c r="G706" s="123"/>
      <c r="H706" s="135"/>
    </row>
    <row r="707">
      <c r="D707" s="123"/>
      <c r="E707" s="123"/>
      <c r="F707" s="123"/>
      <c r="G707" s="123"/>
      <c r="H707" s="135"/>
    </row>
    <row r="708">
      <c r="D708" s="123"/>
      <c r="E708" s="123"/>
      <c r="F708" s="123"/>
      <c r="G708" s="123"/>
      <c r="H708" s="135"/>
    </row>
    <row r="709">
      <c r="D709" s="123"/>
      <c r="E709" s="123"/>
      <c r="F709" s="123"/>
      <c r="G709" s="123"/>
      <c r="H709" s="135"/>
    </row>
    <row r="710">
      <c r="D710" s="123"/>
      <c r="E710" s="123"/>
      <c r="F710" s="123"/>
      <c r="G710" s="123"/>
      <c r="H710" s="135"/>
    </row>
    <row r="711">
      <c r="D711" s="123"/>
      <c r="E711" s="123"/>
      <c r="F711" s="123"/>
      <c r="G711" s="123"/>
      <c r="H711" s="135"/>
    </row>
    <row r="712">
      <c r="D712" s="123"/>
      <c r="E712" s="123"/>
      <c r="F712" s="123"/>
      <c r="G712" s="123"/>
      <c r="H712" s="135"/>
    </row>
    <row r="713">
      <c r="D713" s="123"/>
      <c r="E713" s="123"/>
      <c r="F713" s="123"/>
      <c r="G713" s="123"/>
      <c r="H713" s="135"/>
    </row>
    <row r="714">
      <c r="D714" s="123"/>
      <c r="E714" s="123"/>
      <c r="F714" s="123"/>
      <c r="G714" s="123"/>
      <c r="H714" s="135"/>
    </row>
    <row r="715">
      <c r="D715" s="123"/>
      <c r="E715" s="123"/>
      <c r="F715" s="123"/>
      <c r="G715" s="123"/>
      <c r="H715" s="135"/>
    </row>
    <row r="716">
      <c r="D716" s="123"/>
      <c r="E716" s="123"/>
      <c r="F716" s="123"/>
      <c r="G716" s="123"/>
      <c r="H716" s="135"/>
    </row>
    <row r="717">
      <c r="D717" s="123"/>
      <c r="E717" s="123"/>
      <c r="F717" s="123"/>
      <c r="G717" s="123"/>
      <c r="H717" s="135"/>
    </row>
    <row r="718">
      <c r="D718" s="123"/>
      <c r="E718" s="123"/>
      <c r="F718" s="123"/>
      <c r="G718" s="123"/>
      <c r="H718" s="135"/>
    </row>
    <row r="719">
      <c r="D719" s="123"/>
      <c r="E719" s="123"/>
      <c r="F719" s="123"/>
      <c r="G719" s="123"/>
      <c r="H719" s="135"/>
    </row>
    <row r="720">
      <c r="D720" s="123"/>
      <c r="E720" s="123"/>
      <c r="F720" s="123"/>
      <c r="G720" s="123"/>
      <c r="H720" s="135"/>
    </row>
    <row r="721">
      <c r="D721" s="123"/>
      <c r="E721" s="123"/>
      <c r="F721" s="123"/>
      <c r="G721" s="123"/>
      <c r="H721" s="135"/>
    </row>
    <row r="722">
      <c r="D722" s="123"/>
      <c r="E722" s="123"/>
      <c r="F722" s="123"/>
      <c r="G722" s="123"/>
      <c r="H722" s="135"/>
    </row>
    <row r="723">
      <c r="D723" s="123"/>
      <c r="E723" s="123"/>
      <c r="F723" s="123"/>
      <c r="G723" s="123"/>
      <c r="H723" s="135"/>
    </row>
    <row r="724">
      <c r="D724" s="123"/>
      <c r="E724" s="123"/>
      <c r="F724" s="123"/>
      <c r="G724" s="123"/>
      <c r="H724" s="135"/>
    </row>
    <row r="725">
      <c r="D725" s="123"/>
      <c r="E725" s="123"/>
      <c r="F725" s="123"/>
      <c r="G725" s="123"/>
      <c r="H725" s="135"/>
    </row>
    <row r="726">
      <c r="D726" s="123"/>
      <c r="E726" s="123"/>
      <c r="F726" s="123"/>
      <c r="G726" s="123"/>
      <c r="H726" s="135"/>
    </row>
    <row r="727">
      <c r="D727" s="123"/>
      <c r="E727" s="123"/>
      <c r="F727" s="123"/>
      <c r="G727" s="123"/>
      <c r="H727" s="135"/>
    </row>
    <row r="728">
      <c r="D728" s="123"/>
      <c r="E728" s="123"/>
      <c r="F728" s="123"/>
      <c r="G728" s="123"/>
      <c r="H728" s="135"/>
    </row>
    <row r="729">
      <c r="D729" s="123"/>
      <c r="E729" s="123"/>
      <c r="F729" s="123"/>
      <c r="G729" s="123"/>
      <c r="H729" s="135"/>
    </row>
    <row r="730">
      <c r="D730" s="123"/>
      <c r="E730" s="123"/>
      <c r="F730" s="123"/>
      <c r="G730" s="123"/>
      <c r="H730" s="135"/>
    </row>
    <row r="731">
      <c r="D731" s="123"/>
      <c r="E731" s="123"/>
      <c r="F731" s="123"/>
      <c r="G731" s="123"/>
      <c r="H731" s="135"/>
    </row>
    <row r="732">
      <c r="D732" s="123"/>
      <c r="E732" s="123"/>
      <c r="F732" s="123"/>
      <c r="G732" s="123"/>
      <c r="H732" s="135"/>
    </row>
    <row r="733">
      <c r="D733" s="123"/>
      <c r="E733" s="123"/>
      <c r="F733" s="123"/>
      <c r="G733" s="123"/>
      <c r="H733" s="135"/>
    </row>
    <row r="734">
      <c r="D734" s="123"/>
      <c r="E734" s="123"/>
      <c r="F734" s="123"/>
      <c r="G734" s="123"/>
      <c r="H734" s="135"/>
    </row>
    <row r="735">
      <c r="D735" s="123"/>
      <c r="E735" s="123"/>
      <c r="F735" s="123"/>
      <c r="G735" s="123"/>
      <c r="H735" s="135"/>
    </row>
    <row r="736">
      <c r="D736" s="123"/>
      <c r="E736" s="123"/>
      <c r="F736" s="123"/>
      <c r="G736" s="123"/>
      <c r="H736" s="135"/>
    </row>
    <row r="737">
      <c r="D737" s="123"/>
      <c r="E737" s="123"/>
      <c r="F737" s="123"/>
      <c r="G737" s="123"/>
      <c r="H737" s="135"/>
    </row>
    <row r="738">
      <c r="D738" s="123"/>
      <c r="E738" s="123"/>
      <c r="F738" s="123"/>
      <c r="G738" s="123"/>
      <c r="H738" s="135"/>
    </row>
    <row r="739">
      <c r="D739" s="123"/>
      <c r="E739" s="123"/>
      <c r="F739" s="123"/>
      <c r="G739" s="123"/>
      <c r="H739" s="135"/>
    </row>
    <row r="740">
      <c r="D740" s="123"/>
      <c r="E740" s="123"/>
      <c r="F740" s="123"/>
      <c r="G740" s="123"/>
      <c r="H740" s="135"/>
    </row>
    <row r="741">
      <c r="D741" s="123"/>
      <c r="E741" s="123"/>
      <c r="F741" s="123"/>
      <c r="G741" s="123"/>
      <c r="H741" s="135"/>
    </row>
    <row r="742">
      <c r="D742" s="123"/>
      <c r="E742" s="123"/>
      <c r="F742" s="123"/>
      <c r="G742" s="123"/>
      <c r="H742" s="135"/>
    </row>
    <row r="743">
      <c r="D743" s="123"/>
      <c r="E743" s="123"/>
      <c r="F743" s="123"/>
      <c r="G743" s="123"/>
      <c r="H743" s="135"/>
    </row>
    <row r="744">
      <c r="D744" s="123"/>
      <c r="E744" s="123"/>
      <c r="F744" s="123"/>
      <c r="G744" s="123"/>
      <c r="H744" s="135"/>
    </row>
    <row r="745">
      <c r="D745" s="123"/>
      <c r="E745" s="123"/>
      <c r="F745" s="123"/>
      <c r="G745" s="123"/>
      <c r="H745" s="135"/>
    </row>
    <row r="746">
      <c r="D746" s="123"/>
      <c r="E746" s="123"/>
      <c r="F746" s="123"/>
      <c r="G746" s="123"/>
      <c r="H746" s="135"/>
    </row>
    <row r="747">
      <c r="D747" s="123"/>
      <c r="E747" s="123"/>
      <c r="F747" s="123"/>
      <c r="G747" s="123"/>
      <c r="H747" s="135"/>
    </row>
    <row r="748">
      <c r="D748" s="123"/>
      <c r="E748" s="123"/>
      <c r="F748" s="123"/>
      <c r="G748" s="123"/>
      <c r="H748" s="135"/>
    </row>
    <row r="749">
      <c r="D749" s="123"/>
      <c r="E749" s="123"/>
      <c r="F749" s="123"/>
      <c r="G749" s="123"/>
      <c r="H749" s="135"/>
    </row>
    <row r="750">
      <c r="D750" s="123"/>
      <c r="E750" s="123"/>
      <c r="F750" s="123"/>
      <c r="G750" s="123"/>
      <c r="H750" s="135"/>
    </row>
    <row r="751">
      <c r="D751" s="123"/>
      <c r="E751" s="123"/>
      <c r="F751" s="123"/>
      <c r="G751" s="123"/>
      <c r="H751" s="135"/>
    </row>
    <row r="752">
      <c r="D752" s="123"/>
      <c r="E752" s="123"/>
      <c r="F752" s="123"/>
      <c r="G752" s="123"/>
      <c r="H752" s="135"/>
    </row>
    <row r="753">
      <c r="D753" s="123"/>
      <c r="E753" s="123"/>
      <c r="F753" s="123"/>
      <c r="G753" s="123"/>
      <c r="H753" s="135"/>
    </row>
    <row r="754">
      <c r="D754" s="123"/>
      <c r="E754" s="123"/>
      <c r="F754" s="123"/>
      <c r="G754" s="123"/>
      <c r="H754" s="135"/>
    </row>
    <row r="755">
      <c r="D755" s="123"/>
      <c r="E755" s="123"/>
      <c r="F755" s="123"/>
      <c r="G755" s="123"/>
      <c r="H755" s="135"/>
    </row>
    <row r="756">
      <c r="D756" s="123"/>
      <c r="E756" s="123"/>
      <c r="F756" s="123"/>
      <c r="G756" s="123"/>
      <c r="H756" s="135"/>
    </row>
    <row r="757">
      <c r="D757" s="123"/>
      <c r="E757" s="123"/>
      <c r="F757" s="123"/>
      <c r="G757" s="123"/>
      <c r="H757" s="135"/>
    </row>
    <row r="758">
      <c r="D758" s="123"/>
      <c r="E758" s="123"/>
      <c r="F758" s="123"/>
      <c r="G758" s="123"/>
      <c r="H758" s="135"/>
    </row>
    <row r="759">
      <c r="D759" s="123"/>
      <c r="E759" s="123"/>
      <c r="F759" s="123"/>
      <c r="G759" s="123"/>
      <c r="H759" s="135"/>
    </row>
    <row r="760">
      <c r="D760" s="123"/>
      <c r="E760" s="123"/>
      <c r="F760" s="123"/>
      <c r="G760" s="123"/>
      <c r="H760" s="135"/>
    </row>
    <row r="761">
      <c r="D761" s="123"/>
      <c r="E761" s="123"/>
      <c r="F761" s="123"/>
      <c r="G761" s="123"/>
      <c r="H761" s="135"/>
    </row>
    <row r="762">
      <c r="D762" s="123"/>
      <c r="E762" s="123"/>
      <c r="F762" s="123"/>
      <c r="G762" s="123"/>
      <c r="H762" s="135"/>
    </row>
    <row r="763">
      <c r="D763" s="123"/>
      <c r="E763" s="123"/>
      <c r="F763" s="123"/>
      <c r="G763" s="123"/>
      <c r="H763" s="135"/>
    </row>
    <row r="764">
      <c r="D764" s="123"/>
      <c r="E764" s="123"/>
      <c r="F764" s="123"/>
      <c r="G764" s="123"/>
      <c r="H764" s="135"/>
    </row>
    <row r="765">
      <c r="D765" s="123"/>
      <c r="E765" s="123"/>
      <c r="F765" s="123"/>
      <c r="G765" s="123"/>
      <c r="H765" s="135"/>
    </row>
    <row r="766">
      <c r="D766" s="123"/>
      <c r="E766" s="123"/>
      <c r="F766" s="123"/>
      <c r="G766" s="123"/>
      <c r="H766" s="135"/>
    </row>
    <row r="767">
      <c r="D767" s="123"/>
      <c r="E767" s="123"/>
      <c r="F767" s="123"/>
      <c r="G767" s="123"/>
      <c r="H767" s="135"/>
    </row>
    <row r="768">
      <c r="D768" s="123"/>
      <c r="E768" s="123"/>
      <c r="F768" s="123"/>
      <c r="G768" s="123"/>
      <c r="H768" s="135"/>
    </row>
    <row r="769">
      <c r="D769" s="123"/>
      <c r="E769" s="123"/>
      <c r="F769" s="123"/>
      <c r="G769" s="123"/>
      <c r="H769" s="135"/>
    </row>
    <row r="770">
      <c r="D770" s="123"/>
      <c r="E770" s="123"/>
      <c r="F770" s="123"/>
      <c r="G770" s="123"/>
      <c r="H770" s="135"/>
    </row>
    <row r="771">
      <c r="D771" s="123"/>
      <c r="E771" s="123"/>
      <c r="F771" s="123"/>
      <c r="G771" s="123"/>
      <c r="H771" s="135"/>
    </row>
    <row r="772">
      <c r="D772" s="123"/>
      <c r="E772" s="123"/>
      <c r="F772" s="123"/>
      <c r="G772" s="123"/>
      <c r="H772" s="135"/>
    </row>
    <row r="773">
      <c r="D773" s="123"/>
      <c r="E773" s="123"/>
      <c r="F773" s="123"/>
      <c r="G773" s="123"/>
      <c r="H773" s="135"/>
    </row>
    <row r="774">
      <c r="D774" s="123"/>
      <c r="E774" s="123"/>
      <c r="F774" s="123"/>
      <c r="G774" s="123"/>
      <c r="H774" s="135"/>
    </row>
    <row r="775">
      <c r="D775" s="123"/>
      <c r="E775" s="123"/>
      <c r="F775" s="123"/>
      <c r="G775" s="123"/>
      <c r="H775" s="135"/>
    </row>
    <row r="776">
      <c r="D776" s="123"/>
      <c r="E776" s="123"/>
      <c r="F776" s="123"/>
      <c r="G776" s="123"/>
      <c r="H776" s="135"/>
    </row>
    <row r="777">
      <c r="D777" s="123"/>
      <c r="E777" s="123"/>
      <c r="F777" s="123"/>
      <c r="G777" s="123"/>
      <c r="H777" s="135"/>
    </row>
    <row r="778">
      <c r="D778" s="123"/>
      <c r="E778" s="123"/>
      <c r="F778" s="123"/>
      <c r="G778" s="123"/>
      <c r="H778" s="135"/>
    </row>
    <row r="779">
      <c r="D779" s="123"/>
      <c r="E779" s="123"/>
      <c r="F779" s="123"/>
      <c r="G779" s="123"/>
      <c r="H779" s="135"/>
    </row>
    <row r="780">
      <c r="D780" s="123"/>
      <c r="E780" s="123"/>
      <c r="F780" s="123"/>
      <c r="G780" s="123"/>
      <c r="H780" s="135"/>
    </row>
    <row r="781">
      <c r="D781" s="123"/>
      <c r="E781" s="123"/>
      <c r="F781" s="123"/>
      <c r="G781" s="123"/>
      <c r="H781" s="135"/>
    </row>
    <row r="782">
      <c r="D782" s="123"/>
      <c r="E782" s="123"/>
      <c r="F782" s="123"/>
      <c r="G782" s="123"/>
      <c r="H782" s="135"/>
    </row>
    <row r="783">
      <c r="D783" s="123"/>
      <c r="E783" s="123"/>
      <c r="F783" s="123"/>
      <c r="G783" s="123"/>
      <c r="H783" s="135"/>
    </row>
    <row r="784">
      <c r="D784" s="123"/>
      <c r="E784" s="123"/>
      <c r="F784" s="123"/>
      <c r="G784" s="123"/>
      <c r="H784" s="135"/>
    </row>
    <row r="785">
      <c r="D785" s="123"/>
      <c r="E785" s="123"/>
      <c r="F785" s="123"/>
      <c r="G785" s="123"/>
      <c r="H785" s="135"/>
    </row>
    <row r="786">
      <c r="D786" s="123"/>
      <c r="E786" s="123"/>
      <c r="F786" s="123"/>
      <c r="G786" s="123"/>
      <c r="H786" s="135"/>
    </row>
    <row r="787">
      <c r="D787" s="123"/>
      <c r="E787" s="123"/>
      <c r="F787" s="123"/>
      <c r="G787" s="123"/>
      <c r="H787" s="135"/>
    </row>
    <row r="788">
      <c r="D788" s="123"/>
      <c r="E788" s="123"/>
      <c r="F788" s="123"/>
      <c r="G788" s="123"/>
      <c r="H788" s="135"/>
    </row>
    <row r="789">
      <c r="D789" s="123"/>
      <c r="E789" s="123"/>
      <c r="F789" s="123"/>
      <c r="G789" s="123"/>
      <c r="H789" s="135"/>
    </row>
    <row r="790">
      <c r="D790" s="123"/>
      <c r="E790" s="123"/>
      <c r="F790" s="123"/>
      <c r="G790" s="123"/>
      <c r="H790" s="135"/>
    </row>
    <row r="791">
      <c r="D791" s="123"/>
      <c r="E791" s="123"/>
      <c r="F791" s="123"/>
      <c r="G791" s="123"/>
      <c r="H791" s="135"/>
    </row>
    <row r="792">
      <c r="D792" s="123"/>
      <c r="E792" s="123"/>
      <c r="F792" s="123"/>
      <c r="G792" s="123"/>
      <c r="H792" s="135"/>
    </row>
    <row r="793">
      <c r="D793" s="123"/>
      <c r="E793" s="123"/>
      <c r="F793" s="123"/>
      <c r="G793" s="123"/>
      <c r="H793" s="135"/>
    </row>
    <row r="794">
      <c r="D794" s="123"/>
      <c r="E794" s="123"/>
      <c r="F794" s="123"/>
      <c r="G794" s="123"/>
      <c r="H794" s="135"/>
    </row>
    <row r="795">
      <c r="D795" s="123"/>
      <c r="E795" s="123"/>
      <c r="F795" s="123"/>
      <c r="G795" s="123"/>
      <c r="H795" s="135"/>
    </row>
    <row r="796">
      <c r="D796" s="123"/>
      <c r="E796" s="123"/>
      <c r="F796" s="123"/>
      <c r="G796" s="123"/>
      <c r="H796" s="135"/>
    </row>
    <row r="797">
      <c r="D797" s="123"/>
      <c r="E797" s="123"/>
      <c r="F797" s="123"/>
      <c r="G797" s="123"/>
      <c r="H797" s="135"/>
    </row>
    <row r="798">
      <c r="D798" s="123"/>
      <c r="E798" s="123"/>
      <c r="F798" s="123"/>
      <c r="G798" s="123"/>
      <c r="H798" s="135"/>
    </row>
    <row r="799">
      <c r="D799" s="123"/>
      <c r="E799" s="123"/>
      <c r="F799" s="123"/>
      <c r="G799" s="123"/>
      <c r="H799" s="135"/>
    </row>
    <row r="800">
      <c r="D800" s="123"/>
      <c r="E800" s="123"/>
      <c r="F800" s="123"/>
      <c r="G800" s="123"/>
      <c r="H800" s="135"/>
    </row>
    <row r="801">
      <c r="D801" s="123"/>
      <c r="E801" s="123"/>
      <c r="F801" s="123"/>
      <c r="G801" s="123"/>
      <c r="H801" s="135"/>
    </row>
    <row r="802">
      <c r="D802" s="123"/>
      <c r="E802" s="123"/>
      <c r="F802" s="123"/>
      <c r="G802" s="123"/>
      <c r="H802" s="135"/>
    </row>
    <row r="803">
      <c r="D803" s="123"/>
      <c r="E803" s="123"/>
      <c r="F803" s="123"/>
      <c r="G803" s="123"/>
      <c r="H803" s="135"/>
    </row>
    <row r="804">
      <c r="D804" s="123"/>
      <c r="E804" s="123"/>
      <c r="F804" s="123"/>
      <c r="G804" s="123"/>
      <c r="H804" s="135"/>
    </row>
    <row r="805">
      <c r="D805" s="123"/>
      <c r="E805" s="123"/>
      <c r="F805" s="123"/>
      <c r="G805" s="123"/>
      <c r="H805" s="135"/>
    </row>
    <row r="806">
      <c r="D806" s="123"/>
      <c r="E806" s="123"/>
      <c r="F806" s="123"/>
      <c r="G806" s="123"/>
      <c r="H806" s="135"/>
    </row>
    <row r="807">
      <c r="D807" s="123"/>
      <c r="E807" s="123"/>
      <c r="F807" s="123"/>
      <c r="G807" s="123"/>
      <c r="H807" s="135"/>
    </row>
    <row r="808">
      <c r="D808" s="123"/>
      <c r="E808" s="123"/>
      <c r="F808" s="123"/>
      <c r="G808" s="123"/>
      <c r="H808" s="135"/>
    </row>
    <row r="809">
      <c r="D809" s="123"/>
      <c r="E809" s="123"/>
      <c r="F809" s="123"/>
      <c r="G809" s="123"/>
      <c r="H809" s="135"/>
    </row>
    <row r="810">
      <c r="D810" s="123"/>
      <c r="E810" s="123"/>
      <c r="F810" s="123"/>
      <c r="G810" s="123"/>
      <c r="H810" s="135"/>
    </row>
    <row r="811">
      <c r="D811" s="123"/>
      <c r="E811" s="123"/>
      <c r="F811" s="123"/>
      <c r="G811" s="123"/>
      <c r="H811" s="135"/>
    </row>
    <row r="812">
      <c r="D812" s="123"/>
      <c r="E812" s="123"/>
      <c r="F812" s="123"/>
      <c r="G812" s="123"/>
      <c r="H812" s="135"/>
    </row>
    <row r="813">
      <c r="D813" s="123"/>
      <c r="E813" s="123"/>
      <c r="F813" s="123"/>
      <c r="G813" s="123"/>
      <c r="H813" s="135"/>
    </row>
    <row r="814">
      <c r="D814" s="123"/>
      <c r="E814" s="123"/>
      <c r="F814" s="123"/>
      <c r="G814" s="123"/>
      <c r="H814" s="135"/>
    </row>
    <row r="815">
      <c r="D815" s="123"/>
      <c r="E815" s="123"/>
      <c r="F815" s="123"/>
      <c r="G815" s="123"/>
      <c r="H815" s="135"/>
    </row>
    <row r="816">
      <c r="D816" s="123"/>
      <c r="E816" s="123"/>
      <c r="F816" s="123"/>
      <c r="G816" s="123"/>
      <c r="H816" s="135"/>
    </row>
    <row r="817">
      <c r="D817" s="123"/>
      <c r="E817" s="123"/>
      <c r="F817" s="123"/>
      <c r="G817" s="123"/>
      <c r="H817" s="135"/>
    </row>
    <row r="818">
      <c r="D818" s="123"/>
      <c r="E818" s="123"/>
      <c r="F818" s="123"/>
      <c r="G818" s="123"/>
      <c r="H818" s="135"/>
    </row>
    <row r="819">
      <c r="D819" s="123"/>
      <c r="E819" s="123"/>
      <c r="F819" s="123"/>
      <c r="G819" s="123"/>
      <c r="H819" s="135"/>
    </row>
    <row r="820">
      <c r="D820" s="123"/>
      <c r="E820" s="123"/>
      <c r="F820" s="123"/>
      <c r="G820" s="123"/>
      <c r="H820" s="135"/>
    </row>
    <row r="821">
      <c r="D821" s="123"/>
      <c r="E821" s="123"/>
      <c r="F821" s="123"/>
      <c r="G821" s="123"/>
      <c r="H821" s="135"/>
    </row>
    <row r="822">
      <c r="D822" s="123"/>
      <c r="E822" s="123"/>
      <c r="F822" s="123"/>
      <c r="G822" s="123"/>
      <c r="H822" s="135"/>
    </row>
    <row r="823">
      <c r="D823" s="123"/>
      <c r="E823" s="123"/>
      <c r="F823" s="123"/>
      <c r="G823" s="123"/>
      <c r="H823" s="135"/>
    </row>
    <row r="824">
      <c r="D824" s="123"/>
      <c r="E824" s="123"/>
      <c r="F824" s="123"/>
      <c r="G824" s="123"/>
      <c r="H824" s="135"/>
    </row>
    <row r="825">
      <c r="D825" s="123"/>
      <c r="E825" s="123"/>
      <c r="F825" s="123"/>
      <c r="G825" s="123"/>
      <c r="H825" s="135"/>
    </row>
    <row r="826">
      <c r="D826" s="123"/>
      <c r="E826" s="123"/>
      <c r="F826" s="123"/>
      <c r="G826" s="123"/>
      <c r="H826" s="135"/>
    </row>
    <row r="827">
      <c r="D827" s="123"/>
      <c r="E827" s="123"/>
      <c r="F827" s="123"/>
      <c r="G827" s="123"/>
      <c r="H827" s="135"/>
    </row>
    <row r="828">
      <c r="D828" s="123"/>
      <c r="E828" s="123"/>
      <c r="F828" s="123"/>
      <c r="G828" s="123"/>
      <c r="H828" s="135"/>
    </row>
    <row r="829">
      <c r="D829" s="123"/>
      <c r="E829" s="123"/>
      <c r="F829" s="123"/>
      <c r="G829" s="123"/>
      <c r="H829" s="135"/>
    </row>
    <row r="830">
      <c r="D830" s="123"/>
      <c r="E830" s="123"/>
      <c r="F830" s="123"/>
      <c r="G830" s="123"/>
      <c r="H830" s="135"/>
    </row>
    <row r="831">
      <c r="D831" s="123"/>
      <c r="E831" s="123"/>
      <c r="F831" s="123"/>
      <c r="G831" s="123"/>
      <c r="H831" s="135"/>
    </row>
    <row r="832">
      <c r="D832" s="123"/>
      <c r="E832" s="123"/>
      <c r="F832" s="123"/>
      <c r="G832" s="123"/>
      <c r="H832" s="135"/>
    </row>
    <row r="833">
      <c r="D833" s="123"/>
      <c r="E833" s="123"/>
      <c r="F833" s="123"/>
      <c r="G833" s="123"/>
      <c r="H833" s="135"/>
    </row>
    <row r="834">
      <c r="D834" s="123"/>
      <c r="E834" s="123"/>
      <c r="F834" s="123"/>
      <c r="G834" s="123"/>
      <c r="H834" s="135"/>
    </row>
    <row r="835">
      <c r="D835" s="123"/>
      <c r="E835" s="123"/>
      <c r="F835" s="123"/>
      <c r="G835" s="123"/>
      <c r="H835" s="135"/>
    </row>
    <row r="836">
      <c r="D836" s="123"/>
      <c r="E836" s="123"/>
      <c r="F836" s="123"/>
      <c r="G836" s="123"/>
      <c r="H836" s="135"/>
    </row>
    <row r="837">
      <c r="D837" s="123"/>
      <c r="E837" s="123"/>
      <c r="F837" s="123"/>
      <c r="G837" s="123"/>
      <c r="H837" s="135"/>
    </row>
    <row r="838">
      <c r="D838" s="123"/>
      <c r="E838" s="123"/>
      <c r="F838" s="123"/>
      <c r="G838" s="123"/>
      <c r="H838" s="135"/>
    </row>
    <row r="839">
      <c r="D839" s="123"/>
      <c r="E839" s="123"/>
      <c r="F839" s="123"/>
      <c r="G839" s="123"/>
      <c r="H839" s="135"/>
    </row>
    <row r="840">
      <c r="D840" s="123"/>
      <c r="E840" s="123"/>
      <c r="F840" s="123"/>
      <c r="G840" s="123"/>
      <c r="H840" s="135"/>
    </row>
    <row r="841">
      <c r="D841" s="123"/>
      <c r="E841" s="123"/>
      <c r="F841" s="123"/>
      <c r="G841" s="123"/>
      <c r="H841" s="135"/>
    </row>
    <row r="842">
      <c r="D842" s="123"/>
      <c r="E842" s="123"/>
      <c r="F842" s="123"/>
      <c r="G842" s="123"/>
      <c r="H842" s="135"/>
    </row>
    <row r="843">
      <c r="D843" s="123"/>
      <c r="E843" s="123"/>
      <c r="F843" s="123"/>
      <c r="G843" s="123"/>
      <c r="H843" s="135"/>
    </row>
    <row r="844">
      <c r="D844" s="123"/>
      <c r="E844" s="123"/>
      <c r="F844" s="123"/>
      <c r="G844" s="123"/>
      <c r="H844" s="135"/>
    </row>
    <row r="845">
      <c r="D845" s="123"/>
      <c r="E845" s="123"/>
      <c r="F845" s="123"/>
      <c r="G845" s="123"/>
      <c r="H845" s="135"/>
    </row>
    <row r="846">
      <c r="D846" s="123"/>
      <c r="E846" s="123"/>
      <c r="F846" s="123"/>
      <c r="G846" s="123"/>
      <c r="H846" s="135"/>
    </row>
    <row r="847">
      <c r="D847" s="123"/>
      <c r="E847" s="123"/>
      <c r="F847" s="123"/>
      <c r="G847" s="123"/>
      <c r="H847" s="135"/>
    </row>
    <row r="848">
      <c r="D848" s="123"/>
      <c r="E848" s="123"/>
      <c r="F848" s="123"/>
      <c r="G848" s="123"/>
      <c r="H848" s="135"/>
    </row>
    <row r="849">
      <c r="D849" s="123"/>
      <c r="E849" s="123"/>
      <c r="F849" s="123"/>
      <c r="G849" s="123"/>
      <c r="H849" s="135"/>
    </row>
    <row r="850">
      <c r="D850" s="123"/>
      <c r="E850" s="123"/>
      <c r="F850" s="123"/>
      <c r="G850" s="123"/>
      <c r="H850" s="135"/>
    </row>
    <row r="851">
      <c r="D851" s="123"/>
      <c r="E851" s="123"/>
      <c r="F851" s="123"/>
      <c r="G851" s="123"/>
      <c r="H851" s="135"/>
    </row>
    <row r="852">
      <c r="D852" s="123"/>
      <c r="E852" s="123"/>
      <c r="F852" s="123"/>
      <c r="G852" s="123"/>
      <c r="H852" s="135"/>
    </row>
    <row r="853">
      <c r="D853" s="123"/>
      <c r="E853" s="123"/>
      <c r="F853" s="123"/>
      <c r="G853" s="123"/>
      <c r="H853" s="135"/>
    </row>
    <row r="854">
      <c r="D854" s="123"/>
      <c r="E854" s="123"/>
      <c r="F854" s="123"/>
      <c r="G854" s="123"/>
      <c r="H854" s="135"/>
    </row>
    <row r="855">
      <c r="D855" s="123"/>
      <c r="E855" s="123"/>
      <c r="F855" s="123"/>
      <c r="G855" s="123"/>
      <c r="H855" s="135"/>
    </row>
    <row r="856">
      <c r="D856" s="123"/>
      <c r="E856" s="123"/>
      <c r="F856" s="123"/>
      <c r="G856" s="123"/>
      <c r="H856" s="135"/>
    </row>
    <row r="857">
      <c r="D857" s="123"/>
      <c r="E857" s="123"/>
      <c r="F857" s="123"/>
      <c r="G857" s="123"/>
      <c r="H857" s="135"/>
    </row>
    <row r="858">
      <c r="D858" s="123"/>
      <c r="E858" s="123"/>
      <c r="F858" s="123"/>
      <c r="G858" s="123"/>
      <c r="H858" s="135"/>
    </row>
    <row r="859">
      <c r="D859" s="123"/>
      <c r="E859" s="123"/>
      <c r="F859" s="123"/>
      <c r="G859" s="123"/>
      <c r="H859" s="135"/>
    </row>
    <row r="860">
      <c r="D860" s="123"/>
      <c r="E860" s="123"/>
      <c r="F860" s="123"/>
      <c r="G860" s="123"/>
      <c r="H860" s="135"/>
    </row>
    <row r="861">
      <c r="D861" s="123"/>
      <c r="E861" s="123"/>
      <c r="F861" s="123"/>
      <c r="G861" s="123"/>
      <c r="H861" s="135"/>
    </row>
    <row r="862">
      <c r="D862" s="123"/>
      <c r="E862" s="123"/>
      <c r="F862" s="123"/>
      <c r="G862" s="123"/>
      <c r="H862" s="135"/>
    </row>
    <row r="863">
      <c r="D863" s="123"/>
      <c r="E863" s="123"/>
      <c r="F863" s="123"/>
      <c r="G863" s="123"/>
      <c r="H863" s="135"/>
    </row>
    <row r="864">
      <c r="D864" s="123"/>
      <c r="E864" s="123"/>
      <c r="F864" s="123"/>
      <c r="G864" s="123"/>
      <c r="H864" s="135"/>
    </row>
    <row r="865">
      <c r="D865" s="123"/>
      <c r="E865" s="123"/>
      <c r="F865" s="123"/>
      <c r="G865" s="123"/>
      <c r="H865" s="135"/>
    </row>
    <row r="866">
      <c r="D866" s="123"/>
      <c r="E866" s="123"/>
      <c r="F866" s="123"/>
      <c r="G866" s="123"/>
      <c r="H866" s="135"/>
    </row>
    <row r="867">
      <c r="D867" s="123"/>
      <c r="E867" s="123"/>
      <c r="F867" s="123"/>
      <c r="G867" s="123"/>
      <c r="H867" s="135"/>
    </row>
    <row r="868">
      <c r="D868" s="123"/>
      <c r="E868" s="123"/>
      <c r="F868" s="123"/>
      <c r="G868" s="123"/>
      <c r="H868" s="135"/>
    </row>
    <row r="869">
      <c r="D869" s="123"/>
      <c r="E869" s="123"/>
      <c r="F869" s="123"/>
      <c r="G869" s="123"/>
      <c r="H869" s="135"/>
    </row>
    <row r="870">
      <c r="D870" s="123"/>
      <c r="E870" s="123"/>
      <c r="F870" s="123"/>
      <c r="G870" s="123"/>
      <c r="H870" s="135"/>
    </row>
    <row r="871">
      <c r="D871" s="123"/>
      <c r="E871" s="123"/>
      <c r="F871" s="123"/>
      <c r="G871" s="123"/>
      <c r="H871" s="135"/>
    </row>
    <row r="872">
      <c r="D872" s="123"/>
      <c r="E872" s="123"/>
      <c r="F872" s="123"/>
      <c r="G872" s="123"/>
      <c r="H872" s="135"/>
    </row>
    <row r="873">
      <c r="D873" s="123"/>
      <c r="E873" s="123"/>
      <c r="F873" s="123"/>
      <c r="G873" s="123"/>
      <c r="H873" s="135"/>
    </row>
    <row r="874">
      <c r="D874" s="123"/>
      <c r="E874" s="123"/>
      <c r="F874" s="123"/>
      <c r="G874" s="123"/>
      <c r="H874" s="135"/>
    </row>
    <row r="875">
      <c r="D875" s="123"/>
      <c r="E875" s="123"/>
      <c r="F875" s="123"/>
      <c r="G875" s="123"/>
      <c r="H875" s="135"/>
    </row>
    <row r="876">
      <c r="D876" s="123"/>
      <c r="E876" s="123"/>
      <c r="F876" s="123"/>
      <c r="G876" s="123"/>
      <c r="H876" s="135"/>
    </row>
    <row r="877">
      <c r="D877" s="123"/>
      <c r="E877" s="123"/>
      <c r="F877" s="123"/>
      <c r="G877" s="123"/>
      <c r="H877" s="135"/>
    </row>
    <row r="878">
      <c r="D878" s="123"/>
      <c r="E878" s="123"/>
      <c r="F878" s="123"/>
      <c r="G878" s="123"/>
      <c r="H878" s="135"/>
    </row>
    <row r="879">
      <c r="D879" s="123"/>
      <c r="E879" s="123"/>
      <c r="F879" s="123"/>
      <c r="G879" s="123"/>
      <c r="H879" s="135"/>
    </row>
    <row r="880">
      <c r="D880" s="123"/>
      <c r="E880" s="123"/>
      <c r="F880" s="123"/>
      <c r="G880" s="123"/>
      <c r="H880" s="135"/>
    </row>
    <row r="881">
      <c r="D881" s="123"/>
      <c r="E881" s="123"/>
      <c r="F881" s="123"/>
      <c r="G881" s="123"/>
      <c r="H881" s="135"/>
    </row>
    <row r="882">
      <c r="D882" s="123"/>
      <c r="E882" s="123"/>
      <c r="F882" s="123"/>
      <c r="G882" s="123"/>
      <c r="H882" s="135"/>
    </row>
    <row r="883">
      <c r="D883" s="123"/>
      <c r="E883" s="123"/>
      <c r="F883" s="123"/>
      <c r="G883" s="123"/>
      <c r="H883" s="135"/>
    </row>
    <row r="884">
      <c r="D884" s="123"/>
      <c r="E884" s="123"/>
      <c r="F884" s="123"/>
      <c r="G884" s="123"/>
      <c r="H884" s="135"/>
    </row>
    <row r="885">
      <c r="D885" s="123"/>
      <c r="E885" s="123"/>
      <c r="F885" s="123"/>
      <c r="G885" s="123"/>
      <c r="H885" s="135"/>
    </row>
    <row r="886">
      <c r="D886" s="123"/>
      <c r="E886" s="123"/>
      <c r="F886" s="123"/>
      <c r="G886" s="123"/>
      <c r="H886" s="135"/>
    </row>
    <row r="887">
      <c r="D887" s="123"/>
      <c r="E887" s="123"/>
      <c r="F887" s="123"/>
      <c r="G887" s="123"/>
      <c r="H887" s="135"/>
    </row>
    <row r="888">
      <c r="D888" s="123"/>
      <c r="E888" s="123"/>
      <c r="F888" s="123"/>
      <c r="G888" s="123"/>
      <c r="H888" s="135"/>
    </row>
    <row r="889">
      <c r="D889" s="123"/>
      <c r="E889" s="123"/>
      <c r="F889" s="123"/>
      <c r="G889" s="123"/>
      <c r="H889" s="135"/>
    </row>
    <row r="890">
      <c r="D890" s="123"/>
      <c r="E890" s="123"/>
      <c r="F890" s="123"/>
      <c r="G890" s="123"/>
      <c r="H890" s="135"/>
    </row>
    <row r="891">
      <c r="D891" s="123"/>
      <c r="E891" s="123"/>
      <c r="F891" s="123"/>
      <c r="G891" s="123"/>
      <c r="H891" s="135"/>
    </row>
    <row r="892">
      <c r="D892" s="123"/>
      <c r="E892" s="123"/>
      <c r="F892" s="123"/>
      <c r="G892" s="123"/>
      <c r="H892" s="135"/>
    </row>
    <row r="893">
      <c r="D893" s="123"/>
      <c r="E893" s="123"/>
      <c r="F893" s="123"/>
      <c r="G893" s="123"/>
      <c r="H893" s="135"/>
    </row>
    <row r="894">
      <c r="D894" s="123"/>
      <c r="E894" s="123"/>
      <c r="F894" s="123"/>
      <c r="G894" s="123"/>
      <c r="H894" s="135"/>
    </row>
    <row r="895">
      <c r="D895" s="123"/>
      <c r="E895" s="123"/>
      <c r="F895" s="123"/>
      <c r="G895" s="123"/>
      <c r="H895" s="135"/>
    </row>
    <row r="896">
      <c r="D896" s="123"/>
      <c r="E896" s="123"/>
      <c r="F896" s="123"/>
      <c r="G896" s="123"/>
      <c r="H896" s="135"/>
    </row>
    <row r="897">
      <c r="D897" s="123"/>
      <c r="E897" s="123"/>
      <c r="F897" s="123"/>
      <c r="G897" s="123"/>
      <c r="H897" s="135"/>
    </row>
    <row r="898">
      <c r="D898" s="123"/>
      <c r="E898" s="123"/>
      <c r="F898" s="123"/>
      <c r="G898" s="123"/>
      <c r="H898" s="135"/>
    </row>
    <row r="899">
      <c r="D899" s="123"/>
      <c r="E899" s="123"/>
      <c r="F899" s="123"/>
      <c r="G899" s="123"/>
      <c r="H899" s="135"/>
    </row>
    <row r="900">
      <c r="D900" s="123"/>
      <c r="E900" s="123"/>
      <c r="F900" s="123"/>
      <c r="G900" s="123"/>
      <c r="H900" s="135"/>
    </row>
    <row r="901">
      <c r="D901" s="123"/>
      <c r="E901" s="123"/>
      <c r="F901" s="123"/>
      <c r="G901" s="123"/>
      <c r="H901" s="135"/>
    </row>
    <row r="902">
      <c r="D902" s="123"/>
      <c r="E902" s="123"/>
      <c r="F902" s="123"/>
      <c r="G902" s="123"/>
      <c r="H902" s="135"/>
    </row>
    <row r="903">
      <c r="D903" s="123"/>
      <c r="E903" s="123"/>
      <c r="F903" s="123"/>
      <c r="G903" s="123"/>
      <c r="H903" s="135"/>
    </row>
    <row r="904">
      <c r="D904" s="123"/>
      <c r="E904" s="123"/>
      <c r="F904" s="123"/>
      <c r="G904" s="123"/>
      <c r="H904" s="135"/>
    </row>
    <row r="905">
      <c r="D905" s="123"/>
      <c r="E905" s="123"/>
      <c r="F905" s="123"/>
      <c r="G905" s="123"/>
      <c r="H905" s="135"/>
    </row>
    <row r="906">
      <c r="D906" s="123"/>
      <c r="E906" s="123"/>
      <c r="F906" s="123"/>
      <c r="G906" s="123"/>
      <c r="H906" s="135"/>
    </row>
    <row r="907">
      <c r="D907" s="123"/>
      <c r="E907" s="123"/>
      <c r="F907" s="123"/>
      <c r="G907" s="123"/>
      <c r="H907" s="135"/>
    </row>
    <row r="908">
      <c r="D908" s="123"/>
      <c r="E908" s="123"/>
      <c r="F908" s="123"/>
      <c r="G908" s="123"/>
      <c r="H908" s="135"/>
    </row>
    <row r="909">
      <c r="D909" s="123"/>
      <c r="E909" s="123"/>
      <c r="F909" s="123"/>
      <c r="G909" s="123"/>
      <c r="H909" s="135"/>
    </row>
    <row r="910">
      <c r="D910" s="123"/>
      <c r="E910" s="123"/>
      <c r="F910" s="123"/>
      <c r="G910" s="123"/>
      <c r="H910" s="135"/>
    </row>
    <row r="911">
      <c r="D911" s="123"/>
      <c r="E911" s="123"/>
      <c r="F911" s="123"/>
      <c r="G911" s="123"/>
      <c r="H911" s="135"/>
    </row>
    <row r="912">
      <c r="D912" s="123"/>
      <c r="E912" s="123"/>
      <c r="F912" s="123"/>
      <c r="G912" s="123"/>
      <c r="H912" s="135"/>
    </row>
    <row r="913">
      <c r="D913" s="123"/>
      <c r="E913" s="123"/>
      <c r="F913" s="123"/>
      <c r="G913" s="123"/>
      <c r="H913" s="135"/>
    </row>
    <row r="914">
      <c r="D914" s="123"/>
      <c r="E914" s="123"/>
      <c r="F914" s="123"/>
      <c r="G914" s="123"/>
      <c r="H914" s="135"/>
    </row>
    <row r="915">
      <c r="D915" s="123"/>
      <c r="E915" s="123"/>
      <c r="F915" s="123"/>
      <c r="G915" s="123"/>
      <c r="H915" s="135"/>
    </row>
    <row r="916">
      <c r="D916" s="123"/>
      <c r="E916" s="123"/>
      <c r="F916" s="123"/>
      <c r="G916" s="123"/>
      <c r="H916" s="135"/>
    </row>
    <row r="917">
      <c r="D917" s="123"/>
      <c r="E917" s="123"/>
      <c r="F917" s="123"/>
      <c r="G917" s="123"/>
      <c r="H917" s="135"/>
    </row>
    <row r="918">
      <c r="D918" s="123"/>
      <c r="E918" s="123"/>
      <c r="F918" s="123"/>
      <c r="G918" s="123"/>
      <c r="H918" s="135"/>
    </row>
    <row r="919">
      <c r="D919" s="123"/>
      <c r="E919" s="123"/>
      <c r="F919" s="123"/>
      <c r="G919" s="123"/>
      <c r="H919" s="135"/>
    </row>
    <row r="920">
      <c r="D920" s="123"/>
      <c r="E920" s="123"/>
      <c r="F920" s="123"/>
      <c r="G920" s="123"/>
      <c r="H920" s="135"/>
    </row>
    <row r="921">
      <c r="D921" s="123"/>
      <c r="E921" s="123"/>
      <c r="F921" s="123"/>
      <c r="G921" s="123"/>
      <c r="H921" s="135"/>
    </row>
    <row r="922">
      <c r="D922" s="123"/>
      <c r="E922" s="123"/>
      <c r="F922" s="123"/>
      <c r="G922" s="123"/>
      <c r="H922" s="135"/>
    </row>
    <row r="923">
      <c r="D923" s="123"/>
      <c r="E923" s="123"/>
      <c r="F923" s="123"/>
      <c r="G923" s="123"/>
      <c r="H923" s="135"/>
    </row>
    <row r="924">
      <c r="D924" s="123"/>
      <c r="E924" s="123"/>
      <c r="F924" s="123"/>
      <c r="G924" s="123"/>
      <c r="H924" s="135"/>
    </row>
    <row r="925">
      <c r="D925" s="123"/>
      <c r="E925" s="123"/>
      <c r="F925" s="123"/>
      <c r="G925" s="123"/>
      <c r="H925" s="135"/>
    </row>
    <row r="926">
      <c r="D926" s="123"/>
      <c r="E926" s="123"/>
      <c r="F926" s="123"/>
      <c r="G926" s="123"/>
      <c r="H926" s="135"/>
    </row>
    <row r="927">
      <c r="D927" s="123"/>
      <c r="E927" s="123"/>
      <c r="F927" s="123"/>
      <c r="G927" s="123"/>
      <c r="H927" s="135"/>
    </row>
    <row r="928">
      <c r="D928" s="123"/>
      <c r="E928" s="123"/>
      <c r="F928" s="123"/>
      <c r="G928" s="123"/>
      <c r="H928" s="135"/>
    </row>
    <row r="929">
      <c r="D929" s="123"/>
      <c r="E929" s="123"/>
      <c r="F929" s="123"/>
      <c r="G929" s="123"/>
      <c r="H929" s="135"/>
    </row>
    <row r="930">
      <c r="D930" s="123"/>
      <c r="E930" s="123"/>
      <c r="F930" s="123"/>
      <c r="G930" s="123"/>
      <c r="H930" s="135"/>
    </row>
    <row r="931">
      <c r="D931" s="123"/>
      <c r="E931" s="123"/>
      <c r="F931" s="123"/>
      <c r="G931" s="123"/>
      <c r="H931" s="135"/>
    </row>
    <row r="932">
      <c r="D932" s="123"/>
      <c r="E932" s="123"/>
      <c r="F932" s="123"/>
      <c r="G932" s="123"/>
      <c r="H932" s="135"/>
    </row>
    <row r="933">
      <c r="D933" s="123"/>
      <c r="E933" s="123"/>
      <c r="F933" s="123"/>
      <c r="G933" s="123"/>
      <c r="H933" s="135"/>
    </row>
    <row r="934">
      <c r="D934" s="123"/>
      <c r="E934" s="123"/>
      <c r="F934" s="123"/>
      <c r="G934" s="123"/>
      <c r="H934" s="135"/>
    </row>
    <row r="935">
      <c r="D935" s="123"/>
      <c r="E935" s="123"/>
      <c r="F935" s="123"/>
      <c r="G935" s="123"/>
      <c r="H935" s="135"/>
    </row>
    <row r="936">
      <c r="D936" s="123"/>
      <c r="E936" s="123"/>
      <c r="F936" s="123"/>
      <c r="G936" s="123"/>
      <c r="H936" s="135"/>
    </row>
    <row r="937">
      <c r="D937" s="123"/>
      <c r="E937" s="123"/>
      <c r="F937" s="123"/>
      <c r="G937" s="123"/>
      <c r="H937" s="135"/>
    </row>
    <row r="938">
      <c r="D938" s="123"/>
      <c r="E938" s="123"/>
      <c r="F938" s="123"/>
      <c r="G938" s="123"/>
      <c r="H938" s="135"/>
    </row>
    <row r="939">
      <c r="D939" s="123"/>
      <c r="E939" s="123"/>
      <c r="F939" s="123"/>
      <c r="G939" s="123"/>
      <c r="H939" s="135"/>
    </row>
    <row r="940">
      <c r="D940" s="123"/>
      <c r="E940" s="123"/>
      <c r="F940" s="123"/>
      <c r="G940" s="123"/>
      <c r="H940" s="135"/>
    </row>
    <row r="941">
      <c r="D941" s="123"/>
      <c r="E941" s="123"/>
      <c r="F941" s="123"/>
      <c r="G941" s="123"/>
      <c r="H941" s="135"/>
    </row>
    <row r="942">
      <c r="D942" s="123"/>
      <c r="E942" s="123"/>
      <c r="F942" s="123"/>
      <c r="G942" s="123"/>
      <c r="H942" s="135"/>
    </row>
    <row r="943">
      <c r="D943" s="123"/>
      <c r="E943" s="123"/>
      <c r="F943" s="123"/>
      <c r="G943" s="123"/>
      <c r="H943" s="135"/>
    </row>
    <row r="944">
      <c r="D944" s="123"/>
      <c r="E944" s="123"/>
      <c r="F944" s="123"/>
      <c r="G944" s="123"/>
      <c r="H944" s="135"/>
    </row>
    <row r="945">
      <c r="D945" s="123"/>
      <c r="E945" s="123"/>
      <c r="F945" s="123"/>
      <c r="G945" s="123"/>
      <c r="H945" s="135"/>
    </row>
    <row r="946">
      <c r="D946" s="123"/>
      <c r="E946" s="123"/>
      <c r="F946" s="123"/>
      <c r="G946" s="123"/>
      <c r="H946" s="135"/>
    </row>
    <row r="947">
      <c r="D947" s="123"/>
      <c r="E947" s="123"/>
      <c r="F947" s="123"/>
      <c r="G947" s="123"/>
      <c r="H947" s="135"/>
    </row>
    <row r="948">
      <c r="D948" s="123"/>
      <c r="E948" s="123"/>
      <c r="F948" s="123"/>
      <c r="G948" s="123"/>
      <c r="H948" s="135"/>
    </row>
    <row r="949">
      <c r="D949" s="123"/>
      <c r="E949" s="123"/>
      <c r="F949" s="123"/>
      <c r="G949" s="123"/>
      <c r="H949" s="135"/>
    </row>
    <row r="950">
      <c r="D950" s="123"/>
      <c r="E950" s="123"/>
      <c r="F950" s="123"/>
      <c r="G950" s="123"/>
      <c r="H950" s="135"/>
    </row>
    <row r="951">
      <c r="D951" s="123"/>
      <c r="E951" s="123"/>
      <c r="F951" s="123"/>
      <c r="G951" s="123"/>
      <c r="H951" s="135"/>
    </row>
    <row r="952">
      <c r="D952" s="123"/>
      <c r="E952" s="123"/>
      <c r="F952" s="123"/>
      <c r="G952" s="123"/>
      <c r="H952" s="135"/>
    </row>
    <row r="953">
      <c r="D953" s="123"/>
      <c r="E953" s="123"/>
      <c r="F953" s="123"/>
      <c r="G953" s="123"/>
      <c r="H953" s="135"/>
    </row>
    <row r="954">
      <c r="D954" s="123"/>
      <c r="E954" s="123"/>
      <c r="F954" s="123"/>
      <c r="G954" s="123"/>
      <c r="H954" s="135"/>
    </row>
    <row r="955">
      <c r="D955" s="123"/>
      <c r="E955" s="123"/>
      <c r="F955" s="123"/>
      <c r="G955" s="123"/>
      <c r="H955" s="135"/>
    </row>
    <row r="956">
      <c r="D956" s="123"/>
      <c r="E956" s="123"/>
      <c r="F956" s="123"/>
      <c r="G956" s="123"/>
      <c r="H956" s="135"/>
    </row>
    <row r="957">
      <c r="D957" s="123"/>
      <c r="E957" s="123"/>
      <c r="F957" s="123"/>
      <c r="G957" s="123"/>
      <c r="H957" s="135"/>
    </row>
    <row r="958">
      <c r="D958" s="123"/>
      <c r="E958" s="123"/>
      <c r="F958" s="123"/>
      <c r="G958" s="123"/>
      <c r="H958" s="135"/>
    </row>
    <row r="959">
      <c r="D959" s="123"/>
      <c r="E959" s="123"/>
      <c r="F959" s="123"/>
      <c r="G959" s="123"/>
      <c r="H959" s="135"/>
    </row>
    <row r="960">
      <c r="D960" s="123"/>
      <c r="E960" s="123"/>
      <c r="F960" s="123"/>
      <c r="G960" s="123"/>
      <c r="H960" s="135"/>
    </row>
    <row r="961">
      <c r="D961" s="123"/>
      <c r="E961" s="123"/>
      <c r="F961" s="123"/>
      <c r="G961" s="123"/>
      <c r="H961" s="135"/>
    </row>
    <row r="962">
      <c r="D962" s="123"/>
      <c r="E962" s="123"/>
      <c r="F962" s="123"/>
      <c r="G962" s="123"/>
      <c r="H962" s="135"/>
    </row>
    <row r="963">
      <c r="D963" s="123"/>
      <c r="E963" s="123"/>
      <c r="F963" s="123"/>
      <c r="G963" s="123"/>
      <c r="H963" s="135"/>
    </row>
    <row r="964">
      <c r="D964" s="123"/>
      <c r="E964" s="123"/>
      <c r="F964" s="123"/>
      <c r="G964" s="123"/>
      <c r="H964" s="135"/>
    </row>
    <row r="965">
      <c r="D965" s="123"/>
      <c r="E965" s="123"/>
      <c r="F965" s="123"/>
      <c r="G965" s="123"/>
      <c r="H965" s="135"/>
    </row>
    <row r="966">
      <c r="D966" s="123"/>
      <c r="E966" s="123"/>
      <c r="F966" s="123"/>
      <c r="G966" s="123"/>
      <c r="H966" s="135"/>
    </row>
    <row r="967">
      <c r="D967" s="123"/>
      <c r="E967" s="123"/>
      <c r="F967" s="123"/>
      <c r="G967" s="123"/>
      <c r="H967" s="135"/>
    </row>
    <row r="968">
      <c r="D968" s="123"/>
      <c r="E968" s="123"/>
      <c r="F968" s="123"/>
      <c r="G968" s="123"/>
      <c r="H968" s="135"/>
    </row>
    <row r="969">
      <c r="D969" s="123"/>
      <c r="E969" s="123"/>
      <c r="F969" s="123"/>
      <c r="G969" s="123"/>
      <c r="H969" s="135"/>
    </row>
    <row r="970">
      <c r="D970" s="123"/>
      <c r="E970" s="123"/>
      <c r="F970" s="123"/>
      <c r="G970" s="123"/>
      <c r="H970" s="135"/>
    </row>
    <row r="971">
      <c r="D971" s="123"/>
      <c r="E971" s="123"/>
      <c r="F971" s="123"/>
      <c r="G971" s="123"/>
      <c r="H971" s="135"/>
    </row>
    <row r="972">
      <c r="D972" s="123"/>
      <c r="E972" s="123"/>
      <c r="F972" s="123"/>
      <c r="G972" s="123"/>
      <c r="H972" s="135"/>
    </row>
    <row r="973">
      <c r="D973" s="123"/>
      <c r="E973" s="123"/>
      <c r="F973" s="123"/>
      <c r="G973" s="123"/>
      <c r="H973" s="135"/>
    </row>
    <row r="974">
      <c r="D974" s="123"/>
      <c r="E974" s="123"/>
      <c r="F974" s="123"/>
      <c r="G974" s="123"/>
      <c r="H974" s="135"/>
    </row>
    <row r="975">
      <c r="D975" s="123"/>
      <c r="E975" s="123"/>
      <c r="F975" s="123"/>
      <c r="G975" s="123"/>
      <c r="H975" s="135"/>
    </row>
    <row r="976">
      <c r="D976" s="123"/>
      <c r="E976" s="123"/>
      <c r="F976" s="123"/>
      <c r="G976" s="123"/>
      <c r="H976" s="135"/>
    </row>
    <row r="977">
      <c r="D977" s="123"/>
      <c r="E977" s="123"/>
      <c r="F977" s="123"/>
      <c r="G977" s="123"/>
      <c r="H977" s="135"/>
    </row>
    <row r="978">
      <c r="D978" s="123"/>
      <c r="E978" s="123"/>
      <c r="F978" s="123"/>
      <c r="G978" s="123"/>
      <c r="H978" s="135"/>
    </row>
    <row r="979">
      <c r="D979" s="123"/>
      <c r="E979" s="123"/>
      <c r="F979" s="123"/>
      <c r="G979" s="123"/>
      <c r="H979" s="135"/>
    </row>
    <row r="980">
      <c r="H980" s="135"/>
    </row>
    <row r="981">
      <c r="H981" s="135"/>
    </row>
    <row r="982">
      <c r="H982" s="135"/>
    </row>
    <row r="983">
      <c r="H983" s="135"/>
    </row>
    <row r="984">
      <c r="H984" s="135"/>
    </row>
    <row r="985">
      <c r="H985" s="135"/>
    </row>
    <row r="986">
      <c r="H986" s="135"/>
    </row>
    <row r="987">
      <c r="H987" s="135"/>
    </row>
    <row r="988">
      <c r="H988" s="135"/>
    </row>
    <row r="989">
      <c r="H989" s="135"/>
    </row>
    <row r="990">
      <c r="H990" s="135"/>
    </row>
    <row r="991">
      <c r="H991" s="135"/>
    </row>
    <row r="992">
      <c r="H992" s="135"/>
    </row>
    <row r="993">
      <c r="H993" s="135"/>
    </row>
    <row r="994">
      <c r="H994" s="135"/>
    </row>
    <row r="995">
      <c r="H995" s="135"/>
    </row>
    <row r="996">
      <c r="H996" s="135"/>
    </row>
    <row r="997">
      <c r="H997" s="135"/>
    </row>
  </sheetData>
  <mergeCells count="10">
    <mergeCell ref="B74:B76"/>
    <mergeCell ref="C74:C76"/>
    <mergeCell ref="A1:BE1"/>
    <mergeCell ref="A2:A4"/>
    <mergeCell ref="B2:B4"/>
    <mergeCell ref="C2:C4"/>
    <mergeCell ref="D2:BE2"/>
    <mergeCell ref="A73:BE73"/>
    <mergeCell ref="A74:A76"/>
    <mergeCell ref="D74:BE74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37.25"/>
    <col customWidth="1" min="4" max="16" width="3.38"/>
    <col customWidth="1" min="17" max="17" width="3.5"/>
    <col customWidth="1" min="18" max="56" width="3.38"/>
  </cols>
  <sheetData>
    <row r="1">
      <c r="A1" s="136" t="s">
        <v>513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/>
    </row>
    <row r="2">
      <c r="A2" s="4" t="s">
        <v>1</v>
      </c>
      <c r="B2" s="5" t="s">
        <v>2</v>
      </c>
      <c r="C2" s="6" t="s">
        <v>3</v>
      </c>
      <c r="D2" s="7" t="s">
        <v>494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3"/>
    </row>
    <row r="3" ht="63.0" customHeight="1">
      <c r="A3" s="8"/>
      <c r="B3" s="8"/>
      <c r="C3" s="8"/>
      <c r="D3" s="79" t="s">
        <v>514</v>
      </c>
      <c r="E3" s="79" t="s">
        <v>514</v>
      </c>
      <c r="F3" s="79" t="s">
        <v>514</v>
      </c>
      <c r="G3" s="79" t="s">
        <v>514</v>
      </c>
      <c r="H3" s="79" t="s">
        <v>514</v>
      </c>
      <c r="I3" s="79" t="s">
        <v>514</v>
      </c>
      <c r="J3" s="79" t="s">
        <v>514</v>
      </c>
      <c r="K3" s="79" t="s">
        <v>514</v>
      </c>
      <c r="L3" s="79" t="s">
        <v>514</v>
      </c>
      <c r="M3" s="79" t="s">
        <v>514</v>
      </c>
      <c r="N3" s="79" t="s">
        <v>514</v>
      </c>
      <c r="O3" s="79" t="s">
        <v>514</v>
      </c>
      <c r="P3" s="79" t="s">
        <v>514</v>
      </c>
      <c r="Q3" s="79" t="s">
        <v>514</v>
      </c>
      <c r="R3" s="79" t="s">
        <v>514</v>
      </c>
      <c r="S3" s="79" t="s">
        <v>514</v>
      </c>
      <c r="T3" s="79" t="s">
        <v>514</v>
      </c>
      <c r="U3" s="79" t="s">
        <v>514</v>
      </c>
      <c r="V3" s="79" t="s">
        <v>514</v>
      </c>
      <c r="W3" s="79" t="s">
        <v>514</v>
      </c>
      <c r="X3" s="79" t="s">
        <v>514</v>
      </c>
      <c r="Y3" s="79" t="s">
        <v>514</v>
      </c>
      <c r="Z3" s="79" t="s">
        <v>514</v>
      </c>
      <c r="AA3" s="79" t="s">
        <v>514</v>
      </c>
      <c r="AB3" s="79" t="s">
        <v>514</v>
      </c>
      <c r="AC3" s="79" t="s">
        <v>514</v>
      </c>
      <c r="AD3" s="79" t="s">
        <v>514</v>
      </c>
      <c r="AE3" s="79" t="s">
        <v>514</v>
      </c>
      <c r="AF3" s="79" t="s">
        <v>514</v>
      </c>
      <c r="AG3" s="79" t="s">
        <v>514</v>
      </c>
      <c r="AH3" s="79" t="s">
        <v>514</v>
      </c>
      <c r="AI3" s="79" t="s">
        <v>514</v>
      </c>
      <c r="AJ3" s="79" t="s">
        <v>514</v>
      </c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3"/>
      <c r="AX3" s="13"/>
      <c r="AY3" s="12"/>
      <c r="AZ3" s="12"/>
      <c r="BA3" s="12"/>
      <c r="BB3" s="12"/>
      <c r="BC3" s="12"/>
      <c r="BD3" s="14"/>
    </row>
    <row r="4" ht="75.75" customHeight="1">
      <c r="A4" s="15"/>
      <c r="B4" s="15"/>
      <c r="C4" s="15"/>
      <c r="D4" s="65" t="s">
        <v>515</v>
      </c>
      <c r="E4" s="65" t="s">
        <v>516</v>
      </c>
      <c r="F4" s="65" t="s">
        <v>517</v>
      </c>
      <c r="G4" s="79" t="s">
        <v>518</v>
      </c>
      <c r="H4" s="79" t="s">
        <v>519</v>
      </c>
      <c r="I4" s="65"/>
      <c r="J4" s="65"/>
      <c r="K4" s="65"/>
      <c r="L4" s="65"/>
      <c r="M4" s="65"/>
      <c r="N4" s="65"/>
      <c r="O4" s="65"/>
      <c r="P4" s="87"/>
      <c r="Q4" s="94"/>
      <c r="R4" s="87"/>
      <c r="S4" s="17"/>
      <c r="T4" s="13"/>
      <c r="U4" s="13"/>
      <c r="V4" s="13"/>
      <c r="W4" s="13"/>
      <c r="X4" s="13"/>
      <c r="Y4" s="13"/>
      <c r="Z4" s="12"/>
      <c r="AA4" s="12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2"/>
      <c r="AZ4" s="18" t="s">
        <v>21</v>
      </c>
      <c r="BA4" s="19" t="s">
        <v>22</v>
      </c>
      <c r="BB4" s="20" t="s">
        <v>23</v>
      </c>
      <c r="BC4" s="21" t="s">
        <v>24</v>
      </c>
      <c r="BD4" s="22" t="s">
        <v>25</v>
      </c>
    </row>
    <row r="5">
      <c r="A5" s="95">
        <v>1.0</v>
      </c>
      <c r="B5" s="47" t="s">
        <v>301</v>
      </c>
      <c r="C5" s="137" t="s">
        <v>302</v>
      </c>
      <c r="D5" s="138" t="s">
        <v>28</v>
      </c>
      <c r="E5" s="139" t="s">
        <v>28</v>
      </c>
      <c r="F5" s="139" t="s">
        <v>28</v>
      </c>
      <c r="G5" s="140" t="s">
        <v>22</v>
      </c>
      <c r="H5" s="139" t="s">
        <v>28</v>
      </c>
      <c r="I5" s="128"/>
      <c r="J5" s="128"/>
      <c r="K5" s="96"/>
      <c r="L5" s="96"/>
      <c r="M5" s="96"/>
      <c r="N5" s="96"/>
      <c r="O5" s="82"/>
      <c r="P5" s="96"/>
      <c r="Q5" s="96"/>
      <c r="R5" s="96"/>
      <c r="S5" s="43"/>
      <c r="T5" s="45"/>
      <c r="U5" s="45"/>
      <c r="V5" s="45"/>
      <c r="W5" s="45"/>
      <c r="X5" s="45"/>
      <c r="Y5" s="45"/>
      <c r="Z5" s="45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32">
        <f t="shared" ref="AZ5:AZ39" si="1">COUNTIF(D5:AY5,"L")</f>
        <v>0</v>
      </c>
      <c r="BA5" s="32">
        <f t="shared" ref="BA5:BA39" si="2">COUNTIF(D5:AY5,"A")</f>
        <v>1</v>
      </c>
      <c r="BB5" s="32">
        <f t="shared" ref="BB5:BB39" si="3">COUNTIF(D5:AY5,"p")</f>
        <v>4</v>
      </c>
      <c r="BC5" s="32">
        <f t="shared" ref="BC5:BC39" si="4">SUM(AZ5:BB5)</f>
        <v>5</v>
      </c>
      <c r="BD5" s="33">
        <f t="shared" ref="BD5:BD39" si="5">SUM(AZ5,BB5)/BC5*100</f>
        <v>80</v>
      </c>
    </row>
    <row r="6">
      <c r="A6" s="95">
        <v>2.0</v>
      </c>
      <c r="B6" s="47" t="s">
        <v>47</v>
      </c>
      <c r="C6" s="137" t="s">
        <v>48</v>
      </c>
      <c r="D6" s="138" t="s">
        <v>28</v>
      </c>
      <c r="E6" s="139" t="s">
        <v>28</v>
      </c>
      <c r="F6" s="139" t="s">
        <v>28</v>
      </c>
      <c r="G6" s="139" t="s">
        <v>28</v>
      </c>
      <c r="H6" s="139" t="s">
        <v>28</v>
      </c>
      <c r="I6" s="128"/>
      <c r="J6" s="128"/>
      <c r="K6" s="96"/>
      <c r="L6" s="96"/>
      <c r="M6" s="82"/>
      <c r="N6" s="96"/>
      <c r="O6" s="96"/>
      <c r="P6" s="96"/>
      <c r="Q6" s="96"/>
      <c r="R6" s="96"/>
      <c r="S6" s="43"/>
      <c r="T6" s="45"/>
      <c r="U6" s="45"/>
      <c r="V6" s="45"/>
      <c r="W6" s="45"/>
      <c r="X6" s="45"/>
      <c r="Y6" s="45"/>
      <c r="Z6" s="45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32">
        <f t="shared" si="1"/>
        <v>0</v>
      </c>
      <c r="BA6" s="32">
        <f t="shared" si="2"/>
        <v>0</v>
      </c>
      <c r="BB6" s="32">
        <f t="shared" si="3"/>
        <v>5</v>
      </c>
      <c r="BC6" s="32">
        <f t="shared" si="4"/>
        <v>5</v>
      </c>
      <c r="BD6" s="33">
        <f t="shared" si="5"/>
        <v>100</v>
      </c>
    </row>
    <row r="7">
      <c r="A7" s="95">
        <v>3.0</v>
      </c>
      <c r="B7" s="47" t="s">
        <v>39</v>
      </c>
      <c r="C7" s="137" t="s">
        <v>40</v>
      </c>
      <c r="D7" s="138" t="s">
        <v>28</v>
      </c>
      <c r="E7" s="139" t="s">
        <v>28</v>
      </c>
      <c r="F7" s="139" t="s">
        <v>28</v>
      </c>
      <c r="G7" s="139" t="s">
        <v>28</v>
      </c>
      <c r="H7" s="139" t="s">
        <v>28</v>
      </c>
      <c r="I7" s="128"/>
      <c r="J7" s="128"/>
      <c r="K7" s="96"/>
      <c r="L7" s="96"/>
      <c r="M7" s="96"/>
      <c r="N7" s="96"/>
      <c r="O7" s="96"/>
      <c r="P7" s="96"/>
      <c r="Q7" s="96"/>
      <c r="R7" s="96"/>
      <c r="S7" s="45"/>
      <c r="T7" s="45"/>
      <c r="U7" s="45"/>
      <c r="V7" s="45"/>
      <c r="W7" s="45"/>
      <c r="X7" s="45"/>
      <c r="Y7" s="45"/>
      <c r="Z7" s="45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32">
        <f t="shared" si="1"/>
        <v>0</v>
      </c>
      <c r="BA7" s="32">
        <f t="shared" si="2"/>
        <v>0</v>
      </c>
      <c r="BB7" s="32">
        <f t="shared" si="3"/>
        <v>5</v>
      </c>
      <c r="BC7" s="32">
        <f t="shared" si="4"/>
        <v>5</v>
      </c>
      <c r="BD7" s="33">
        <f t="shared" si="5"/>
        <v>100</v>
      </c>
    </row>
    <row r="8">
      <c r="A8" s="95">
        <v>4.0</v>
      </c>
      <c r="B8" s="47" t="s">
        <v>71</v>
      </c>
      <c r="C8" s="137" t="s">
        <v>72</v>
      </c>
      <c r="D8" s="138" t="s">
        <v>28</v>
      </c>
      <c r="E8" s="139" t="s">
        <v>28</v>
      </c>
      <c r="F8" s="139" t="s">
        <v>28</v>
      </c>
      <c r="G8" s="139" t="s">
        <v>28</v>
      </c>
      <c r="H8" s="139" t="s">
        <v>28</v>
      </c>
      <c r="I8" s="128"/>
      <c r="J8" s="128"/>
      <c r="K8" s="82"/>
      <c r="L8" s="96"/>
      <c r="M8" s="82"/>
      <c r="N8" s="96"/>
      <c r="O8" s="82"/>
      <c r="P8" s="96"/>
      <c r="Q8" s="96"/>
      <c r="R8" s="96"/>
      <c r="S8" s="45"/>
      <c r="T8" s="45"/>
      <c r="U8" s="45"/>
      <c r="V8" s="45"/>
      <c r="W8" s="45"/>
      <c r="X8" s="45"/>
      <c r="Y8" s="45"/>
      <c r="Z8" s="45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32">
        <f t="shared" si="1"/>
        <v>0</v>
      </c>
      <c r="BA8" s="32">
        <f t="shared" si="2"/>
        <v>0</v>
      </c>
      <c r="BB8" s="32">
        <f t="shared" si="3"/>
        <v>5</v>
      </c>
      <c r="BC8" s="32">
        <f t="shared" si="4"/>
        <v>5</v>
      </c>
      <c r="BD8" s="33">
        <f t="shared" si="5"/>
        <v>100</v>
      </c>
    </row>
    <row r="9">
      <c r="A9" s="95">
        <v>5.0</v>
      </c>
      <c r="B9" s="47" t="s">
        <v>35</v>
      </c>
      <c r="C9" s="137" t="s">
        <v>36</v>
      </c>
      <c r="D9" s="138" t="s">
        <v>28</v>
      </c>
      <c r="E9" s="139" t="s">
        <v>28</v>
      </c>
      <c r="F9" s="140" t="s">
        <v>22</v>
      </c>
      <c r="G9" s="139" t="s">
        <v>28</v>
      </c>
      <c r="H9" s="139" t="s">
        <v>28</v>
      </c>
      <c r="I9" s="128"/>
      <c r="J9" s="128"/>
      <c r="K9" s="82"/>
      <c r="L9" s="96"/>
      <c r="M9" s="82"/>
      <c r="N9" s="96"/>
      <c r="O9" s="96"/>
      <c r="P9" s="96"/>
      <c r="Q9" s="96"/>
      <c r="R9" s="96"/>
      <c r="S9" s="43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32">
        <f t="shared" si="1"/>
        <v>0</v>
      </c>
      <c r="BA9" s="32">
        <f t="shared" si="2"/>
        <v>1</v>
      </c>
      <c r="BB9" s="32">
        <f t="shared" si="3"/>
        <v>4</v>
      </c>
      <c r="BC9" s="32">
        <f t="shared" si="4"/>
        <v>5</v>
      </c>
      <c r="BD9" s="33">
        <f t="shared" si="5"/>
        <v>80</v>
      </c>
    </row>
    <row r="10">
      <c r="A10" s="95">
        <v>6.0</v>
      </c>
      <c r="B10" s="47" t="s">
        <v>63</v>
      </c>
      <c r="C10" s="137" t="s">
        <v>64</v>
      </c>
      <c r="D10" s="138" t="s">
        <v>28</v>
      </c>
      <c r="E10" s="139" t="s">
        <v>28</v>
      </c>
      <c r="F10" s="139" t="s">
        <v>28</v>
      </c>
      <c r="G10" s="139" t="s">
        <v>28</v>
      </c>
      <c r="H10" s="139" t="s">
        <v>28</v>
      </c>
      <c r="I10" s="128"/>
      <c r="J10" s="128"/>
      <c r="K10" s="96"/>
      <c r="L10" s="96"/>
      <c r="M10" s="96"/>
      <c r="N10" s="96"/>
      <c r="O10" s="96"/>
      <c r="P10" s="96"/>
      <c r="Q10" s="96"/>
      <c r="R10" s="96"/>
      <c r="S10" s="43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32">
        <f t="shared" si="1"/>
        <v>0</v>
      </c>
      <c r="BA10" s="32">
        <f t="shared" si="2"/>
        <v>0</v>
      </c>
      <c r="BB10" s="32">
        <f t="shared" si="3"/>
        <v>5</v>
      </c>
      <c r="BC10" s="32">
        <f t="shared" si="4"/>
        <v>5</v>
      </c>
      <c r="BD10" s="33">
        <f t="shared" si="5"/>
        <v>100</v>
      </c>
    </row>
    <row r="11">
      <c r="A11" s="95">
        <v>7.0</v>
      </c>
      <c r="B11" s="47" t="s">
        <v>57</v>
      </c>
      <c r="C11" s="137" t="s">
        <v>58</v>
      </c>
      <c r="D11" s="141" t="s">
        <v>22</v>
      </c>
      <c r="E11" s="140" t="s">
        <v>22</v>
      </c>
      <c r="F11" s="140" t="s">
        <v>22</v>
      </c>
      <c r="G11" s="140" t="s">
        <v>22</v>
      </c>
      <c r="H11" s="139" t="s">
        <v>28</v>
      </c>
      <c r="I11" s="128"/>
      <c r="J11" s="128"/>
      <c r="K11" s="96"/>
      <c r="L11" s="96"/>
      <c r="M11" s="82"/>
      <c r="N11" s="96"/>
      <c r="O11" s="96"/>
      <c r="P11" s="96"/>
      <c r="Q11" s="96"/>
      <c r="R11" s="96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32">
        <f t="shared" si="1"/>
        <v>0</v>
      </c>
      <c r="BA11" s="32">
        <f t="shared" si="2"/>
        <v>4</v>
      </c>
      <c r="BB11" s="32">
        <f t="shared" si="3"/>
        <v>1</v>
      </c>
      <c r="BC11" s="32">
        <f t="shared" si="4"/>
        <v>5</v>
      </c>
      <c r="BD11" s="33">
        <f t="shared" si="5"/>
        <v>20</v>
      </c>
    </row>
    <row r="12">
      <c r="A12" s="95">
        <v>8.0</v>
      </c>
      <c r="B12" s="47" t="s">
        <v>163</v>
      </c>
      <c r="C12" s="137" t="s">
        <v>164</v>
      </c>
      <c r="D12" s="138" t="s">
        <v>28</v>
      </c>
      <c r="E12" s="139" t="s">
        <v>28</v>
      </c>
      <c r="F12" s="139" t="s">
        <v>28</v>
      </c>
      <c r="G12" s="139" t="s">
        <v>28</v>
      </c>
      <c r="H12" s="139" t="s">
        <v>28</v>
      </c>
      <c r="I12" s="128"/>
      <c r="J12" s="128"/>
      <c r="K12" s="96"/>
      <c r="L12" s="96"/>
      <c r="M12" s="96"/>
      <c r="N12" s="96"/>
      <c r="O12" s="96"/>
      <c r="P12" s="96"/>
      <c r="Q12" s="96"/>
      <c r="R12" s="96"/>
      <c r="S12" s="43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32">
        <f t="shared" si="1"/>
        <v>0</v>
      </c>
      <c r="BA12" s="32">
        <f t="shared" si="2"/>
        <v>0</v>
      </c>
      <c r="BB12" s="32">
        <f t="shared" si="3"/>
        <v>5</v>
      </c>
      <c r="BC12" s="32">
        <f t="shared" si="4"/>
        <v>5</v>
      </c>
      <c r="BD12" s="33">
        <f t="shared" si="5"/>
        <v>100</v>
      </c>
    </row>
    <row r="13">
      <c r="A13" s="95">
        <v>9.0</v>
      </c>
      <c r="B13" s="47" t="s">
        <v>127</v>
      </c>
      <c r="C13" s="137" t="s">
        <v>128</v>
      </c>
      <c r="D13" s="138" t="s">
        <v>28</v>
      </c>
      <c r="E13" s="139" t="s">
        <v>28</v>
      </c>
      <c r="F13" s="139" t="s">
        <v>28</v>
      </c>
      <c r="G13" s="139" t="s">
        <v>28</v>
      </c>
      <c r="H13" s="139" t="s">
        <v>28</v>
      </c>
      <c r="I13" s="128"/>
      <c r="J13" s="128"/>
      <c r="K13" s="96"/>
      <c r="L13" s="96"/>
      <c r="M13" s="96"/>
      <c r="N13" s="96"/>
      <c r="O13" s="96"/>
      <c r="P13" s="96"/>
      <c r="Q13" s="96"/>
      <c r="R13" s="96"/>
      <c r="S13" s="71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32">
        <f t="shared" si="1"/>
        <v>0</v>
      </c>
      <c r="BA13" s="32">
        <f t="shared" si="2"/>
        <v>0</v>
      </c>
      <c r="BB13" s="32">
        <f t="shared" si="3"/>
        <v>5</v>
      </c>
      <c r="BC13" s="32">
        <f t="shared" si="4"/>
        <v>5</v>
      </c>
      <c r="BD13" s="33">
        <f t="shared" si="5"/>
        <v>100</v>
      </c>
    </row>
    <row r="14">
      <c r="A14" s="95">
        <v>10.0</v>
      </c>
      <c r="B14" s="47" t="s">
        <v>265</v>
      </c>
      <c r="C14" s="137" t="s">
        <v>266</v>
      </c>
      <c r="D14" s="138" t="s">
        <v>28</v>
      </c>
      <c r="E14" s="140" t="s">
        <v>22</v>
      </c>
      <c r="F14" s="139" t="s">
        <v>28</v>
      </c>
      <c r="G14" s="140" t="s">
        <v>22</v>
      </c>
      <c r="H14" s="139" t="s">
        <v>28</v>
      </c>
      <c r="I14" s="128"/>
      <c r="J14" s="128"/>
      <c r="K14" s="96"/>
      <c r="L14" s="96"/>
      <c r="M14" s="96"/>
      <c r="N14" s="96"/>
      <c r="O14" s="96"/>
      <c r="P14" s="96"/>
      <c r="Q14" s="96"/>
      <c r="R14" s="96"/>
      <c r="S14" s="43"/>
      <c r="T14" s="45"/>
      <c r="U14" s="45"/>
      <c r="V14" s="45"/>
      <c r="W14" s="45"/>
      <c r="X14" s="45"/>
      <c r="Y14" s="45"/>
      <c r="Z14" s="45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32">
        <f t="shared" si="1"/>
        <v>0</v>
      </c>
      <c r="BA14" s="32">
        <f t="shared" si="2"/>
        <v>2</v>
      </c>
      <c r="BB14" s="32">
        <f t="shared" si="3"/>
        <v>3</v>
      </c>
      <c r="BC14" s="32">
        <f t="shared" si="4"/>
        <v>5</v>
      </c>
      <c r="BD14" s="33">
        <f t="shared" si="5"/>
        <v>60</v>
      </c>
    </row>
    <row r="15">
      <c r="A15" s="95">
        <v>11.0</v>
      </c>
      <c r="B15" s="47" t="s">
        <v>135</v>
      </c>
      <c r="C15" s="137" t="s">
        <v>136</v>
      </c>
      <c r="D15" s="138" t="s">
        <v>28</v>
      </c>
      <c r="E15" s="139" t="s">
        <v>28</v>
      </c>
      <c r="F15" s="140" t="s">
        <v>22</v>
      </c>
      <c r="G15" s="139" t="s">
        <v>28</v>
      </c>
      <c r="H15" s="139" t="s">
        <v>28</v>
      </c>
      <c r="I15" s="128"/>
      <c r="J15" s="128"/>
      <c r="K15" s="96"/>
      <c r="L15" s="96"/>
      <c r="M15" s="96"/>
      <c r="N15" s="96"/>
      <c r="O15" s="96"/>
      <c r="P15" s="96"/>
      <c r="Q15" s="96"/>
      <c r="R15" s="96"/>
      <c r="S15" s="43"/>
      <c r="T15" s="45"/>
      <c r="U15" s="45"/>
      <c r="V15" s="45"/>
      <c r="W15" s="45"/>
      <c r="X15" s="45"/>
      <c r="Y15" s="45"/>
      <c r="Z15" s="45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32">
        <f t="shared" si="1"/>
        <v>0</v>
      </c>
      <c r="BA15" s="32">
        <f t="shared" si="2"/>
        <v>1</v>
      </c>
      <c r="BB15" s="32">
        <f t="shared" si="3"/>
        <v>4</v>
      </c>
      <c r="BC15" s="32">
        <f t="shared" si="4"/>
        <v>5</v>
      </c>
      <c r="BD15" s="33">
        <f t="shared" si="5"/>
        <v>80</v>
      </c>
    </row>
    <row r="16">
      <c r="A16" s="95">
        <v>12.0</v>
      </c>
      <c r="B16" s="47" t="s">
        <v>151</v>
      </c>
      <c r="C16" s="137" t="s">
        <v>392</v>
      </c>
      <c r="D16" s="138" t="s">
        <v>28</v>
      </c>
      <c r="E16" s="139" t="s">
        <v>28</v>
      </c>
      <c r="F16" s="139" t="s">
        <v>28</v>
      </c>
      <c r="G16" s="139" t="s">
        <v>28</v>
      </c>
      <c r="H16" s="139" t="s">
        <v>28</v>
      </c>
      <c r="I16" s="128"/>
      <c r="J16" s="128"/>
      <c r="K16" s="96"/>
      <c r="L16" s="96"/>
      <c r="M16" s="96"/>
      <c r="N16" s="96"/>
      <c r="O16" s="96"/>
      <c r="P16" s="96"/>
      <c r="Q16" s="96"/>
      <c r="R16" s="96"/>
      <c r="S16" s="43"/>
      <c r="T16" s="45"/>
      <c r="U16" s="45"/>
      <c r="V16" s="45"/>
      <c r="W16" s="45"/>
      <c r="X16" s="45"/>
      <c r="Y16" s="45"/>
      <c r="Z16" s="45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32">
        <f t="shared" si="1"/>
        <v>0</v>
      </c>
      <c r="BA16" s="32">
        <f t="shared" si="2"/>
        <v>0</v>
      </c>
      <c r="BB16" s="32">
        <f t="shared" si="3"/>
        <v>5</v>
      </c>
      <c r="BC16" s="32">
        <f t="shared" si="4"/>
        <v>5</v>
      </c>
      <c r="BD16" s="33">
        <f t="shared" si="5"/>
        <v>100</v>
      </c>
    </row>
    <row r="17">
      <c r="A17" s="95">
        <v>13.0</v>
      </c>
      <c r="B17" s="47" t="s">
        <v>239</v>
      </c>
      <c r="C17" s="137" t="s">
        <v>240</v>
      </c>
      <c r="D17" s="141" t="s">
        <v>22</v>
      </c>
      <c r="E17" s="139" t="s">
        <v>28</v>
      </c>
      <c r="F17" s="140" t="s">
        <v>22</v>
      </c>
      <c r="G17" s="140" t="s">
        <v>22</v>
      </c>
      <c r="H17" s="140" t="s">
        <v>22</v>
      </c>
      <c r="I17" s="128"/>
      <c r="J17" s="128"/>
      <c r="K17" s="82"/>
      <c r="L17" s="82"/>
      <c r="M17" s="96"/>
      <c r="N17" s="96"/>
      <c r="O17" s="96"/>
      <c r="P17" s="96"/>
      <c r="Q17" s="43"/>
      <c r="R17" s="96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32">
        <f t="shared" si="1"/>
        <v>0</v>
      </c>
      <c r="BA17" s="32">
        <f t="shared" si="2"/>
        <v>4</v>
      </c>
      <c r="BB17" s="32">
        <f t="shared" si="3"/>
        <v>1</v>
      </c>
      <c r="BC17" s="32">
        <f t="shared" si="4"/>
        <v>5</v>
      </c>
      <c r="BD17" s="33">
        <f t="shared" si="5"/>
        <v>20</v>
      </c>
    </row>
    <row r="18">
      <c r="A18" s="95">
        <v>14.0</v>
      </c>
      <c r="B18" s="47" t="s">
        <v>351</v>
      </c>
      <c r="C18" s="137" t="s">
        <v>352</v>
      </c>
      <c r="D18" s="138" t="s">
        <v>28</v>
      </c>
      <c r="E18" s="139" t="s">
        <v>28</v>
      </c>
      <c r="F18" s="140" t="s">
        <v>22</v>
      </c>
      <c r="G18" s="140" t="s">
        <v>22</v>
      </c>
      <c r="H18" s="140" t="s">
        <v>22</v>
      </c>
      <c r="I18" s="128"/>
      <c r="J18" s="128"/>
      <c r="K18" s="82"/>
      <c r="L18" s="96"/>
      <c r="M18" s="96"/>
      <c r="N18" s="96"/>
      <c r="O18" s="96"/>
      <c r="P18" s="96"/>
      <c r="Q18" s="96"/>
      <c r="R18" s="96"/>
      <c r="S18" s="43"/>
      <c r="T18" s="45"/>
      <c r="U18" s="45"/>
      <c r="V18" s="45"/>
      <c r="W18" s="45"/>
      <c r="X18" s="45"/>
      <c r="Y18" s="45"/>
      <c r="Z18" s="45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32">
        <f t="shared" si="1"/>
        <v>0</v>
      </c>
      <c r="BA18" s="32">
        <f t="shared" si="2"/>
        <v>3</v>
      </c>
      <c r="BB18" s="32">
        <f t="shared" si="3"/>
        <v>2</v>
      </c>
      <c r="BC18" s="32">
        <f t="shared" si="4"/>
        <v>5</v>
      </c>
      <c r="BD18" s="33">
        <f t="shared" si="5"/>
        <v>40</v>
      </c>
    </row>
    <row r="19">
      <c r="A19" s="95">
        <v>15.0</v>
      </c>
      <c r="B19" s="47" t="s">
        <v>67</v>
      </c>
      <c r="C19" s="137" t="s">
        <v>68</v>
      </c>
      <c r="D19" s="138" t="s">
        <v>28</v>
      </c>
      <c r="E19" s="139" t="s">
        <v>28</v>
      </c>
      <c r="F19" s="139" t="s">
        <v>28</v>
      </c>
      <c r="G19" s="139" t="s">
        <v>28</v>
      </c>
      <c r="H19" s="139" t="s">
        <v>28</v>
      </c>
      <c r="I19" s="128"/>
      <c r="J19" s="128"/>
      <c r="K19" s="96"/>
      <c r="L19" s="96"/>
      <c r="M19" s="96"/>
      <c r="N19" s="96"/>
      <c r="O19" s="96"/>
      <c r="P19" s="96"/>
      <c r="Q19" s="96"/>
      <c r="R19" s="96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32">
        <f t="shared" si="1"/>
        <v>0</v>
      </c>
      <c r="BA19" s="32">
        <f t="shared" si="2"/>
        <v>0</v>
      </c>
      <c r="BB19" s="32">
        <f t="shared" si="3"/>
        <v>5</v>
      </c>
      <c r="BC19" s="32">
        <f t="shared" si="4"/>
        <v>5</v>
      </c>
      <c r="BD19" s="33">
        <f t="shared" si="5"/>
        <v>100</v>
      </c>
    </row>
    <row r="20">
      <c r="A20" s="95">
        <v>16.0</v>
      </c>
      <c r="B20" s="47" t="s">
        <v>103</v>
      </c>
      <c r="C20" s="137" t="s">
        <v>104</v>
      </c>
      <c r="D20" s="138" t="s">
        <v>28</v>
      </c>
      <c r="E20" s="139" t="s">
        <v>28</v>
      </c>
      <c r="F20" s="139" t="s">
        <v>28</v>
      </c>
      <c r="G20" s="139" t="s">
        <v>28</v>
      </c>
      <c r="H20" s="139" t="s">
        <v>28</v>
      </c>
      <c r="I20" s="128"/>
      <c r="J20" s="128"/>
      <c r="K20" s="96"/>
      <c r="L20" s="96"/>
      <c r="M20" s="96"/>
      <c r="N20" s="96"/>
      <c r="O20" s="96"/>
      <c r="P20" s="96"/>
      <c r="Q20" s="96"/>
      <c r="R20" s="96"/>
      <c r="S20" s="43"/>
      <c r="T20" s="45"/>
      <c r="U20" s="45"/>
      <c r="V20" s="45"/>
      <c r="W20" s="45"/>
      <c r="X20" s="45"/>
      <c r="Y20" s="45"/>
      <c r="Z20" s="45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32">
        <f t="shared" si="1"/>
        <v>0</v>
      </c>
      <c r="BA20" s="32">
        <f t="shared" si="2"/>
        <v>0</v>
      </c>
      <c r="BB20" s="32">
        <f t="shared" si="3"/>
        <v>5</v>
      </c>
      <c r="BC20" s="32">
        <f t="shared" si="4"/>
        <v>5</v>
      </c>
      <c r="BD20" s="33">
        <f t="shared" si="5"/>
        <v>100</v>
      </c>
    </row>
    <row r="21">
      <c r="A21" s="95">
        <v>17.0</v>
      </c>
      <c r="B21" s="47" t="s">
        <v>249</v>
      </c>
      <c r="C21" s="137" t="s">
        <v>250</v>
      </c>
      <c r="D21" s="138" t="s">
        <v>28</v>
      </c>
      <c r="E21" s="140" t="s">
        <v>22</v>
      </c>
      <c r="F21" s="140" t="s">
        <v>22</v>
      </c>
      <c r="G21" s="140" t="s">
        <v>22</v>
      </c>
      <c r="H21" s="140" t="s">
        <v>22</v>
      </c>
      <c r="I21" s="128"/>
      <c r="J21" s="128"/>
      <c r="K21" s="96"/>
      <c r="L21" s="96"/>
      <c r="M21" s="96"/>
      <c r="N21" s="96"/>
      <c r="O21" s="96"/>
      <c r="P21" s="96"/>
      <c r="Q21" s="96"/>
      <c r="R21" s="96"/>
      <c r="S21" s="43"/>
      <c r="T21" s="45"/>
      <c r="U21" s="45"/>
      <c r="V21" s="45"/>
      <c r="W21" s="45"/>
      <c r="X21" s="45"/>
      <c r="Y21" s="45"/>
      <c r="Z21" s="45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32">
        <f t="shared" si="1"/>
        <v>0</v>
      </c>
      <c r="BA21" s="32">
        <f t="shared" si="2"/>
        <v>4</v>
      </c>
      <c r="BB21" s="32">
        <f t="shared" si="3"/>
        <v>1</v>
      </c>
      <c r="BC21" s="32">
        <f t="shared" si="4"/>
        <v>5</v>
      </c>
      <c r="BD21" s="33">
        <f t="shared" si="5"/>
        <v>20</v>
      </c>
    </row>
    <row r="22">
      <c r="A22" s="95">
        <v>18.0</v>
      </c>
      <c r="B22" s="47" t="s">
        <v>365</v>
      </c>
      <c r="C22" s="137" t="s">
        <v>366</v>
      </c>
      <c r="D22" s="141" t="s">
        <v>22</v>
      </c>
      <c r="E22" s="140" t="s">
        <v>22</v>
      </c>
      <c r="F22" s="140" t="s">
        <v>22</v>
      </c>
      <c r="G22" s="140" t="s">
        <v>22</v>
      </c>
      <c r="H22" s="140" t="s">
        <v>22</v>
      </c>
      <c r="I22" s="128"/>
      <c r="J22" s="128"/>
      <c r="K22" s="96"/>
      <c r="L22" s="96"/>
      <c r="M22" s="82"/>
      <c r="N22" s="96"/>
      <c r="O22" s="82"/>
      <c r="P22" s="96"/>
      <c r="Q22" s="96"/>
      <c r="R22" s="96"/>
      <c r="S22" s="43"/>
      <c r="T22" s="45"/>
      <c r="U22" s="45"/>
      <c r="V22" s="45"/>
      <c r="W22" s="45"/>
      <c r="X22" s="45"/>
      <c r="Y22" s="45"/>
      <c r="Z22" s="45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32">
        <f t="shared" si="1"/>
        <v>0</v>
      </c>
      <c r="BA22" s="32">
        <f t="shared" si="2"/>
        <v>5</v>
      </c>
      <c r="BB22" s="32">
        <f t="shared" si="3"/>
        <v>0</v>
      </c>
      <c r="BC22" s="32">
        <f t="shared" si="4"/>
        <v>5</v>
      </c>
      <c r="BD22" s="33">
        <f t="shared" si="5"/>
        <v>0</v>
      </c>
    </row>
    <row r="23">
      <c r="A23" s="95">
        <v>19.0</v>
      </c>
      <c r="B23" s="47" t="s">
        <v>283</v>
      </c>
      <c r="C23" s="137" t="s">
        <v>284</v>
      </c>
      <c r="D23" s="138" t="s">
        <v>28</v>
      </c>
      <c r="E23" s="139" t="s">
        <v>28</v>
      </c>
      <c r="F23" s="139" t="s">
        <v>28</v>
      </c>
      <c r="G23" s="139" t="s">
        <v>28</v>
      </c>
      <c r="H23" s="139" t="s">
        <v>28</v>
      </c>
      <c r="I23" s="128"/>
      <c r="J23" s="128"/>
      <c r="K23" s="96"/>
      <c r="L23" s="82"/>
      <c r="M23" s="96"/>
      <c r="N23" s="96"/>
      <c r="O23" s="96"/>
      <c r="P23" s="82"/>
      <c r="Q23" s="96"/>
      <c r="R23" s="96"/>
      <c r="S23" s="43"/>
      <c r="T23" s="45"/>
      <c r="U23" s="45"/>
      <c r="V23" s="45"/>
      <c r="W23" s="45"/>
      <c r="X23" s="45"/>
      <c r="Y23" s="45"/>
      <c r="Z23" s="45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32">
        <f t="shared" si="1"/>
        <v>0</v>
      </c>
      <c r="BA23" s="32">
        <f t="shared" si="2"/>
        <v>0</v>
      </c>
      <c r="BB23" s="32">
        <f t="shared" si="3"/>
        <v>5</v>
      </c>
      <c r="BC23" s="32">
        <f t="shared" si="4"/>
        <v>5</v>
      </c>
      <c r="BD23" s="33">
        <f t="shared" si="5"/>
        <v>100</v>
      </c>
    </row>
    <row r="24">
      <c r="A24" s="95">
        <v>20.0</v>
      </c>
      <c r="B24" s="47" t="s">
        <v>359</v>
      </c>
      <c r="C24" s="137" t="s">
        <v>360</v>
      </c>
      <c r="D24" s="138" t="s">
        <v>28</v>
      </c>
      <c r="E24" s="139" t="s">
        <v>28</v>
      </c>
      <c r="F24" s="140" t="s">
        <v>22</v>
      </c>
      <c r="G24" s="140" t="s">
        <v>22</v>
      </c>
      <c r="H24" s="140" t="s">
        <v>22</v>
      </c>
      <c r="I24" s="96"/>
      <c r="J24" s="128"/>
      <c r="K24" s="82"/>
      <c r="L24" s="96"/>
      <c r="M24" s="96"/>
      <c r="N24" s="96"/>
      <c r="O24" s="96"/>
      <c r="P24" s="96"/>
      <c r="Q24" s="96"/>
      <c r="R24" s="96"/>
      <c r="S24" s="43"/>
      <c r="T24" s="45"/>
      <c r="U24" s="45"/>
      <c r="V24" s="45"/>
      <c r="W24" s="45"/>
      <c r="X24" s="45"/>
      <c r="Y24" s="45"/>
      <c r="Z24" s="45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32">
        <f t="shared" si="1"/>
        <v>0</v>
      </c>
      <c r="BA24" s="32">
        <f t="shared" si="2"/>
        <v>3</v>
      </c>
      <c r="BB24" s="32">
        <f t="shared" si="3"/>
        <v>2</v>
      </c>
      <c r="BC24" s="32">
        <f t="shared" si="4"/>
        <v>5</v>
      </c>
      <c r="BD24" s="33">
        <f t="shared" si="5"/>
        <v>40</v>
      </c>
    </row>
    <row r="25">
      <c r="A25" s="95">
        <v>21.0</v>
      </c>
      <c r="B25" s="47" t="s">
        <v>69</v>
      </c>
      <c r="C25" s="137" t="s">
        <v>70</v>
      </c>
      <c r="D25" s="138" t="s">
        <v>28</v>
      </c>
      <c r="E25" s="139" t="s">
        <v>28</v>
      </c>
      <c r="F25" s="139" t="s">
        <v>28</v>
      </c>
      <c r="G25" s="140" t="s">
        <v>22</v>
      </c>
      <c r="H25" s="139" t="s">
        <v>28</v>
      </c>
      <c r="I25" s="128"/>
      <c r="J25" s="128"/>
      <c r="K25" s="96"/>
      <c r="L25" s="96"/>
      <c r="M25" s="96"/>
      <c r="N25" s="82"/>
      <c r="O25" s="96"/>
      <c r="P25" s="96"/>
      <c r="Q25" s="96"/>
      <c r="R25" s="96"/>
      <c r="S25" s="43"/>
      <c r="T25" s="45"/>
      <c r="U25" s="45"/>
      <c r="V25" s="45"/>
      <c r="W25" s="45"/>
      <c r="X25" s="45"/>
      <c r="Y25" s="45"/>
      <c r="Z25" s="45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32">
        <f t="shared" si="1"/>
        <v>0</v>
      </c>
      <c r="BA25" s="32">
        <f t="shared" si="2"/>
        <v>1</v>
      </c>
      <c r="BB25" s="32">
        <f t="shared" si="3"/>
        <v>4</v>
      </c>
      <c r="BC25" s="32">
        <f t="shared" si="4"/>
        <v>5</v>
      </c>
      <c r="BD25" s="33">
        <f t="shared" si="5"/>
        <v>80</v>
      </c>
    </row>
    <row r="26">
      <c r="A26" s="95">
        <v>22.0</v>
      </c>
      <c r="B26" s="47" t="s">
        <v>139</v>
      </c>
      <c r="C26" s="137" t="s">
        <v>140</v>
      </c>
      <c r="D26" s="138" t="s">
        <v>28</v>
      </c>
      <c r="E26" s="140" t="s">
        <v>22</v>
      </c>
      <c r="F26" s="139" t="s">
        <v>28</v>
      </c>
      <c r="G26" s="139" t="s">
        <v>28</v>
      </c>
      <c r="H26" s="139" t="s">
        <v>28</v>
      </c>
      <c r="I26" s="128"/>
      <c r="J26" s="128"/>
      <c r="K26" s="82"/>
      <c r="L26" s="96"/>
      <c r="M26" s="82"/>
      <c r="N26" s="96"/>
      <c r="O26" s="96"/>
      <c r="P26" s="96"/>
      <c r="Q26" s="96"/>
      <c r="R26" s="96"/>
      <c r="S26" s="43"/>
      <c r="T26" s="45"/>
      <c r="U26" s="45"/>
      <c r="V26" s="45"/>
      <c r="W26" s="45"/>
      <c r="X26" s="45"/>
      <c r="Y26" s="45"/>
      <c r="Z26" s="45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32">
        <f t="shared" si="1"/>
        <v>0</v>
      </c>
      <c r="BA26" s="32">
        <f t="shared" si="2"/>
        <v>1</v>
      </c>
      <c r="BB26" s="32">
        <f t="shared" si="3"/>
        <v>4</v>
      </c>
      <c r="BC26" s="32">
        <f t="shared" si="4"/>
        <v>5</v>
      </c>
      <c r="BD26" s="33">
        <f t="shared" si="5"/>
        <v>80</v>
      </c>
    </row>
    <row r="27">
      <c r="A27" s="95">
        <v>23.0</v>
      </c>
      <c r="B27" s="47" t="s">
        <v>29</v>
      </c>
      <c r="C27" s="137" t="s">
        <v>30</v>
      </c>
      <c r="D27" s="138" t="s">
        <v>28</v>
      </c>
      <c r="E27" s="139" t="s">
        <v>28</v>
      </c>
      <c r="F27" s="140" t="s">
        <v>22</v>
      </c>
      <c r="G27" s="140" t="s">
        <v>22</v>
      </c>
      <c r="H27" s="139" t="s">
        <v>28</v>
      </c>
      <c r="I27" s="96"/>
      <c r="J27" s="128"/>
      <c r="K27" s="96"/>
      <c r="L27" s="96"/>
      <c r="M27" s="96"/>
      <c r="N27" s="96"/>
      <c r="O27" s="96"/>
      <c r="P27" s="82"/>
      <c r="Q27" s="96"/>
      <c r="R27" s="82"/>
      <c r="S27" s="43"/>
      <c r="T27" s="45"/>
      <c r="U27" s="45"/>
      <c r="V27" s="45"/>
      <c r="W27" s="45"/>
      <c r="X27" s="45"/>
      <c r="Y27" s="45"/>
      <c r="Z27" s="45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32">
        <f t="shared" si="1"/>
        <v>0</v>
      </c>
      <c r="BA27" s="32">
        <f t="shared" si="2"/>
        <v>2</v>
      </c>
      <c r="BB27" s="32">
        <f t="shared" si="3"/>
        <v>3</v>
      </c>
      <c r="BC27" s="32">
        <f t="shared" si="4"/>
        <v>5</v>
      </c>
      <c r="BD27" s="33">
        <f t="shared" si="5"/>
        <v>60</v>
      </c>
    </row>
    <row r="28">
      <c r="A28" s="95">
        <v>24.0</v>
      </c>
      <c r="B28" s="47" t="s">
        <v>337</v>
      </c>
      <c r="C28" s="137" t="s">
        <v>338</v>
      </c>
      <c r="D28" s="138" t="s">
        <v>28</v>
      </c>
      <c r="E28" s="139" t="s">
        <v>28</v>
      </c>
      <c r="F28" s="139" t="s">
        <v>28</v>
      </c>
      <c r="G28" s="139" t="s">
        <v>28</v>
      </c>
      <c r="H28" s="139" t="s">
        <v>28</v>
      </c>
      <c r="I28" s="96"/>
      <c r="J28" s="128"/>
      <c r="K28" s="96"/>
      <c r="L28" s="96"/>
      <c r="M28" s="96"/>
      <c r="N28" s="96"/>
      <c r="O28" s="96"/>
      <c r="P28" s="96"/>
      <c r="Q28" s="96"/>
      <c r="R28" s="96"/>
      <c r="S28" s="45"/>
      <c r="T28" s="45"/>
      <c r="U28" s="45"/>
      <c r="V28" s="45"/>
      <c r="W28" s="45"/>
      <c r="X28" s="45"/>
      <c r="Y28" s="45"/>
      <c r="Z28" s="45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32">
        <f t="shared" si="1"/>
        <v>0</v>
      </c>
      <c r="BA28" s="32">
        <f t="shared" si="2"/>
        <v>0</v>
      </c>
      <c r="BB28" s="32">
        <f t="shared" si="3"/>
        <v>5</v>
      </c>
      <c r="BC28" s="32">
        <f t="shared" si="4"/>
        <v>5</v>
      </c>
      <c r="BD28" s="33">
        <f t="shared" si="5"/>
        <v>100</v>
      </c>
    </row>
    <row r="29">
      <c r="A29" s="95">
        <v>25.0</v>
      </c>
      <c r="B29" s="47" t="s">
        <v>145</v>
      </c>
      <c r="C29" s="137" t="s">
        <v>146</v>
      </c>
      <c r="D29" s="138" t="s">
        <v>28</v>
      </c>
      <c r="E29" s="139" t="s">
        <v>28</v>
      </c>
      <c r="F29" s="139" t="s">
        <v>28</v>
      </c>
      <c r="G29" s="139" t="s">
        <v>28</v>
      </c>
      <c r="H29" s="139" t="s">
        <v>28</v>
      </c>
      <c r="I29" s="128"/>
      <c r="J29" s="128"/>
      <c r="K29" s="96"/>
      <c r="L29" s="96"/>
      <c r="M29" s="96"/>
      <c r="N29" s="96"/>
      <c r="O29" s="96"/>
      <c r="P29" s="96"/>
      <c r="Q29" s="96"/>
      <c r="R29" s="96"/>
      <c r="S29" s="43"/>
      <c r="T29" s="45"/>
      <c r="U29" s="45"/>
      <c r="V29" s="45"/>
      <c r="W29" s="45"/>
      <c r="X29" s="45"/>
      <c r="Y29" s="45"/>
      <c r="Z29" s="45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32">
        <f t="shared" si="1"/>
        <v>0</v>
      </c>
      <c r="BA29" s="32">
        <f t="shared" si="2"/>
        <v>0</v>
      </c>
      <c r="BB29" s="32">
        <f t="shared" si="3"/>
        <v>5</v>
      </c>
      <c r="BC29" s="32">
        <f t="shared" si="4"/>
        <v>5</v>
      </c>
      <c r="BD29" s="33">
        <f t="shared" si="5"/>
        <v>100</v>
      </c>
    </row>
    <row r="30">
      <c r="A30" s="95">
        <v>26.0</v>
      </c>
      <c r="B30" s="47" t="s">
        <v>187</v>
      </c>
      <c r="C30" s="137" t="s">
        <v>188</v>
      </c>
      <c r="D30" s="138" t="s">
        <v>28</v>
      </c>
      <c r="E30" s="140" t="s">
        <v>22</v>
      </c>
      <c r="F30" s="139" t="s">
        <v>28</v>
      </c>
      <c r="G30" s="139" t="s">
        <v>28</v>
      </c>
      <c r="H30" s="140" t="s">
        <v>22</v>
      </c>
      <c r="I30" s="96"/>
      <c r="J30" s="128"/>
      <c r="K30" s="96"/>
      <c r="L30" s="96"/>
      <c r="M30" s="96"/>
      <c r="N30" s="96"/>
      <c r="O30" s="96"/>
      <c r="P30" s="96"/>
      <c r="Q30" s="96"/>
      <c r="R30" s="96"/>
      <c r="S30" s="71"/>
      <c r="T30" s="45"/>
      <c r="U30" s="45"/>
      <c r="V30" s="45"/>
      <c r="W30" s="45"/>
      <c r="X30" s="45"/>
      <c r="Y30" s="45"/>
      <c r="Z30" s="45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32">
        <f t="shared" si="1"/>
        <v>0</v>
      </c>
      <c r="BA30" s="32">
        <f t="shared" si="2"/>
        <v>2</v>
      </c>
      <c r="BB30" s="32">
        <f t="shared" si="3"/>
        <v>3</v>
      </c>
      <c r="BC30" s="32">
        <f t="shared" si="4"/>
        <v>5</v>
      </c>
      <c r="BD30" s="33">
        <f t="shared" si="5"/>
        <v>60</v>
      </c>
    </row>
    <row r="31">
      <c r="A31" s="95">
        <v>27.0</v>
      </c>
      <c r="B31" s="47" t="s">
        <v>129</v>
      </c>
      <c r="C31" s="137" t="s">
        <v>130</v>
      </c>
      <c r="D31" s="138" t="s">
        <v>28</v>
      </c>
      <c r="E31" s="140" t="s">
        <v>22</v>
      </c>
      <c r="F31" s="139" t="s">
        <v>28</v>
      </c>
      <c r="G31" s="140" t="s">
        <v>22</v>
      </c>
      <c r="H31" s="139" t="s">
        <v>28</v>
      </c>
      <c r="I31" s="96"/>
      <c r="J31" s="128"/>
      <c r="K31" s="96"/>
      <c r="L31" s="96"/>
      <c r="M31" s="96"/>
      <c r="N31" s="96"/>
      <c r="O31" s="96"/>
      <c r="P31" s="96"/>
      <c r="Q31" s="96"/>
      <c r="R31" s="82"/>
      <c r="S31" s="43"/>
      <c r="T31" s="45"/>
      <c r="U31" s="45"/>
      <c r="V31" s="45"/>
      <c r="W31" s="45"/>
      <c r="X31" s="45"/>
      <c r="Y31" s="45"/>
      <c r="Z31" s="45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32">
        <f t="shared" si="1"/>
        <v>0</v>
      </c>
      <c r="BA31" s="32">
        <f t="shared" si="2"/>
        <v>2</v>
      </c>
      <c r="BB31" s="32">
        <f t="shared" si="3"/>
        <v>3</v>
      </c>
      <c r="BC31" s="32">
        <f t="shared" si="4"/>
        <v>5</v>
      </c>
      <c r="BD31" s="33">
        <f t="shared" si="5"/>
        <v>60</v>
      </c>
    </row>
    <row r="32">
      <c r="A32" s="95">
        <v>28.0</v>
      </c>
      <c r="B32" s="47" t="s">
        <v>83</v>
      </c>
      <c r="C32" s="137" t="s">
        <v>84</v>
      </c>
      <c r="D32" s="138" t="s">
        <v>28</v>
      </c>
      <c r="E32" s="139" t="s">
        <v>28</v>
      </c>
      <c r="F32" s="139" t="s">
        <v>28</v>
      </c>
      <c r="G32" s="139" t="s">
        <v>28</v>
      </c>
      <c r="H32" s="139" t="s">
        <v>28</v>
      </c>
      <c r="I32" s="96"/>
      <c r="J32" s="128"/>
      <c r="K32" s="96"/>
      <c r="L32" s="96"/>
      <c r="M32" s="96"/>
      <c r="N32" s="96"/>
      <c r="O32" s="96"/>
      <c r="P32" s="96"/>
      <c r="Q32" s="96"/>
      <c r="R32" s="82"/>
      <c r="S32" s="43"/>
      <c r="T32" s="45"/>
      <c r="U32" s="45"/>
      <c r="V32" s="45"/>
      <c r="W32" s="45"/>
      <c r="X32" s="45"/>
      <c r="Y32" s="45"/>
      <c r="Z32" s="45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32">
        <f t="shared" si="1"/>
        <v>0</v>
      </c>
      <c r="BA32" s="32">
        <f t="shared" si="2"/>
        <v>0</v>
      </c>
      <c r="BB32" s="32">
        <f t="shared" si="3"/>
        <v>5</v>
      </c>
      <c r="BC32" s="32">
        <f t="shared" si="4"/>
        <v>5</v>
      </c>
      <c r="BD32" s="33">
        <f t="shared" si="5"/>
        <v>100</v>
      </c>
    </row>
    <row r="33">
      <c r="A33" s="95">
        <v>29.0</v>
      </c>
      <c r="B33" s="47" t="s">
        <v>33</v>
      </c>
      <c r="C33" s="137" t="s">
        <v>34</v>
      </c>
      <c r="D33" s="138" t="s">
        <v>28</v>
      </c>
      <c r="E33" s="139" t="s">
        <v>28</v>
      </c>
      <c r="F33" s="139" t="s">
        <v>28</v>
      </c>
      <c r="G33" s="139" t="s">
        <v>28</v>
      </c>
      <c r="H33" s="139" t="s">
        <v>28</v>
      </c>
      <c r="I33" s="96"/>
      <c r="J33" s="128"/>
      <c r="K33" s="96"/>
      <c r="L33" s="96"/>
      <c r="M33" s="96"/>
      <c r="N33" s="96"/>
      <c r="O33" s="96"/>
      <c r="P33" s="96"/>
      <c r="Q33" s="96"/>
      <c r="R33" s="96"/>
      <c r="S33" s="43"/>
      <c r="T33" s="45"/>
      <c r="U33" s="45"/>
      <c r="V33" s="45"/>
      <c r="W33" s="45"/>
      <c r="X33" s="45"/>
      <c r="Y33" s="45"/>
      <c r="Z33" s="45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32">
        <f t="shared" si="1"/>
        <v>0</v>
      </c>
      <c r="BA33" s="32">
        <f t="shared" si="2"/>
        <v>0</v>
      </c>
      <c r="BB33" s="32">
        <f t="shared" si="3"/>
        <v>5</v>
      </c>
      <c r="BC33" s="32">
        <f t="shared" si="4"/>
        <v>5</v>
      </c>
      <c r="BD33" s="33">
        <f t="shared" si="5"/>
        <v>100</v>
      </c>
    </row>
    <row r="34">
      <c r="A34" s="95">
        <v>30.0</v>
      </c>
      <c r="B34" s="47" t="s">
        <v>223</v>
      </c>
      <c r="C34" s="137" t="s">
        <v>224</v>
      </c>
      <c r="D34" s="138" t="s">
        <v>28</v>
      </c>
      <c r="E34" s="139" t="s">
        <v>28</v>
      </c>
      <c r="F34" s="139" t="s">
        <v>28</v>
      </c>
      <c r="G34" s="139" t="s">
        <v>28</v>
      </c>
      <c r="H34" s="139" t="s">
        <v>28</v>
      </c>
      <c r="I34" s="128"/>
      <c r="J34" s="128"/>
      <c r="K34" s="96"/>
      <c r="L34" s="96"/>
      <c r="M34" s="96"/>
      <c r="N34" s="96"/>
      <c r="O34" s="96"/>
      <c r="P34" s="96"/>
      <c r="Q34" s="96"/>
      <c r="R34" s="96"/>
      <c r="S34" s="43"/>
      <c r="T34" s="45"/>
      <c r="U34" s="45"/>
      <c r="V34" s="45"/>
      <c r="W34" s="45"/>
      <c r="X34" s="45"/>
      <c r="Y34" s="45"/>
      <c r="Z34" s="45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32">
        <f t="shared" si="1"/>
        <v>0</v>
      </c>
      <c r="BA34" s="32">
        <f t="shared" si="2"/>
        <v>0</v>
      </c>
      <c r="BB34" s="32">
        <f t="shared" si="3"/>
        <v>5</v>
      </c>
      <c r="BC34" s="32">
        <f t="shared" si="4"/>
        <v>5</v>
      </c>
      <c r="BD34" s="33">
        <f t="shared" si="5"/>
        <v>100</v>
      </c>
    </row>
    <row r="35">
      <c r="A35" s="95">
        <v>31.0</v>
      </c>
      <c r="B35" s="47" t="s">
        <v>101</v>
      </c>
      <c r="C35" s="137" t="s">
        <v>102</v>
      </c>
      <c r="D35" s="138" t="s">
        <v>28</v>
      </c>
      <c r="E35" s="139" t="s">
        <v>28</v>
      </c>
      <c r="F35" s="139" t="s">
        <v>28</v>
      </c>
      <c r="G35" s="139" t="s">
        <v>28</v>
      </c>
      <c r="H35" s="139" t="s">
        <v>28</v>
      </c>
      <c r="I35" s="128"/>
      <c r="J35" s="128"/>
      <c r="K35" s="96"/>
      <c r="L35" s="96"/>
      <c r="M35" s="82"/>
      <c r="N35" s="82"/>
      <c r="O35" s="82"/>
      <c r="P35" s="96"/>
      <c r="Q35" s="96"/>
      <c r="R35" s="96"/>
      <c r="S35" s="45"/>
      <c r="T35" s="45"/>
      <c r="U35" s="45"/>
      <c r="V35" s="45"/>
      <c r="W35" s="45"/>
      <c r="X35" s="45"/>
      <c r="Y35" s="45"/>
      <c r="Z35" s="45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32">
        <f t="shared" si="1"/>
        <v>0</v>
      </c>
      <c r="BA35" s="32">
        <f t="shared" si="2"/>
        <v>0</v>
      </c>
      <c r="BB35" s="32">
        <f t="shared" si="3"/>
        <v>5</v>
      </c>
      <c r="BC35" s="32">
        <f t="shared" si="4"/>
        <v>5</v>
      </c>
      <c r="BD35" s="33">
        <f t="shared" si="5"/>
        <v>100</v>
      </c>
    </row>
    <row r="36">
      <c r="A36" s="95">
        <v>32.0</v>
      </c>
      <c r="B36" s="47" t="s">
        <v>229</v>
      </c>
      <c r="C36" s="137" t="s">
        <v>230</v>
      </c>
      <c r="D36" s="138" t="s">
        <v>28</v>
      </c>
      <c r="E36" s="139" t="s">
        <v>28</v>
      </c>
      <c r="F36" s="139" t="s">
        <v>28</v>
      </c>
      <c r="G36" s="139" t="s">
        <v>28</v>
      </c>
      <c r="H36" s="140" t="s">
        <v>22</v>
      </c>
      <c r="I36" s="96"/>
      <c r="J36" s="128"/>
      <c r="K36" s="96"/>
      <c r="L36" s="96"/>
      <c r="M36" s="82"/>
      <c r="N36" s="96"/>
      <c r="O36" s="96"/>
      <c r="P36" s="96"/>
      <c r="Q36" s="96"/>
      <c r="R36" s="96"/>
      <c r="S36" s="43"/>
      <c r="T36" s="45"/>
      <c r="U36" s="45"/>
      <c r="V36" s="45"/>
      <c r="W36" s="45"/>
      <c r="X36" s="45"/>
      <c r="Y36" s="45"/>
      <c r="Z36" s="45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32">
        <f t="shared" si="1"/>
        <v>0</v>
      </c>
      <c r="BA36" s="32">
        <f t="shared" si="2"/>
        <v>1</v>
      </c>
      <c r="BB36" s="32">
        <f t="shared" si="3"/>
        <v>4</v>
      </c>
      <c r="BC36" s="32">
        <f t="shared" si="4"/>
        <v>5</v>
      </c>
      <c r="BD36" s="33">
        <f t="shared" si="5"/>
        <v>80</v>
      </c>
    </row>
    <row r="37">
      <c r="A37" s="95">
        <v>33.0</v>
      </c>
      <c r="B37" s="47" t="s">
        <v>73</v>
      </c>
      <c r="C37" s="137" t="s">
        <v>74</v>
      </c>
      <c r="D37" s="138" t="s">
        <v>28</v>
      </c>
      <c r="E37" s="140" t="s">
        <v>22</v>
      </c>
      <c r="F37" s="139" t="s">
        <v>28</v>
      </c>
      <c r="G37" s="139" t="s">
        <v>28</v>
      </c>
      <c r="H37" s="139" t="s">
        <v>28</v>
      </c>
      <c r="I37" s="96"/>
      <c r="J37" s="128"/>
      <c r="K37" s="96"/>
      <c r="L37" s="96"/>
      <c r="M37" s="96"/>
      <c r="N37" s="96"/>
      <c r="O37" s="96"/>
      <c r="P37" s="96"/>
      <c r="Q37" s="96"/>
      <c r="R37" s="96"/>
      <c r="S37" s="43"/>
      <c r="T37" s="45"/>
      <c r="U37" s="45"/>
      <c r="V37" s="45"/>
      <c r="W37" s="45"/>
      <c r="X37" s="45"/>
      <c r="Y37" s="45"/>
      <c r="Z37" s="45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32">
        <f t="shared" si="1"/>
        <v>0</v>
      </c>
      <c r="BA37" s="32">
        <f t="shared" si="2"/>
        <v>1</v>
      </c>
      <c r="BB37" s="32">
        <f t="shared" si="3"/>
        <v>4</v>
      </c>
      <c r="BC37" s="32">
        <f t="shared" si="4"/>
        <v>5</v>
      </c>
      <c r="BD37" s="33">
        <f t="shared" si="5"/>
        <v>80</v>
      </c>
    </row>
    <row r="38">
      <c r="A38" s="95">
        <v>34.0</v>
      </c>
      <c r="B38" s="47" t="s">
        <v>241</v>
      </c>
      <c r="C38" s="137" t="s">
        <v>242</v>
      </c>
      <c r="D38" s="138" t="s">
        <v>28</v>
      </c>
      <c r="E38" s="139" t="s">
        <v>28</v>
      </c>
      <c r="F38" s="139" t="s">
        <v>28</v>
      </c>
      <c r="G38" s="139" t="s">
        <v>28</v>
      </c>
      <c r="H38" s="139" t="s">
        <v>28</v>
      </c>
      <c r="I38" s="96"/>
      <c r="J38" s="128"/>
      <c r="K38" s="82"/>
      <c r="L38" s="96"/>
      <c r="M38" s="82"/>
      <c r="N38" s="96"/>
      <c r="O38" s="82"/>
      <c r="P38" s="96"/>
      <c r="Q38" s="96"/>
      <c r="R38" s="82"/>
      <c r="S38" s="43"/>
      <c r="T38" s="45"/>
      <c r="U38" s="45"/>
      <c r="V38" s="45"/>
      <c r="W38" s="45"/>
      <c r="X38" s="45"/>
      <c r="Y38" s="45"/>
      <c r="Z38" s="45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32">
        <f t="shared" si="1"/>
        <v>0</v>
      </c>
      <c r="BA38" s="32">
        <f t="shared" si="2"/>
        <v>0</v>
      </c>
      <c r="BB38" s="32">
        <f t="shared" si="3"/>
        <v>5</v>
      </c>
      <c r="BC38" s="32">
        <f t="shared" si="4"/>
        <v>5</v>
      </c>
      <c r="BD38" s="33">
        <f t="shared" si="5"/>
        <v>100</v>
      </c>
    </row>
    <row r="39">
      <c r="A39" s="95">
        <v>35.0</v>
      </c>
      <c r="B39" s="47" t="s">
        <v>321</v>
      </c>
      <c r="C39" s="137" t="s">
        <v>322</v>
      </c>
      <c r="D39" s="138" t="s">
        <v>28</v>
      </c>
      <c r="E39" s="139" t="s">
        <v>28</v>
      </c>
      <c r="F39" s="139" t="s">
        <v>28</v>
      </c>
      <c r="G39" s="139" t="s">
        <v>28</v>
      </c>
      <c r="H39" s="139" t="s">
        <v>28</v>
      </c>
      <c r="I39" s="128"/>
      <c r="J39" s="128"/>
      <c r="K39" s="96"/>
      <c r="L39" s="96"/>
      <c r="M39" s="82"/>
      <c r="N39" s="82"/>
      <c r="O39" s="82"/>
      <c r="P39" s="96"/>
      <c r="Q39" s="82"/>
      <c r="R39" s="96"/>
      <c r="S39" s="43"/>
      <c r="T39" s="45"/>
      <c r="U39" s="45"/>
      <c r="V39" s="45"/>
      <c r="W39" s="45"/>
      <c r="X39" s="45"/>
      <c r="Y39" s="45"/>
      <c r="Z39" s="45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110">
        <f t="shared" si="1"/>
        <v>0</v>
      </c>
      <c r="BA39" s="110">
        <f t="shared" si="2"/>
        <v>0</v>
      </c>
      <c r="BB39" s="110">
        <f t="shared" si="3"/>
        <v>5</v>
      </c>
      <c r="BC39" s="110">
        <f t="shared" si="4"/>
        <v>5</v>
      </c>
      <c r="BD39" s="111">
        <f t="shared" si="5"/>
        <v>100</v>
      </c>
    </row>
    <row r="40">
      <c r="A40" s="95">
        <v>36.0</v>
      </c>
      <c r="B40" s="47" t="s">
        <v>189</v>
      </c>
      <c r="C40" s="137" t="s">
        <v>190</v>
      </c>
      <c r="D40" s="140" t="s">
        <v>22</v>
      </c>
      <c r="E40" s="139" t="s">
        <v>28</v>
      </c>
      <c r="F40" s="139" t="s">
        <v>28</v>
      </c>
      <c r="G40" s="139" t="s">
        <v>28</v>
      </c>
      <c r="H40" s="139" t="s">
        <v>28</v>
      </c>
      <c r="I40" s="142"/>
      <c r="J40" s="142"/>
      <c r="K40" s="142"/>
      <c r="L40" s="142"/>
      <c r="M40" s="143"/>
      <c r="N40" s="143"/>
      <c r="O40" s="143"/>
      <c r="P40" s="142"/>
      <c r="Q40" s="143"/>
      <c r="R40" s="142"/>
      <c r="S40" s="142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10"/>
      <c r="BA40" s="110"/>
      <c r="BB40" s="110"/>
      <c r="BC40" s="110"/>
      <c r="BD40" s="111"/>
    </row>
    <row r="41">
      <c r="A41" s="95"/>
      <c r="B41" s="47"/>
      <c r="C41" s="56" t="s">
        <v>191</v>
      </c>
      <c r="D41" s="57">
        <f t="shared" ref="D41:AY41" si="6">COUNTIF(#REF!,"P")+COUNTIF(#REF!,"L")</f>
        <v>0</v>
      </c>
      <c r="E41" s="57">
        <f t="shared" si="6"/>
        <v>0</v>
      </c>
      <c r="F41" s="57">
        <f t="shared" si="6"/>
        <v>0</v>
      </c>
      <c r="G41" s="57">
        <f t="shared" si="6"/>
        <v>0</v>
      </c>
      <c r="H41" s="57">
        <f t="shared" si="6"/>
        <v>0</v>
      </c>
      <c r="I41" s="57">
        <f t="shared" si="6"/>
        <v>0</v>
      </c>
      <c r="J41" s="57">
        <f t="shared" si="6"/>
        <v>0</v>
      </c>
      <c r="K41" s="57">
        <f t="shared" si="6"/>
        <v>0</v>
      </c>
      <c r="L41" s="57">
        <f t="shared" si="6"/>
        <v>0</v>
      </c>
      <c r="M41" s="57">
        <f t="shared" si="6"/>
        <v>0</v>
      </c>
      <c r="N41" s="57">
        <f t="shared" si="6"/>
        <v>0</v>
      </c>
      <c r="O41" s="57">
        <f t="shared" si="6"/>
        <v>0</v>
      </c>
      <c r="P41" s="57">
        <f t="shared" si="6"/>
        <v>0</v>
      </c>
      <c r="Q41" s="57">
        <f t="shared" si="6"/>
        <v>0</v>
      </c>
      <c r="R41" s="57">
        <f t="shared" si="6"/>
        <v>0</v>
      </c>
      <c r="S41" s="57">
        <f t="shared" si="6"/>
        <v>0</v>
      </c>
      <c r="T41" s="57">
        <f t="shared" si="6"/>
        <v>0</v>
      </c>
      <c r="U41" s="57">
        <f t="shared" si="6"/>
        <v>0</v>
      </c>
      <c r="V41" s="57">
        <f t="shared" si="6"/>
        <v>0</v>
      </c>
      <c r="W41" s="57">
        <f t="shared" si="6"/>
        <v>0</v>
      </c>
      <c r="X41" s="57">
        <f t="shared" si="6"/>
        <v>0</v>
      </c>
      <c r="Y41" s="57">
        <f t="shared" si="6"/>
        <v>0</v>
      </c>
      <c r="Z41" s="57">
        <f t="shared" si="6"/>
        <v>0</v>
      </c>
      <c r="AA41" s="57">
        <f t="shared" si="6"/>
        <v>0</v>
      </c>
      <c r="AB41" s="57">
        <f t="shared" si="6"/>
        <v>0</v>
      </c>
      <c r="AC41" s="57">
        <f t="shared" si="6"/>
        <v>0</v>
      </c>
      <c r="AD41" s="57">
        <f t="shared" si="6"/>
        <v>0</v>
      </c>
      <c r="AE41" s="57">
        <f t="shared" si="6"/>
        <v>0</v>
      </c>
      <c r="AF41" s="57">
        <f t="shared" si="6"/>
        <v>0</v>
      </c>
      <c r="AG41" s="57">
        <f t="shared" si="6"/>
        <v>0</v>
      </c>
      <c r="AH41" s="57">
        <f t="shared" si="6"/>
        <v>0</v>
      </c>
      <c r="AI41" s="57">
        <f t="shared" si="6"/>
        <v>0</v>
      </c>
      <c r="AJ41" s="57">
        <f t="shared" si="6"/>
        <v>0</v>
      </c>
      <c r="AK41" s="57">
        <f t="shared" si="6"/>
        <v>0</v>
      </c>
      <c r="AL41" s="57">
        <f t="shared" si="6"/>
        <v>0</v>
      </c>
      <c r="AM41" s="57">
        <f t="shared" si="6"/>
        <v>0</v>
      </c>
      <c r="AN41" s="57">
        <f t="shared" si="6"/>
        <v>0</v>
      </c>
      <c r="AO41" s="57">
        <f t="shared" si="6"/>
        <v>0</v>
      </c>
      <c r="AP41" s="57">
        <f t="shared" si="6"/>
        <v>0</v>
      </c>
      <c r="AQ41" s="57">
        <f t="shared" si="6"/>
        <v>0</v>
      </c>
      <c r="AR41" s="57">
        <f t="shared" si="6"/>
        <v>0</v>
      </c>
      <c r="AS41" s="57">
        <f t="shared" si="6"/>
        <v>0</v>
      </c>
      <c r="AT41" s="57">
        <f t="shared" si="6"/>
        <v>0</v>
      </c>
      <c r="AU41" s="57">
        <f t="shared" si="6"/>
        <v>0</v>
      </c>
      <c r="AV41" s="57">
        <f t="shared" si="6"/>
        <v>0</v>
      </c>
      <c r="AW41" s="57">
        <f t="shared" si="6"/>
        <v>0</v>
      </c>
      <c r="AX41" s="57">
        <f t="shared" si="6"/>
        <v>0</v>
      </c>
      <c r="AY41" s="57">
        <f t="shared" si="6"/>
        <v>0</v>
      </c>
      <c r="AZ41" s="32"/>
      <c r="BA41" s="32"/>
      <c r="BB41" s="32"/>
      <c r="BC41" s="32"/>
      <c r="BD41" s="33"/>
    </row>
    <row r="42">
      <c r="A42" s="95"/>
      <c r="B42" s="47"/>
      <c r="C42" s="59" t="s">
        <v>192</v>
      </c>
      <c r="D42" s="114">
        <v>35.0</v>
      </c>
      <c r="E42" s="114">
        <v>35.0</v>
      </c>
      <c r="F42" s="114">
        <v>35.0</v>
      </c>
      <c r="G42" s="114">
        <v>35.0</v>
      </c>
      <c r="H42" s="114">
        <v>35.0</v>
      </c>
      <c r="I42" s="114">
        <v>35.0</v>
      </c>
      <c r="J42" s="114">
        <v>35.0</v>
      </c>
      <c r="K42" s="114">
        <v>35.0</v>
      </c>
      <c r="L42" s="114">
        <v>35.0</v>
      </c>
      <c r="M42" s="114">
        <v>35.0</v>
      </c>
      <c r="N42" s="114">
        <v>35.0</v>
      </c>
      <c r="O42" s="114">
        <v>35.0</v>
      </c>
      <c r="P42" s="114">
        <v>35.0</v>
      </c>
      <c r="Q42" s="114">
        <v>35.0</v>
      </c>
      <c r="R42" s="114">
        <v>35.0</v>
      </c>
      <c r="S42" s="114">
        <v>35.0</v>
      </c>
      <c r="T42" s="114">
        <v>35.0</v>
      </c>
      <c r="U42" s="114">
        <v>35.0</v>
      </c>
      <c r="V42" s="114">
        <v>35.0</v>
      </c>
      <c r="W42" s="114">
        <v>35.0</v>
      </c>
      <c r="X42" s="114">
        <v>35.0</v>
      </c>
      <c r="Y42" s="114">
        <v>35.0</v>
      </c>
      <c r="Z42" s="114">
        <v>35.0</v>
      </c>
      <c r="AA42" s="114">
        <v>35.0</v>
      </c>
      <c r="AB42" s="114">
        <v>35.0</v>
      </c>
      <c r="AC42" s="114">
        <v>35.0</v>
      </c>
      <c r="AD42" s="114">
        <v>35.0</v>
      </c>
      <c r="AE42" s="114">
        <v>35.0</v>
      </c>
      <c r="AF42" s="114">
        <v>35.0</v>
      </c>
      <c r="AG42" s="114">
        <v>35.0</v>
      </c>
      <c r="AH42" s="114">
        <v>35.0</v>
      </c>
      <c r="AI42" s="114">
        <v>35.0</v>
      </c>
      <c r="AJ42" s="114">
        <v>35.0</v>
      </c>
      <c r="AK42" s="114">
        <v>35.0</v>
      </c>
      <c r="AL42" s="114">
        <v>35.0</v>
      </c>
      <c r="AM42" s="114">
        <v>35.0</v>
      </c>
      <c r="AN42" s="114">
        <v>35.0</v>
      </c>
      <c r="AO42" s="114">
        <v>35.0</v>
      </c>
      <c r="AP42" s="114">
        <v>35.0</v>
      </c>
      <c r="AQ42" s="114">
        <v>35.0</v>
      </c>
      <c r="AR42" s="114">
        <v>35.0</v>
      </c>
      <c r="AS42" s="114">
        <v>35.0</v>
      </c>
      <c r="AT42" s="114">
        <v>35.0</v>
      </c>
      <c r="AU42" s="114">
        <v>35.0</v>
      </c>
      <c r="AV42" s="114">
        <v>35.0</v>
      </c>
      <c r="AW42" s="114">
        <v>35.0</v>
      </c>
      <c r="AX42" s="114">
        <v>35.0</v>
      </c>
      <c r="AY42" s="114">
        <v>35.0</v>
      </c>
      <c r="AZ42" s="32"/>
      <c r="BA42" s="32"/>
      <c r="BB42" s="32"/>
      <c r="BC42" s="32"/>
      <c r="BD42" s="33"/>
    </row>
    <row r="43" ht="36.75" customHeight="1">
      <c r="A43" s="95"/>
      <c r="B43" s="47"/>
      <c r="C43" s="85"/>
      <c r="D43" s="96"/>
      <c r="E43" s="144"/>
      <c r="F43" s="144"/>
      <c r="G43" s="128"/>
      <c r="H43" s="128"/>
      <c r="I43" s="128"/>
      <c r="J43" s="128"/>
      <c r="K43" s="96"/>
      <c r="L43" s="96"/>
      <c r="M43" s="82"/>
      <c r="N43" s="96"/>
      <c r="O43" s="96"/>
      <c r="P43" s="96"/>
      <c r="Q43" s="96"/>
      <c r="R43" s="96"/>
      <c r="S43" s="45"/>
      <c r="T43" s="45"/>
      <c r="U43" s="45"/>
      <c r="V43" s="45"/>
      <c r="W43" s="45"/>
      <c r="X43" s="45"/>
      <c r="Y43" s="45"/>
      <c r="Z43" s="45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32">
        <f>COUNTIF(D43:AY43,"L")</f>
        <v>0</v>
      </c>
      <c r="BA43" s="32">
        <f>COUNTIF(D43:AY43,"A")</f>
        <v>0</v>
      </c>
      <c r="BB43" s="32">
        <f>COUNTIF(D43:AY43,"p")</f>
        <v>0</v>
      </c>
      <c r="BC43" s="32">
        <f>SUM(AZ43:BB43)</f>
        <v>0</v>
      </c>
      <c r="BD43" s="33" t="str">
        <f>SUM(AZ43,BB43)/BC43*100</f>
        <v>#DIV/0!</v>
      </c>
    </row>
    <row r="44" ht="49.5" customHeight="1">
      <c r="A44" s="145" t="s">
        <v>520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3"/>
    </row>
    <row r="45" ht="55.5" customHeight="1">
      <c r="A45" s="4"/>
      <c r="B45" s="5"/>
      <c r="C45" s="6"/>
      <c r="D45" s="79" t="s">
        <v>521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65"/>
      <c r="P45" s="79"/>
      <c r="Q45" s="79"/>
      <c r="R45" s="65"/>
      <c r="S45" s="11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3"/>
      <c r="AX45" s="13"/>
      <c r="AY45" s="12"/>
      <c r="AZ45" s="12"/>
      <c r="BA45" s="12"/>
      <c r="BB45" s="12"/>
      <c r="BC45" s="12"/>
      <c r="BD45" s="14"/>
    </row>
    <row r="46" ht="71.25" customHeight="1">
      <c r="A46" s="15"/>
      <c r="B46" s="15"/>
      <c r="C46" s="15"/>
      <c r="D46" s="79" t="s">
        <v>522</v>
      </c>
      <c r="E46" s="65"/>
      <c r="F46" s="65"/>
      <c r="G46" s="79"/>
      <c r="H46" s="79"/>
      <c r="I46" s="65"/>
      <c r="J46" s="65"/>
      <c r="K46" s="65"/>
      <c r="L46" s="65"/>
      <c r="M46" s="65"/>
      <c r="N46" s="65"/>
      <c r="O46" s="65"/>
      <c r="P46" s="87"/>
      <c r="Q46" s="94"/>
      <c r="R46" s="87"/>
      <c r="S46" s="17"/>
      <c r="T46" s="13"/>
      <c r="U46" s="13"/>
      <c r="V46" s="13"/>
      <c r="W46" s="13"/>
      <c r="X46" s="13"/>
      <c r="Y46" s="13"/>
      <c r="Z46" s="12"/>
      <c r="AA46" s="12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2"/>
      <c r="AZ46" s="18" t="s">
        <v>21</v>
      </c>
      <c r="BA46" s="19" t="s">
        <v>22</v>
      </c>
      <c r="BB46" s="20" t="s">
        <v>23</v>
      </c>
      <c r="BC46" s="21" t="s">
        <v>24</v>
      </c>
      <c r="BD46" s="22" t="s">
        <v>25</v>
      </c>
    </row>
    <row r="47">
      <c r="A47" s="95">
        <v>1.0</v>
      </c>
      <c r="B47" s="47" t="s">
        <v>237</v>
      </c>
      <c r="C47" s="137" t="s">
        <v>238</v>
      </c>
      <c r="D47" s="139" t="s">
        <v>28</v>
      </c>
      <c r="E47" s="144"/>
      <c r="F47" s="144"/>
      <c r="G47" s="128"/>
      <c r="H47" s="128"/>
      <c r="I47" s="96"/>
      <c r="J47" s="128"/>
      <c r="K47" s="96"/>
      <c r="L47" s="96"/>
      <c r="M47" s="82"/>
      <c r="N47" s="96"/>
      <c r="O47" s="96"/>
      <c r="P47" s="96"/>
      <c r="Q47" s="96"/>
      <c r="R47" s="96"/>
      <c r="S47" s="43"/>
      <c r="T47" s="45"/>
      <c r="U47" s="45"/>
      <c r="V47" s="45"/>
      <c r="W47" s="45"/>
      <c r="X47" s="45"/>
      <c r="Y47" s="45"/>
      <c r="Z47" s="45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110">
        <f t="shared" ref="AZ47:AZ101" si="7">COUNTIF(D47:AY47,"L")</f>
        <v>0</v>
      </c>
      <c r="BA47" s="110">
        <f t="shared" ref="BA47:BA101" si="8">COUNTIF(D47:AY47,"A")</f>
        <v>0</v>
      </c>
      <c r="BB47" s="110">
        <f t="shared" ref="BB47:BB101" si="9">COUNTIF(D47:AY47,"p")</f>
        <v>1</v>
      </c>
      <c r="BC47" s="110">
        <f t="shared" ref="BC47:BC101" si="10">SUM(AZ47:BB47)</f>
        <v>1</v>
      </c>
      <c r="BD47" s="111">
        <f t="shared" ref="BD47:BD101" si="11">SUM(AZ47,BB47)/BC47*100</f>
        <v>100</v>
      </c>
    </row>
    <row r="48">
      <c r="A48" s="95">
        <v>2.0</v>
      </c>
      <c r="B48" s="47" t="s">
        <v>245</v>
      </c>
      <c r="C48" s="137" t="s">
        <v>246</v>
      </c>
      <c r="D48" s="140" t="s">
        <v>22</v>
      </c>
      <c r="E48" s="144"/>
      <c r="F48" s="144"/>
      <c r="G48" s="128"/>
      <c r="H48" s="128"/>
      <c r="I48" s="96"/>
      <c r="J48" s="128"/>
      <c r="K48" s="96"/>
      <c r="L48" s="96"/>
      <c r="M48" s="82"/>
      <c r="N48" s="96"/>
      <c r="O48" s="96"/>
      <c r="P48" s="96"/>
      <c r="Q48" s="96"/>
      <c r="R48" s="96"/>
      <c r="S48" s="43"/>
      <c r="T48" s="45"/>
      <c r="U48" s="45"/>
      <c r="V48" s="45"/>
      <c r="W48" s="45"/>
      <c r="X48" s="45"/>
      <c r="Y48" s="45"/>
      <c r="Z48" s="45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110">
        <f t="shared" si="7"/>
        <v>0</v>
      </c>
      <c r="BA48" s="110">
        <f t="shared" si="8"/>
        <v>1</v>
      </c>
      <c r="BB48" s="110">
        <f t="shared" si="9"/>
        <v>0</v>
      </c>
      <c r="BC48" s="110">
        <f t="shared" si="10"/>
        <v>1</v>
      </c>
      <c r="BD48" s="111">
        <f t="shared" si="11"/>
        <v>0</v>
      </c>
    </row>
    <row r="49">
      <c r="A49" s="95">
        <v>3.0</v>
      </c>
      <c r="B49" s="47" t="s">
        <v>349</v>
      </c>
      <c r="C49" s="137" t="s">
        <v>350</v>
      </c>
      <c r="D49" s="139" t="s">
        <v>28</v>
      </c>
      <c r="E49" s="144"/>
      <c r="F49" s="144"/>
      <c r="G49" s="128"/>
      <c r="H49" s="128"/>
      <c r="I49" s="96"/>
      <c r="J49" s="128"/>
      <c r="K49" s="96"/>
      <c r="L49" s="96"/>
      <c r="M49" s="82"/>
      <c r="N49" s="96"/>
      <c r="O49" s="96"/>
      <c r="P49" s="96"/>
      <c r="Q49" s="96"/>
      <c r="R49" s="96"/>
      <c r="S49" s="43"/>
      <c r="T49" s="45"/>
      <c r="U49" s="45"/>
      <c r="V49" s="45"/>
      <c r="W49" s="45"/>
      <c r="X49" s="45"/>
      <c r="Y49" s="45"/>
      <c r="Z49" s="45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110">
        <f t="shared" si="7"/>
        <v>0</v>
      </c>
      <c r="BA49" s="110">
        <f t="shared" si="8"/>
        <v>0</v>
      </c>
      <c r="BB49" s="110">
        <f t="shared" si="9"/>
        <v>1</v>
      </c>
      <c r="BC49" s="110">
        <f t="shared" si="10"/>
        <v>1</v>
      </c>
      <c r="BD49" s="111">
        <f t="shared" si="11"/>
        <v>100</v>
      </c>
    </row>
    <row r="50">
      <c r="A50" s="95">
        <v>4.0</v>
      </c>
      <c r="B50" s="47" t="s">
        <v>217</v>
      </c>
      <c r="C50" s="137" t="s">
        <v>218</v>
      </c>
      <c r="D50" s="139" t="s">
        <v>28</v>
      </c>
      <c r="E50" s="144"/>
      <c r="F50" s="144"/>
      <c r="G50" s="128"/>
      <c r="H50" s="128"/>
      <c r="I50" s="96"/>
      <c r="J50" s="128"/>
      <c r="K50" s="96"/>
      <c r="L50" s="96"/>
      <c r="M50" s="82"/>
      <c r="N50" s="96"/>
      <c r="O50" s="96"/>
      <c r="P50" s="96"/>
      <c r="Q50" s="96"/>
      <c r="R50" s="96"/>
      <c r="S50" s="43"/>
      <c r="T50" s="45"/>
      <c r="U50" s="45"/>
      <c r="V50" s="45"/>
      <c r="W50" s="45"/>
      <c r="X50" s="45"/>
      <c r="Y50" s="45"/>
      <c r="Z50" s="45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110">
        <f t="shared" si="7"/>
        <v>0</v>
      </c>
      <c r="BA50" s="110">
        <f t="shared" si="8"/>
        <v>0</v>
      </c>
      <c r="BB50" s="110">
        <f t="shared" si="9"/>
        <v>1</v>
      </c>
      <c r="BC50" s="110">
        <f t="shared" si="10"/>
        <v>1</v>
      </c>
      <c r="BD50" s="111">
        <f t="shared" si="11"/>
        <v>100</v>
      </c>
    </row>
    <row r="51">
      <c r="A51" s="95">
        <v>5.0</v>
      </c>
      <c r="B51" s="47" t="s">
        <v>243</v>
      </c>
      <c r="C51" s="137" t="s">
        <v>244</v>
      </c>
      <c r="D51" s="139" t="s">
        <v>28</v>
      </c>
      <c r="E51" s="144"/>
      <c r="F51" s="144"/>
      <c r="G51" s="128"/>
      <c r="H51" s="128"/>
      <c r="I51" s="96"/>
      <c r="J51" s="128"/>
      <c r="K51" s="96"/>
      <c r="L51" s="96"/>
      <c r="M51" s="82"/>
      <c r="N51" s="96"/>
      <c r="O51" s="96"/>
      <c r="P51" s="96"/>
      <c r="Q51" s="96"/>
      <c r="R51" s="96"/>
      <c r="S51" s="43"/>
      <c r="T51" s="45"/>
      <c r="U51" s="45"/>
      <c r="V51" s="45"/>
      <c r="W51" s="45"/>
      <c r="X51" s="45"/>
      <c r="Y51" s="45"/>
      <c r="Z51" s="45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110">
        <f t="shared" si="7"/>
        <v>0</v>
      </c>
      <c r="BA51" s="110">
        <f t="shared" si="8"/>
        <v>0</v>
      </c>
      <c r="BB51" s="110">
        <f t="shared" si="9"/>
        <v>1</v>
      </c>
      <c r="BC51" s="110">
        <f t="shared" si="10"/>
        <v>1</v>
      </c>
      <c r="BD51" s="111">
        <f t="shared" si="11"/>
        <v>100</v>
      </c>
    </row>
    <row r="52">
      <c r="A52" s="95">
        <v>6.0</v>
      </c>
      <c r="B52" s="47" t="s">
        <v>271</v>
      </c>
      <c r="C52" s="137" t="s">
        <v>272</v>
      </c>
      <c r="D52" s="139" t="s">
        <v>28</v>
      </c>
      <c r="E52" s="144"/>
      <c r="F52" s="144"/>
      <c r="G52" s="128"/>
      <c r="H52" s="128"/>
      <c r="I52" s="96"/>
      <c r="J52" s="128"/>
      <c r="K52" s="96"/>
      <c r="L52" s="96"/>
      <c r="M52" s="82"/>
      <c r="N52" s="96"/>
      <c r="O52" s="96"/>
      <c r="P52" s="96"/>
      <c r="Q52" s="96"/>
      <c r="R52" s="96"/>
      <c r="S52" s="43"/>
      <c r="T52" s="45"/>
      <c r="U52" s="45"/>
      <c r="V52" s="45"/>
      <c r="W52" s="45"/>
      <c r="X52" s="45"/>
      <c r="Y52" s="45"/>
      <c r="Z52" s="45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110">
        <f t="shared" si="7"/>
        <v>0</v>
      </c>
      <c r="BA52" s="110">
        <f t="shared" si="8"/>
        <v>0</v>
      </c>
      <c r="BB52" s="110">
        <f t="shared" si="9"/>
        <v>1</v>
      </c>
      <c r="BC52" s="110">
        <f t="shared" si="10"/>
        <v>1</v>
      </c>
      <c r="BD52" s="111">
        <f t="shared" si="11"/>
        <v>100</v>
      </c>
    </row>
    <row r="53">
      <c r="A53" s="95">
        <v>7.0</v>
      </c>
      <c r="B53" s="47" t="s">
        <v>273</v>
      </c>
      <c r="C53" s="137" t="s">
        <v>274</v>
      </c>
      <c r="D53" s="139" t="s">
        <v>28</v>
      </c>
      <c r="E53" s="144"/>
      <c r="F53" s="144"/>
      <c r="G53" s="128"/>
      <c r="H53" s="128"/>
      <c r="I53" s="96"/>
      <c r="J53" s="128"/>
      <c r="K53" s="96"/>
      <c r="L53" s="96"/>
      <c r="M53" s="82"/>
      <c r="N53" s="96"/>
      <c r="O53" s="96"/>
      <c r="P53" s="96"/>
      <c r="Q53" s="96"/>
      <c r="R53" s="96"/>
      <c r="S53" s="43"/>
      <c r="T53" s="45"/>
      <c r="U53" s="45"/>
      <c r="V53" s="45"/>
      <c r="W53" s="45"/>
      <c r="X53" s="45"/>
      <c r="Y53" s="45"/>
      <c r="Z53" s="45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110">
        <f t="shared" si="7"/>
        <v>0</v>
      </c>
      <c r="BA53" s="110">
        <f t="shared" si="8"/>
        <v>0</v>
      </c>
      <c r="BB53" s="110">
        <f t="shared" si="9"/>
        <v>1</v>
      </c>
      <c r="BC53" s="110">
        <f t="shared" si="10"/>
        <v>1</v>
      </c>
      <c r="BD53" s="111">
        <f t="shared" si="11"/>
        <v>100</v>
      </c>
    </row>
    <row r="54">
      <c r="A54" s="95">
        <v>8.0</v>
      </c>
      <c r="B54" s="47" t="s">
        <v>173</v>
      </c>
      <c r="C54" s="137" t="s">
        <v>174</v>
      </c>
      <c r="D54" s="139" t="s">
        <v>28</v>
      </c>
      <c r="E54" s="144"/>
      <c r="F54" s="144"/>
      <c r="G54" s="128"/>
      <c r="H54" s="128"/>
      <c r="I54" s="96"/>
      <c r="J54" s="128"/>
      <c r="K54" s="96"/>
      <c r="L54" s="96"/>
      <c r="M54" s="82"/>
      <c r="N54" s="96"/>
      <c r="O54" s="96"/>
      <c r="P54" s="96"/>
      <c r="Q54" s="96"/>
      <c r="R54" s="96"/>
      <c r="S54" s="43"/>
      <c r="T54" s="45"/>
      <c r="U54" s="45"/>
      <c r="V54" s="45"/>
      <c r="W54" s="45"/>
      <c r="X54" s="45"/>
      <c r="Y54" s="45"/>
      <c r="Z54" s="45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110">
        <f t="shared" si="7"/>
        <v>0</v>
      </c>
      <c r="BA54" s="110">
        <f t="shared" si="8"/>
        <v>0</v>
      </c>
      <c r="BB54" s="110">
        <f t="shared" si="9"/>
        <v>1</v>
      </c>
      <c r="BC54" s="110">
        <f t="shared" si="10"/>
        <v>1</v>
      </c>
      <c r="BD54" s="111">
        <f t="shared" si="11"/>
        <v>100</v>
      </c>
    </row>
    <row r="55">
      <c r="A55" s="95">
        <v>9.0</v>
      </c>
      <c r="B55" s="47" t="s">
        <v>95</v>
      </c>
      <c r="C55" s="137" t="s">
        <v>96</v>
      </c>
      <c r="D55" s="139" t="s">
        <v>28</v>
      </c>
      <c r="E55" s="144"/>
      <c r="F55" s="144"/>
      <c r="G55" s="128"/>
      <c r="H55" s="128"/>
      <c r="I55" s="96"/>
      <c r="J55" s="128"/>
      <c r="K55" s="96"/>
      <c r="L55" s="96"/>
      <c r="M55" s="82"/>
      <c r="N55" s="96"/>
      <c r="O55" s="96"/>
      <c r="P55" s="96"/>
      <c r="Q55" s="96"/>
      <c r="R55" s="96"/>
      <c r="S55" s="43"/>
      <c r="T55" s="45"/>
      <c r="U55" s="45"/>
      <c r="V55" s="45"/>
      <c r="W55" s="45"/>
      <c r="X55" s="45"/>
      <c r="Y55" s="45"/>
      <c r="Z55" s="45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110">
        <f t="shared" si="7"/>
        <v>0</v>
      </c>
      <c r="BA55" s="110">
        <f t="shared" si="8"/>
        <v>0</v>
      </c>
      <c r="BB55" s="110">
        <f t="shared" si="9"/>
        <v>1</v>
      </c>
      <c r="BC55" s="110">
        <f t="shared" si="10"/>
        <v>1</v>
      </c>
      <c r="BD55" s="111">
        <f t="shared" si="11"/>
        <v>100</v>
      </c>
    </row>
    <row r="56">
      <c r="A56" s="95">
        <v>10.0</v>
      </c>
      <c r="B56" s="47" t="s">
        <v>31</v>
      </c>
      <c r="C56" s="137" t="s">
        <v>32</v>
      </c>
      <c r="D56" s="139" t="s">
        <v>28</v>
      </c>
      <c r="E56" s="144"/>
      <c r="F56" s="144"/>
      <c r="G56" s="128"/>
      <c r="H56" s="128"/>
      <c r="I56" s="96"/>
      <c r="J56" s="128"/>
      <c r="K56" s="96"/>
      <c r="L56" s="96"/>
      <c r="M56" s="82"/>
      <c r="N56" s="96"/>
      <c r="O56" s="96"/>
      <c r="P56" s="96"/>
      <c r="Q56" s="96"/>
      <c r="R56" s="96"/>
      <c r="S56" s="43"/>
      <c r="T56" s="45"/>
      <c r="U56" s="45"/>
      <c r="V56" s="45"/>
      <c r="W56" s="45"/>
      <c r="X56" s="45"/>
      <c r="Y56" s="45"/>
      <c r="Z56" s="45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110">
        <f t="shared" si="7"/>
        <v>0</v>
      </c>
      <c r="BA56" s="110">
        <f t="shared" si="8"/>
        <v>0</v>
      </c>
      <c r="BB56" s="110">
        <f t="shared" si="9"/>
        <v>1</v>
      </c>
      <c r="BC56" s="110">
        <f t="shared" si="10"/>
        <v>1</v>
      </c>
      <c r="BD56" s="111">
        <f t="shared" si="11"/>
        <v>100</v>
      </c>
    </row>
    <row r="57">
      <c r="A57" s="95">
        <v>11.0</v>
      </c>
      <c r="B57" s="47" t="s">
        <v>523</v>
      </c>
      <c r="C57" s="137" t="s">
        <v>178</v>
      </c>
      <c r="D57" s="140" t="s">
        <v>22</v>
      </c>
      <c r="E57" s="144"/>
      <c r="F57" s="144"/>
      <c r="G57" s="128"/>
      <c r="H57" s="128"/>
      <c r="I57" s="96"/>
      <c r="J57" s="128"/>
      <c r="K57" s="96"/>
      <c r="L57" s="96"/>
      <c r="M57" s="82"/>
      <c r="N57" s="96"/>
      <c r="O57" s="96"/>
      <c r="P57" s="96"/>
      <c r="Q57" s="96"/>
      <c r="R57" s="96"/>
      <c r="S57" s="43"/>
      <c r="T57" s="45"/>
      <c r="U57" s="45"/>
      <c r="V57" s="45"/>
      <c r="W57" s="45"/>
      <c r="X57" s="45"/>
      <c r="Y57" s="45"/>
      <c r="Z57" s="45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110">
        <f t="shared" si="7"/>
        <v>0</v>
      </c>
      <c r="BA57" s="110">
        <f t="shared" si="8"/>
        <v>1</v>
      </c>
      <c r="BB57" s="110">
        <f t="shared" si="9"/>
        <v>0</v>
      </c>
      <c r="BC57" s="110">
        <f t="shared" si="10"/>
        <v>1</v>
      </c>
      <c r="BD57" s="111">
        <f t="shared" si="11"/>
        <v>0</v>
      </c>
    </row>
    <row r="58">
      <c r="A58" s="95">
        <v>12.0</v>
      </c>
      <c r="B58" s="47" t="s">
        <v>269</v>
      </c>
      <c r="C58" s="137" t="s">
        <v>270</v>
      </c>
      <c r="D58" s="139" t="s">
        <v>28</v>
      </c>
      <c r="E58" s="144"/>
      <c r="F58" s="144"/>
      <c r="G58" s="128"/>
      <c r="H58" s="128"/>
      <c r="I58" s="96"/>
      <c r="J58" s="128"/>
      <c r="K58" s="96"/>
      <c r="L58" s="96"/>
      <c r="M58" s="82"/>
      <c r="N58" s="96"/>
      <c r="O58" s="96"/>
      <c r="P58" s="96"/>
      <c r="Q58" s="96"/>
      <c r="R58" s="96"/>
      <c r="S58" s="43"/>
      <c r="T58" s="45"/>
      <c r="U58" s="45"/>
      <c r="V58" s="45"/>
      <c r="W58" s="45"/>
      <c r="X58" s="45"/>
      <c r="Y58" s="45"/>
      <c r="Z58" s="45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110">
        <f t="shared" si="7"/>
        <v>0</v>
      </c>
      <c r="BA58" s="110">
        <f t="shared" si="8"/>
        <v>0</v>
      </c>
      <c r="BB58" s="110">
        <f t="shared" si="9"/>
        <v>1</v>
      </c>
      <c r="BC58" s="110">
        <f t="shared" si="10"/>
        <v>1</v>
      </c>
      <c r="BD58" s="111">
        <f t="shared" si="11"/>
        <v>100</v>
      </c>
    </row>
    <row r="59">
      <c r="A59" s="95">
        <v>13.0</v>
      </c>
      <c r="B59" s="47" t="s">
        <v>225</v>
      </c>
      <c r="C59" s="137" t="s">
        <v>226</v>
      </c>
      <c r="D59" s="140" t="s">
        <v>22</v>
      </c>
      <c r="E59" s="144"/>
      <c r="F59" s="144"/>
      <c r="G59" s="128"/>
      <c r="H59" s="128"/>
      <c r="I59" s="96"/>
      <c r="J59" s="128"/>
      <c r="K59" s="96"/>
      <c r="L59" s="96"/>
      <c r="M59" s="82"/>
      <c r="N59" s="96"/>
      <c r="O59" s="96"/>
      <c r="P59" s="96"/>
      <c r="Q59" s="96"/>
      <c r="R59" s="96"/>
      <c r="S59" s="43"/>
      <c r="T59" s="45"/>
      <c r="U59" s="45"/>
      <c r="V59" s="45"/>
      <c r="W59" s="45"/>
      <c r="X59" s="45"/>
      <c r="Y59" s="45"/>
      <c r="Z59" s="45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110">
        <f t="shared" si="7"/>
        <v>0</v>
      </c>
      <c r="BA59" s="110">
        <f t="shared" si="8"/>
        <v>1</v>
      </c>
      <c r="BB59" s="110">
        <f t="shared" si="9"/>
        <v>0</v>
      </c>
      <c r="BC59" s="110">
        <f t="shared" si="10"/>
        <v>1</v>
      </c>
      <c r="BD59" s="111">
        <f t="shared" si="11"/>
        <v>0</v>
      </c>
    </row>
    <row r="60">
      <c r="A60" s="95">
        <v>14.0</v>
      </c>
      <c r="B60" s="47" t="s">
        <v>299</v>
      </c>
      <c r="C60" s="137" t="s">
        <v>300</v>
      </c>
      <c r="D60" s="140" t="s">
        <v>22</v>
      </c>
      <c r="E60" s="144"/>
      <c r="F60" s="144"/>
      <c r="G60" s="128"/>
      <c r="H60" s="128"/>
      <c r="I60" s="96"/>
      <c r="J60" s="128"/>
      <c r="K60" s="96"/>
      <c r="L60" s="96"/>
      <c r="M60" s="82"/>
      <c r="N60" s="96"/>
      <c r="O60" s="96"/>
      <c r="P60" s="96"/>
      <c r="Q60" s="96"/>
      <c r="R60" s="96"/>
      <c r="S60" s="43"/>
      <c r="T60" s="45"/>
      <c r="U60" s="45"/>
      <c r="V60" s="45"/>
      <c r="W60" s="45"/>
      <c r="X60" s="45"/>
      <c r="Y60" s="45"/>
      <c r="Z60" s="45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110">
        <f t="shared" si="7"/>
        <v>0</v>
      </c>
      <c r="BA60" s="110">
        <f t="shared" si="8"/>
        <v>1</v>
      </c>
      <c r="BB60" s="110">
        <f t="shared" si="9"/>
        <v>0</v>
      </c>
      <c r="BC60" s="110">
        <f t="shared" si="10"/>
        <v>1</v>
      </c>
      <c r="BD60" s="111">
        <f t="shared" si="11"/>
        <v>0</v>
      </c>
    </row>
    <row r="61">
      <c r="A61" s="95">
        <v>15.0</v>
      </c>
      <c r="B61" s="47" t="s">
        <v>169</v>
      </c>
      <c r="C61" s="137" t="s">
        <v>170</v>
      </c>
      <c r="D61" s="139" t="s">
        <v>28</v>
      </c>
      <c r="E61" s="144"/>
      <c r="F61" s="144"/>
      <c r="G61" s="128"/>
      <c r="H61" s="128"/>
      <c r="I61" s="96"/>
      <c r="J61" s="128"/>
      <c r="K61" s="96"/>
      <c r="L61" s="96"/>
      <c r="M61" s="82"/>
      <c r="N61" s="96"/>
      <c r="O61" s="96"/>
      <c r="P61" s="96"/>
      <c r="Q61" s="96"/>
      <c r="R61" s="96"/>
      <c r="S61" s="43"/>
      <c r="T61" s="45"/>
      <c r="U61" s="45"/>
      <c r="V61" s="45"/>
      <c r="W61" s="45"/>
      <c r="X61" s="45"/>
      <c r="Y61" s="45"/>
      <c r="Z61" s="45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110">
        <f t="shared" si="7"/>
        <v>0</v>
      </c>
      <c r="BA61" s="110">
        <f t="shared" si="8"/>
        <v>0</v>
      </c>
      <c r="BB61" s="110">
        <f t="shared" si="9"/>
        <v>1</v>
      </c>
      <c r="BC61" s="110">
        <f t="shared" si="10"/>
        <v>1</v>
      </c>
      <c r="BD61" s="111">
        <f t="shared" si="11"/>
        <v>100</v>
      </c>
    </row>
    <row r="62">
      <c r="A62" s="95">
        <v>16.0</v>
      </c>
      <c r="B62" s="47" t="s">
        <v>65</v>
      </c>
      <c r="C62" s="137" t="s">
        <v>66</v>
      </c>
      <c r="D62" s="139" t="s">
        <v>28</v>
      </c>
      <c r="E62" s="144"/>
      <c r="F62" s="144"/>
      <c r="G62" s="128"/>
      <c r="H62" s="128"/>
      <c r="I62" s="96"/>
      <c r="J62" s="128"/>
      <c r="K62" s="96"/>
      <c r="L62" s="96"/>
      <c r="M62" s="82"/>
      <c r="N62" s="96"/>
      <c r="O62" s="96"/>
      <c r="P62" s="96"/>
      <c r="Q62" s="96"/>
      <c r="R62" s="96"/>
      <c r="S62" s="43"/>
      <c r="T62" s="45"/>
      <c r="U62" s="45"/>
      <c r="V62" s="45"/>
      <c r="W62" s="45"/>
      <c r="X62" s="45"/>
      <c r="Y62" s="45"/>
      <c r="Z62" s="45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110">
        <f t="shared" si="7"/>
        <v>0</v>
      </c>
      <c r="BA62" s="110">
        <f t="shared" si="8"/>
        <v>0</v>
      </c>
      <c r="BB62" s="110">
        <f t="shared" si="9"/>
        <v>1</v>
      </c>
      <c r="BC62" s="110">
        <f t="shared" si="10"/>
        <v>1</v>
      </c>
      <c r="BD62" s="111">
        <f t="shared" si="11"/>
        <v>100</v>
      </c>
    </row>
    <row r="63">
      <c r="A63" s="95">
        <v>17.0</v>
      </c>
      <c r="B63" s="47" t="s">
        <v>227</v>
      </c>
      <c r="C63" s="137" t="s">
        <v>228</v>
      </c>
      <c r="D63" s="139" t="s">
        <v>28</v>
      </c>
      <c r="E63" s="144"/>
      <c r="F63" s="144"/>
      <c r="G63" s="128"/>
      <c r="H63" s="128"/>
      <c r="I63" s="96"/>
      <c r="J63" s="128"/>
      <c r="K63" s="96"/>
      <c r="L63" s="96"/>
      <c r="M63" s="82"/>
      <c r="N63" s="96"/>
      <c r="O63" s="96"/>
      <c r="P63" s="96"/>
      <c r="Q63" s="96"/>
      <c r="R63" s="96"/>
      <c r="S63" s="43"/>
      <c r="T63" s="45"/>
      <c r="U63" s="45"/>
      <c r="V63" s="45"/>
      <c r="W63" s="45"/>
      <c r="X63" s="45"/>
      <c r="Y63" s="45"/>
      <c r="Z63" s="45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110">
        <f t="shared" si="7"/>
        <v>0</v>
      </c>
      <c r="BA63" s="110">
        <f t="shared" si="8"/>
        <v>0</v>
      </c>
      <c r="BB63" s="110">
        <f t="shared" si="9"/>
        <v>1</v>
      </c>
      <c r="BC63" s="110">
        <f t="shared" si="10"/>
        <v>1</v>
      </c>
      <c r="BD63" s="111">
        <f t="shared" si="11"/>
        <v>100</v>
      </c>
    </row>
    <row r="64">
      <c r="A64" s="95">
        <v>18.0</v>
      </c>
      <c r="B64" s="47" t="s">
        <v>303</v>
      </c>
      <c r="C64" s="137" t="s">
        <v>304</v>
      </c>
      <c r="D64" s="139" t="s">
        <v>28</v>
      </c>
      <c r="E64" s="144"/>
      <c r="F64" s="144"/>
      <c r="G64" s="128"/>
      <c r="H64" s="128"/>
      <c r="I64" s="96"/>
      <c r="J64" s="128"/>
      <c r="K64" s="96"/>
      <c r="L64" s="96"/>
      <c r="M64" s="82"/>
      <c r="N64" s="96"/>
      <c r="O64" s="96"/>
      <c r="P64" s="96"/>
      <c r="Q64" s="96"/>
      <c r="R64" s="96"/>
      <c r="S64" s="43"/>
      <c r="T64" s="45"/>
      <c r="U64" s="45"/>
      <c r="V64" s="45"/>
      <c r="W64" s="45"/>
      <c r="X64" s="45"/>
      <c r="Y64" s="45"/>
      <c r="Z64" s="45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110">
        <f t="shared" si="7"/>
        <v>0</v>
      </c>
      <c r="BA64" s="110">
        <f t="shared" si="8"/>
        <v>0</v>
      </c>
      <c r="BB64" s="110">
        <f t="shared" si="9"/>
        <v>1</v>
      </c>
      <c r="BC64" s="110">
        <f t="shared" si="10"/>
        <v>1</v>
      </c>
      <c r="BD64" s="111">
        <f t="shared" si="11"/>
        <v>100</v>
      </c>
    </row>
    <row r="65">
      <c r="A65" s="95">
        <v>19.0</v>
      </c>
      <c r="B65" s="47" t="s">
        <v>307</v>
      </c>
      <c r="C65" s="137" t="s">
        <v>308</v>
      </c>
      <c r="D65" s="139" t="s">
        <v>28</v>
      </c>
      <c r="E65" s="144"/>
      <c r="F65" s="144"/>
      <c r="G65" s="128"/>
      <c r="H65" s="128"/>
      <c r="I65" s="96"/>
      <c r="J65" s="128"/>
      <c r="K65" s="96"/>
      <c r="L65" s="96"/>
      <c r="M65" s="82"/>
      <c r="N65" s="96"/>
      <c r="O65" s="96"/>
      <c r="P65" s="96"/>
      <c r="Q65" s="96"/>
      <c r="R65" s="96"/>
      <c r="S65" s="43"/>
      <c r="T65" s="45"/>
      <c r="U65" s="45"/>
      <c r="V65" s="45"/>
      <c r="W65" s="45"/>
      <c r="X65" s="45"/>
      <c r="Y65" s="45"/>
      <c r="Z65" s="45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110">
        <f t="shared" si="7"/>
        <v>0</v>
      </c>
      <c r="BA65" s="110">
        <f t="shared" si="8"/>
        <v>0</v>
      </c>
      <c r="BB65" s="110">
        <f t="shared" si="9"/>
        <v>1</v>
      </c>
      <c r="BC65" s="110">
        <f t="shared" si="10"/>
        <v>1</v>
      </c>
      <c r="BD65" s="111">
        <f t="shared" si="11"/>
        <v>100</v>
      </c>
    </row>
    <row r="66">
      <c r="A66" s="95">
        <v>20.0</v>
      </c>
      <c r="B66" s="47" t="s">
        <v>261</v>
      </c>
      <c r="C66" s="137" t="s">
        <v>262</v>
      </c>
      <c r="D66" s="140" t="s">
        <v>22</v>
      </c>
      <c r="E66" s="144"/>
      <c r="F66" s="144"/>
      <c r="G66" s="128"/>
      <c r="H66" s="128"/>
      <c r="I66" s="96"/>
      <c r="J66" s="128"/>
      <c r="K66" s="96"/>
      <c r="L66" s="96"/>
      <c r="M66" s="82"/>
      <c r="N66" s="96"/>
      <c r="O66" s="96"/>
      <c r="P66" s="96"/>
      <c r="Q66" s="96"/>
      <c r="R66" s="96"/>
      <c r="S66" s="43"/>
      <c r="T66" s="45"/>
      <c r="U66" s="45"/>
      <c r="V66" s="45"/>
      <c r="W66" s="45"/>
      <c r="X66" s="45"/>
      <c r="Y66" s="45"/>
      <c r="Z66" s="45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110">
        <f t="shared" si="7"/>
        <v>0</v>
      </c>
      <c r="BA66" s="110">
        <f t="shared" si="8"/>
        <v>1</v>
      </c>
      <c r="BB66" s="110">
        <f t="shared" si="9"/>
        <v>0</v>
      </c>
      <c r="BC66" s="110">
        <f t="shared" si="10"/>
        <v>1</v>
      </c>
      <c r="BD66" s="111">
        <f t="shared" si="11"/>
        <v>0</v>
      </c>
    </row>
    <row r="67">
      <c r="A67" s="95">
        <v>21.0</v>
      </c>
      <c r="B67" s="47" t="s">
        <v>97</v>
      </c>
      <c r="C67" s="137" t="s">
        <v>98</v>
      </c>
      <c r="D67" s="140" t="s">
        <v>22</v>
      </c>
      <c r="E67" s="144"/>
      <c r="F67" s="144"/>
      <c r="G67" s="128"/>
      <c r="H67" s="128"/>
      <c r="I67" s="96"/>
      <c r="J67" s="128"/>
      <c r="K67" s="96"/>
      <c r="L67" s="96"/>
      <c r="M67" s="82"/>
      <c r="N67" s="96"/>
      <c r="O67" s="96"/>
      <c r="P67" s="96"/>
      <c r="Q67" s="96"/>
      <c r="R67" s="96"/>
      <c r="S67" s="43"/>
      <c r="T67" s="45"/>
      <c r="U67" s="45"/>
      <c r="V67" s="45"/>
      <c r="W67" s="45"/>
      <c r="X67" s="45"/>
      <c r="Y67" s="45"/>
      <c r="Z67" s="45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110">
        <f t="shared" si="7"/>
        <v>0</v>
      </c>
      <c r="BA67" s="110">
        <f t="shared" si="8"/>
        <v>1</v>
      </c>
      <c r="BB67" s="110">
        <f t="shared" si="9"/>
        <v>0</v>
      </c>
      <c r="BC67" s="110">
        <f t="shared" si="10"/>
        <v>1</v>
      </c>
      <c r="BD67" s="111">
        <f t="shared" si="11"/>
        <v>0</v>
      </c>
    </row>
    <row r="68">
      <c r="A68" s="95">
        <v>22.0</v>
      </c>
      <c r="B68" s="47" t="s">
        <v>167</v>
      </c>
      <c r="C68" s="137" t="s">
        <v>168</v>
      </c>
      <c r="D68" s="139" t="s">
        <v>28</v>
      </c>
      <c r="E68" s="144"/>
      <c r="F68" s="144"/>
      <c r="G68" s="128"/>
      <c r="H68" s="128"/>
      <c r="I68" s="96"/>
      <c r="J68" s="128"/>
      <c r="K68" s="96"/>
      <c r="L68" s="96"/>
      <c r="M68" s="82"/>
      <c r="N68" s="96"/>
      <c r="O68" s="96"/>
      <c r="P68" s="96"/>
      <c r="Q68" s="96"/>
      <c r="R68" s="96"/>
      <c r="S68" s="43"/>
      <c r="T68" s="45"/>
      <c r="U68" s="45"/>
      <c r="V68" s="45"/>
      <c r="W68" s="45"/>
      <c r="X68" s="45"/>
      <c r="Y68" s="45"/>
      <c r="Z68" s="45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110">
        <f t="shared" si="7"/>
        <v>0</v>
      </c>
      <c r="BA68" s="110">
        <f t="shared" si="8"/>
        <v>0</v>
      </c>
      <c r="BB68" s="110">
        <f t="shared" si="9"/>
        <v>1</v>
      </c>
      <c r="BC68" s="110">
        <f t="shared" si="10"/>
        <v>1</v>
      </c>
      <c r="BD68" s="111">
        <f t="shared" si="11"/>
        <v>100</v>
      </c>
    </row>
    <row r="69">
      <c r="A69" s="95">
        <v>23.0</v>
      </c>
      <c r="B69" s="47" t="s">
        <v>87</v>
      </c>
      <c r="C69" s="137" t="s">
        <v>88</v>
      </c>
      <c r="D69" s="139" t="s">
        <v>28</v>
      </c>
      <c r="E69" s="144"/>
      <c r="F69" s="144"/>
      <c r="G69" s="128"/>
      <c r="H69" s="128"/>
      <c r="I69" s="96"/>
      <c r="J69" s="128"/>
      <c r="K69" s="96"/>
      <c r="L69" s="96"/>
      <c r="M69" s="82"/>
      <c r="N69" s="96"/>
      <c r="O69" s="96"/>
      <c r="P69" s="96"/>
      <c r="Q69" s="96"/>
      <c r="R69" s="96"/>
      <c r="S69" s="43"/>
      <c r="T69" s="45"/>
      <c r="U69" s="45"/>
      <c r="V69" s="45"/>
      <c r="W69" s="45"/>
      <c r="X69" s="45"/>
      <c r="Y69" s="45"/>
      <c r="Z69" s="45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110">
        <f t="shared" si="7"/>
        <v>0</v>
      </c>
      <c r="BA69" s="110">
        <f t="shared" si="8"/>
        <v>0</v>
      </c>
      <c r="BB69" s="110">
        <f t="shared" si="9"/>
        <v>1</v>
      </c>
      <c r="BC69" s="110">
        <f t="shared" si="10"/>
        <v>1</v>
      </c>
      <c r="BD69" s="111">
        <f t="shared" si="11"/>
        <v>100</v>
      </c>
    </row>
    <row r="70">
      <c r="A70" s="95">
        <v>24.0</v>
      </c>
      <c r="B70" s="47" t="s">
        <v>137</v>
      </c>
      <c r="C70" s="137" t="s">
        <v>138</v>
      </c>
      <c r="D70" s="139" t="s">
        <v>28</v>
      </c>
      <c r="E70" s="144"/>
      <c r="F70" s="144"/>
      <c r="G70" s="128"/>
      <c r="H70" s="128"/>
      <c r="I70" s="96"/>
      <c r="J70" s="128"/>
      <c r="K70" s="96"/>
      <c r="L70" s="96"/>
      <c r="M70" s="82"/>
      <c r="N70" s="96"/>
      <c r="O70" s="96"/>
      <c r="P70" s="96"/>
      <c r="Q70" s="96"/>
      <c r="R70" s="96"/>
      <c r="S70" s="43"/>
      <c r="T70" s="45"/>
      <c r="U70" s="45"/>
      <c r="V70" s="45"/>
      <c r="W70" s="45"/>
      <c r="X70" s="45"/>
      <c r="Y70" s="45"/>
      <c r="Z70" s="45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110">
        <f t="shared" si="7"/>
        <v>0</v>
      </c>
      <c r="BA70" s="110">
        <f t="shared" si="8"/>
        <v>0</v>
      </c>
      <c r="BB70" s="110">
        <f t="shared" si="9"/>
        <v>1</v>
      </c>
      <c r="BC70" s="110">
        <f t="shared" si="10"/>
        <v>1</v>
      </c>
      <c r="BD70" s="111">
        <f t="shared" si="11"/>
        <v>100</v>
      </c>
    </row>
    <row r="71">
      <c r="A71" s="95">
        <v>25.0</v>
      </c>
      <c r="B71" s="47" t="s">
        <v>231</v>
      </c>
      <c r="C71" s="137" t="s">
        <v>232</v>
      </c>
      <c r="D71" s="139" t="s">
        <v>28</v>
      </c>
      <c r="E71" s="144"/>
      <c r="F71" s="144"/>
      <c r="G71" s="128"/>
      <c r="H71" s="128"/>
      <c r="I71" s="96"/>
      <c r="J71" s="128"/>
      <c r="K71" s="96"/>
      <c r="L71" s="96"/>
      <c r="M71" s="82"/>
      <c r="N71" s="96"/>
      <c r="O71" s="96"/>
      <c r="P71" s="96"/>
      <c r="Q71" s="96"/>
      <c r="R71" s="96"/>
      <c r="S71" s="43"/>
      <c r="T71" s="45"/>
      <c r="U71" s="45"/>
      <c r="V71" s="45"/>
      <c r="W71" s="45"/>
      <c r="X71" s="45"/>
      <c r="Y71" s="45"/>
      <c r="Z71" s="45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110">
        <f t="shared" si="7"/>
        <v>0</v>
      </c>
      <c r="BA71" s="110">
        <f t="shared" si="8"/>
        <v>0</v>
      </c>
      <c r="BB71" s="110">
        <f t="shared" si="9"/>
        <v>1</v>
      </c>
      <c r="BC71" s="110">
        <f t="shared" si="10"/>
        <v>1</v>
      </c>
      <c r="BD71" s="111">
        <f t="shared" si="11"/>
        <v>100</v>
      </c>
    </row>
    <row r="72">
      <c r="A72" s="95">
        <v>26.0</v>
      </c>
      <c r="B72" s="47" t="s">
        <v>361</v>
      </c>
      <c r="C72" s="137" t="s">
        <v>362</v>
      </c>
      <c r="D72" s="140" t="s">
        <v>22</v>
      </c>
      <c r="E72" s="144"/>
      <c r="F72" s="144"/>
      <c r="G72" s="128"/>
      <c r="H72" s="128"/>
      <c r="I72" s="96"/>
      <c r="J72" s="128"/>
      <c r="K72" s="96"/>
      <c r="L72" s="96"/>
      <c r="M72" s="82"/>
      <c r="N72" s="96"/>
      <c r="O72" s="96"/>
      <c r="P72" s="96"/>
      <c r="Q72" s="96"/>
      <c r="R72" s="96"/>
      <c r="S72" s="43"/>
      <c r="T72" s="45"/>
      <c r="U72" s="45"/>
      <c r="V72" s="45"/>
      <c r="W72" s="45"/>
      <c r="X72" s="45"/>
      <c r="Y72" s="45"/>
      <c r="Z72" s="45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110">
        <f t="shared" si="7"/>
        <v>0</v>
      </c>
      <c r="BA72" s="110">
        <f t="shared" si="8"/>
        <v>1</v>
      </c>
      <c r="BB72" s="110">
        <f t="shared" si="9"/>
        <v>0</v>
      </c>
      <c r="BC72" s="110">
        <f t="shared" si="10"/>
        <v>1</v>
      </c>
      <c r="BD72" s="111">
        <f t="shared" si="11"/>
        <v>0</v>
      </c>
    </row>
    <row r="73">
      <c r="A73" s="95">
        <v>27.0</v>
      </c>
      <c r="B73" s="47" t="s">
        <v>93</v>
      </c>
      <c r="C73" s="137" t="s">
        <v>94</v>
      </c>
      <c r="D73" s="139" t="s">
        <v>28</v>
      </c>
      <c r="E73" s="144"/>
      <c r="F73" s="144"/>
      <c r="G73" s="128"/>
      <c r="H73" s="128"/>
      <c r="I73" s="96"/>
      <c r="J73" s="128"/>
      <c r="K73" s="96"/>
      <c r="L73" s="96"/>
      <c r="M73" s="82"/>
      <c r="N73" s="96"/>
      <c r="O73" s="96"/>
      <c r="P73" s="96"/>
      <c r="Q73" s="96"/>
      <c r="R73" s="96"/>
      <c r="S73" s="43"/>
      <c r="T73" s="45"/>
      <c r="U73" s="45"/>
      <c r="V73" s="45"/>
      <c r="W73" s="45"/>
      <c r="X73" s="45"/>
      <c r="Y73" s="45"/>
      <c r="Z73" s="45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110">
        <f t="shared" si="7"/>
        <v>0</v>
      </c>
      <c r="BA73" s="110">
        <f t="shared" si="8"/>
        <v>0</v>
      </c>
      <c r="BB73" s="110">
        <f t="shared" si="9"/>
        <v>1</v>
      </c>
      <c r="BC73" s="110">
        <f t="shared" si="10"/>
        <v>1</v>
      </c>
      <c r="BD73" s="111">
        <f t="shared" si="11"/>
        <v>100</v>
      </c>
    </row>
    <row r="74">
      <c r="A74" s="95">
        <v>28.0</v>
      </c>
      <c r="B74" s="47" t="s">
        <v>289</v>
      </c>
      <c r="C74" s="137" t="s">
        <v>290</v>
      </c>
      <c r="D74" s="139" t="s">
        <v>28</v>
      </c>
      <c r="E74" s="144"/>
      <c r="F74" s="144"/>
      <c r="G74" s="128"/>
      <c r="H74" s="128"/>
      <c r="I74" s="96"/>
      <c r="J74" s="128"/>
      <c r="K74" s="96"/>
      <c r="L74" s="96"/>
      <c r="M74" s="82"/>
      <c r="N74" s="96"/>
      <c r="O74" s="96"/>
      <c r="P74" s="96"/>
      <c r="Q74" s="96"/>
      <c r="R74" s="96"/>
      <c r="S74" s="43"/>
      <c r="T74" s="45"/>
      <c r="U74" s="45"/>
      <c r="V74" s="45"/>
      <c r="W74" s="45"/>
      <c r="X74" s="45"/>
      <c r="Y74" s="45"/>
      <c r="Z74" s="45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110">
        <f t="shared" si="7"/>
        <v>0</v>
      </c>
      <c r="BA74" s="110">
        <f t="shared" si="8"/>
        <v>0</v>
      </c>
      <c r="BB74" s="110">
        <f t="shared" si="9"/>
        <v>1</v>
      </c>
      <c r="BC74" s="110">
        <f t="shared" si="10"/>
        <v>1</v>
      </c>
      <c r="BD74" s="111">
        <f t="shared" si="11"/>
        <v>100</v>
      </c>
    </row>
    <row r="75">
      <c r="A75" s="95">
        <v>29.0</v>
      </c>
      <c r="B75" s="47" t="s">
        <v>317</v>
      </c>
      <c r="C75" s="137" t="s">
        <v>318</v>
      </c>
      <c r="D75" s="139" t="s">
        <v>28</v>
      </c>
      <c r="E75" s="144"/>
      <c r="F75" s="144"/>
      <c r="G75" s="128"/>
      <c r="H75" s="128"/>
      <c r="I75" s="96"/>
      <c r="J75" s="128"/>
      <c r="K75" s="96"/>
      <c r="L75" s="96"/>
      <c r="M75" s="82"/>
      <c r="N75" s="96"/>
      <c r="O75" s="96"/>
      <c r="P75" s="96"/>
      <c r="Q75" s="96"/>
      <c r="R75" s="96"/>
      <c r="S75" s="43"/>
      <c r="T75" s="45"/>
      <c r="U75" s="45"/>
      <c r="V75" s="45"/>
      <c r="W75" s="45"/>
      <c r="X75" s="45"/>
      <c r="Y75" s="45"/>
      <c r="Z75" s="45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110">
        <f t="shared" si="7"/>
        <v>0</v>
      </c>
      <c r="BA75" s="110">
        <f t="shared" si="8"/>
        <v>0</v>
      </c>
      <c r="BB75" s="110">
        <f t="shared" si="9"/>
        <v>1</v>
      </c>
      <c r="BC75" s="110">
        <f t="shared" si="10"/>
        <v>1</v>
      </c>
      <c r="BD75" s="111">
        <f t="shared" si="11"/>
        <v>100</v>
      </c>
    </row>
    <row r="76">
      <c r="A76" s="95">
        <v>30.0</v>
      </c>
      <c r="B76" s="47" t="s">
        <v>524</v>
      </c>
      <c r="C76" s="137" t="s">
        <v>278</v>
      </c>
      <c r="D76" s="139" t="s">
        <v>28</v>
      </c>
      <c r="E76" s="144"/>
      <c r="F76" s="144"/>
      <c r="G76" s="128"/>
      <c r="H76" s="128"/>
      <c r="I76" s="96"/>
      <c r="J76" s="128"/>
      <c r="K76" s="96"/>
      <c r="L76" s="96"/>
      <c r="M76" s="82"/>
      <c r="N76" s="96"/>
      <c r="O76" s="96"/>
      <c r="P76" s="96"/>
      <c r="Q76" s="96"/>
      <c r="R76" s="96"/>
      <c r="S76" s="43"/>
      <c r="T76" s="45"/>
      <c r="U76" s="45"/>
      <c r="V76" s="45"/>
      <c r="W76" s="45"/>
      <c r="X76" s="45"/>
      <c r="Y76" s="45"/>
      <c r="Z76" s="45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110">
        <f t="shared" si="7"/>
        <v>0</v>
      </c>
      <c r="BA76" s="110">
        <f t="shared" si="8"/>
        <v>0</v>
      </c>
      <c r="BB76" s="110">
        <f t="shared" si="9"/>
        <v>1</v>
      </c>
      <c r="BC76" s="110">
        <f t="shared" si="10"/>
        <v>1</v>
      </c>
      <c r="BD76" s="111">
        <f t="shared" si="11"/>
        <v>100</v>
      </c>
    </row>
    <row r="77">
      <c r="A77" s="95">
        <v>31.0</v>
      </c>
      <c r="B77" s="47" t="s">
        <v>313</v>
      </c>
      <c r="C77" s="137" t="s">
        <v>314</v>
      </c>
      <c r="D77" s="139" t="s">
        <v>28</v>
      </c>
      <c r="E77" s="144"/>
      <c r="F77" s="144"/>
      <c r="G77" s="128"/>
      <c r="H77" s="128"/>
      <c r="I77" s="96"/>
      <c r="J77" s="128"/>
      <c r="K77" s="96"/>
      <c r="L77" s="96"/>
      <c r="M77" s="82"/>
      <c r="N77" s="96"/>
      <c r="O77" s="96"/>
      <c r="P77" s="96"/>
      <c r="Q77" s="96"/>
      <c r="R77" s="96"/>
      <c r="S77" s="43"/>
      <c r="T77" s="45"/>
      <c r="U77" s="45"/>
      <c r="V77" s="45"/>
      <c r="W77" s="45"/>
      <c r="X77" s="45"/>
      <c r="Y77" s="45"/>
      <c r="Z77" s="45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110">
        <f t="shared" si="7"/>
        <v>0</v>
      </c>
      <c r="BA77" s="110">
        <f t="shared" si="8"/>
        <v>0</v>
      </c>
      <c r="BB77" s="110">
        <f t="shared" si="9"/>
        <v>1</v>
      </c>
      <c r="BC77" s="110">
        <f t="shared" si="10"/>
        <v>1</v>
      </c>
      <c r="BD77" s="111">
        <f t="shared" si="11"/>
        <v>100</v>
      </c>
    </row>
    <row r="78">
      <c r="A78" s="95">
        <v>32.0</v>
      </c>
      <c r="B78" s="47" t="s">
        <v>209</v>
      </c>
      <c r="C78" s="137" t="s">
        <v>210</v>
      </c>
      <c r="D78" s="139" t="s">
        <v>28</v>
      </c>
      <c r="E78" s="144"/>
      <c r="F78" s="144"/>
      <c r="G78" s="128"/>
      <c r="H78" s="128"/>
      <c r="I78" s="96"/>
      <c r="J78" s="128"/>
      <c r="K78" s="96"/>
      <c r="L78" s="96"/>
      <c r="M78" s="82"/>
      <c r="N78" s="96"/>
      <c r="O78" s="96"/>
      <c r="P78" s="96"/>
      <c r="Q78" s="96"/>
      <c r="R78" s="96"/>
      <c r="S78" s="43"/>
      <c r="T78" s="45"/>
      <c r="U78" s="45"/>
      <c r="V78" s="45"/>
      <c r="W78" s="45"/>
      <c r="X78" s="45"/>
      <c r="Y78" s="45"/>
      <c r="Z78" s="45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110">
        <f t="shared" si="7"/>
        <v>0</v>
      </c>
      <c r="BA78" s="110">
        <f t="shared" si="8"/>
        <v>0</v>
      </c>
      <c r="BB78" s="110">
        <f t="shared" si="9"/>
        <v>1</v>
      </c>
      <c r="BC78" s="110">
        <f t="shared" si="10"/>
        <v>1</v>
      </c>
      <c r="BD78" s="111">
        <f t="shared" si="11"/>
        <v>100</v>
      </c>
    </row>
    <row r="79">
      <c r="A79" s="95">
        <v>33.0</v>
      </c>
      <c r="B79" s="47" t="s">
        <v>263</v>
      </c>
      <c r="C79" s="137" t="s">
        <v>264</v>
      </c>
      <c r="D79" s="140" t="s">
        <v>22</v>
      </c>
      <c r="E79" s="144"/>
      <c r="F79" s="144"/>
      <c r="G79" s="128"/>
      <c r="H79" s="128"/>
      <c r="I79" s="96"/>
      <c r="J79" s="128"/>
      <c r="K79" s="96"/>
      <c r="L79" s="96"/>
      <c r="M79" s="82"/>
      <c r="N79" s="96"/>
      <c r="O79" s="96"/>
      <c r="P79" s="96"/>
      <c r="Q79" s="96"/>
      <c r="R79" s="96"/>
      <c r="S79" s="43"/>
      <c r="T79" s="45"/>
      <c r="U79" s="45"/>
      <c r="V79" s="45"/>
      <c r="W79" s="45"/>
      <c r="X79" s="45"/>
      <c r="Y79" s="45"/>
      <c r="Z79" s="45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110">
        <f t="shared" si="7"/>
        <v>0</v>
      </c>
      <c r="BA79" s="110">
        <f t="shared" si="8"/>
        <v>1</v>
      </c>
      <c r="BB79" s="110">
        <f t="shared" si="9"/>
        <v>0</v>
      </c>
      <c r="BC79" s="110">
        <f t="shared" si="10"/>
        <v>1</v>
      </c>
      <c r="BD79" s="111">
        <f t="shared" si="11"/>
        <v>0</v>
      </c>
    </row>
    <row r="80">
      <c r="A80" s="95">
        <v>34.0</v>
      </c>
      <c r="B80" s="47" t="s">
        <v>275</v>
      </c>
      <c r="C80" s="137" t="s">
        <v>276</v>
      </c>
      <c r="D80" s="140" t="s">
        <v>22</v>
      </c>
      <c r="E80" s="144"/>
      <c r="F80" s="144"/>
      <c r="G80" s="128"/>
      <c r="H80" s="128"/>
      <c r="I80" s="96"/>
      <c r="J80" s="128"/>
      <c r="K80" s="96"/>
      <c r="L80" s="96"/>
      <c r="M80" s="82"/>
      <c r="N80" s="96"/>
      <c r="O80" s="96"/>
      <c r="P80" s="96"/>
      <c r="Q80" s="96"/>
      <c r="R80" s="96"/>
      <c r="S80" s="43"/>
      <c r="T80" s="45"/>
      <c r="U80" s="45"/>
      <c r="V80" s="45"/>
      <c r="W80" s="45"/>
      <c r="X80" s="45"/>
      <c r="Y80" s="45"/>
      <c r="Z80" s="45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110">
        <f t="shared" si="7"/>
        <v>0</v>
      </c>
      <c r="BA80" s="110">
        <f t="shared" si="8"/>
        <v>1</v>
      </c>
      <c r="BB80" s="110">
        <f t="shared" si="9"/>
        <v>0</v>
      </c>
      <c r="BC80" s="110">
        <f t="shared" si="10"/>
        <v>1</v>
      </c>
      <c r="BD80" s="111">
        <f t="shared" si="11"/>
        <v>0</v>
      </c>
    </row>
    <row r="81">
      <c r="A81" s="95">
        <v>35.0</v>
      </c>
      <c r="B81" s="47" t="s">
        <v>357</v>
      </c>
      <c r="C81" s="137" t="s">
        <v>358</v>
      </c>
      <c r="D81" s="139" t="s">
        <v>28</v>
      </c>
      <c r="E81" s="144"/>
      <c r="F81" s="144"/>
      <c r="G81" s="128"/>
      <c r="H81" s="128"/>
      <c r="I81" s="96"/>
      <c r="J81" s="128"/>
      <c r="K81" s="96"/>
      <c r="L81" s="96"/>
      <c r="M81" s="82"/>
      <c r="N81" s="96"/>
      <c r="O81" s="96"/>
      <c r="P81" s="96"/>
      <c r="Q81" s="96"/>
      <c r="R81" s="96"/>
      <c r="S81" s="43"/>
      <c r="T81" s="45"/>
      <c r="U81" s="45"/>
      <c r="V81" s="45"/>
      <c r="W81" s="45"/>
      <c r="X81" s="45"/>
      <c r="Y81" s="45"/>
      <c r="Z81" s="45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110">
        <f t="shared" si="7"/>
        <v>0</v>
      </c>
      <c r="BA81" s="110">
        <f t="shared" si="8"/>
        <v>0</v>
      </c>
      <c r="BB81" s="110">
        <f t="shared" si="9"/>
        <v>1</v>
      </c>
      <c r="BC81" s="110">
        <f t="shared" si="10"/>
        <v>1</v>
      </c>
      <c r="BD81" s="111">
        <f t="shared" si="11"/>
        <v>100</v>
      </c>
    </row>
    <row r="82">
      <c r="A82" s="95">
        <v>36.0</v>
      </c>
      <c r="B82" s="47" t="s">
        <v>75</v>
      </c>
      <c r="C82" s="137" t="s">
        <v>76</v>
      </c>
      <c r="D82" s="140" t="s">
        <v>22</v>
      </c>
      <c r="E82" s="144"/>
      <c r="F82" s="144"/>
      <c r="G82" s="128"/>
      <c r="H82" s="128"/>
      <c r="I82" s="96"/>
      <c r="J82" s="128"/>
      <c r="K82" s="96"/>
      <c r="L82" s="96"/>
      <c r="M82" s="82"/>
      <c r="N82" s="96"/>
      <c r="O82" s="96"/>
      <c r="P82" s="96"/>
      <c r="Q82" s="96"/>
      <c r="R82" s="96"/>
      <c r="S82" s="43"/>
      <c r="T82" s="45"/>
      <c r="U82" s="45"/>
      <c r="V82" s="45"/>
      <c r="W82" s="45"/>
      <c r="X82" s="45"/>
      <c r="Y82" s="45"/>
      <c r="Z82" s="45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110">
        <f t="shared" si="7"/>
        <v>0</v>
      </c>
      <c r="BA82" s="110">
        <f t="shared" si="8"/>
        <v>1</v>
      </c>
      <c r="BB82" s="110">
        <f t="shared" si="9"/>
        <v>0</v>
      </c>
      <c r="BC82" s="110">
        <f t="shared" si="10"/>
        <v>1</v>
      </c>
      <c r="BD82" s="111">
        <f t="shared" si="11"/>
        <v>0</v>
      </c>
    </row>
    <row r="83">
      <c r="A83" s="95">
        <v>37.0</v>
      </c>
      <c r="B83" s="47" t="s">
        <v>149</v>
      </c>
      <c r="C83" s="137" t="s">
        <v>150</v>
      </c>
      <c r="D83" s="139" t="s">
        <v>28</v>
      </c>
      <c r="E83" s="144"/>
      <c r="F83" s="144"/>
      <c r="G83" s="128"/>
      <c r="H83" s="128"/>
      <c r="I83" s="96"/>
      <c r="J83" s="128"/>
      <c r="K83" s="96"/>
      <c r="L83" s="96"/>
      <c r="M83" s="82"/>
      <c r="N83" s="96"/>
      <c r="O83" s="96"/>
      <c r="P83" s="96"/>
      <c r="Q83" s="96"/>
      <c r="R83" s="96"/>
      <c r="S83" s="43"/>
      <c r="T83" s="45"/>
      <c r="U83" s="45"/>
      <c r="V83" s="45"/>
      <c r="W83" s="45"/>
      <c r="X83" s="45"/>
      <c r="Y83" s="45"/>
      <c r="Z83" s="45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110">
        <f t="shared" si="7"/>
        <v>0</v>
      </c>
      <c r="BA83" s="110">
        <f t="shared" si="8"/>
        <v>0</v>
      </c>
      <c r="BB83" s="110">
        <f t="shared" si="9"/>
        <v>1</v>
      </c>
      <c r="BC83" s="110">
        <f t="shared" si="10"/>
        <v>1</v>
      </c>
      <c r="BD83" s="111">
        <f t="shared" si="11"/>
        <v>100</v>
      </c>
    </row>
    <row r="84">
      <c r="A84" s="95">
        <v>38.0</v>
      </c>
      <c r="B84" s="47" t="s">
        <v>221</v>
      </c>
      <c r="C84" s="137" t="s">
        <v>222</v>
      </c>
      <c r="D84" s="139" t="s">
        <v>28</v>
      </c>
      <c r="E84" s="144"/>
      <c r="F84" s="144"/>
      <c r="G84" s="128"/>
      <c r="H84" s="128"/>
      <c r="I84" s="96"/>
      <c r="J84" s="128"/>
      <c r="K84" s="96"/>
      <c r="L84" s="96"/>
      <c r="M84" s="82"/>
      <c r="N84" s="96"/>
      <c r="O84" s="96"/>
      <c r="P84" s="96"/>
      <c r="Q84" s="96"/>
      <c r="R84" s="96"/>
      <c r="S84" s="43"/>
      <c r="T84" s="45"/>
      <c r="U84" s="45"/>
      <c r="V84" s="45"/>
      <c r="W84" s="45"/>
      <c r="X84" s="45"/>
      <c r="Y84" s="45"/>
      <c r="Z84" s="45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110">
        <f t="shared" si="7"/>
        <v>0</v>
      </c>
      <c r="BA84" s="110">
        <f t="shared" si="8"/>
        <v>0</v>
      </c>
      <c r="BB84" s="110">
        <f t="shared" si="9"/>
        <v>1</v>
      </c>
      <c r="BC84" s="110">
        <f t="shared" si="10"/>
        <v>1</v>
      </c>
      <c r="BD84" s="111">
        <f t="shared" si="11"/>
        <v>100</v>
      </c>
    </row>
    <row r="85">
      <c r="A85" s="95">
        <v>39.0</v>
      </c>
      <c r="B85" s="47" t="s">
        <v>207</v>
      </c>
      <c r="C85" s="137" t="s">
        <v>208</v>
      </c>
      <c r="D85" s="139" t="s">
        <v>28</v>
      </c>
      <c r="E85" s="144"/>
      <c r="F85" s="144"/>
      <c r="G85" s="128"/>
      <c r="H85" s="128"/>
      <c r="I85" s="96"/>
      <c r="J85" s="128"/>
      <c r="K85" s="96"/>
      <c r="L85" s="96"/>
      <c r="M85" s="82"/>
      <c r="N85" s="96"/>
      <c r="O85" s="96"/>
      <c r="P85" s="96"/>
      <c r="Q85" s="96"/>
      <c r="R85" s="96"/>
      <c r="S85" s="43"/>
      <c r="T85" s="45"/>
      <c r="U85" s="45"/>
      <c r="V85" s="45"/>
      <c r="W85" s="45"/>
      <c r="X85" s="45"/>
      <c r="Y85" s="45"/>
      <c r="Z85" s="45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110">
        <f t="shared" si="7"/>
        <v>0</v>
      </c>
      <c r="BA85" s="110">
        <f t="shared" si="8"/>
        <v>0</v>
      </c>
      <c r="BB85" s="110">
        <f t="shared" si="9"/>
        <v>1</v>
      </c>
      <c r="BC85" s="110">
        <f t="shared" si="10"/>
        <v>1</v>
      </c>
      <c r="BD85" s="111">
        <f t="shared" si="11"/>
        <v>100</v>
      </c>
    </row>
    <row r="86">
      <c r="A86" s="95">
        <v>40.0</v>
      </c>
      <c r="B86" s="47" t="s">
        <v>235</v>
      </c>
      <c r="C86" s="137" t="s">
        <v>236</v>
      </c>
      <c r="D86" s="140" t="s">
        <v>22</v>
      </c>
      <c r="E86" s="144"/>
      <c r="F86" s="144"/>
      <c r="G86" s="128"/>
      <c r="H86" s="128"/>
      <c r="I86" s="96"/>
      <c r="J86" s="128"/>
      <c r="K86" s="96"/>
      <c r="L86" s="96"/>
      <c r="M86" s="82"/>
      <c r="N86" s="96"/>
      <c r="O86" s="96"/>
      <c r="P86" s="96"/>
      <c r="Q86" s="96"/>
      <c r="R86" s="96"/>
      <c r="S86" s="43"/>
      <c r="T86" s="45"/>
      <c r="U86" s="45"/>
      <c r="V86" s="45"/>
      <c r="W86" s="45"/>
      <c r="X86" s="45"/>
      <c r="Y86" s="45"/>
      <c r="Z86" s="45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110">
        <f t="shared" si="7"/>
        <v>0</v>
      </c>
      <c r="BA86" s="110">
        <f t="shared" si="8"/>
        <v>1</v>
      </c>
      <c r="BB86" s="110">
        <f t="shared" si="9"/>
        <v>0</v>
      </c>
      <c r="BC86" s="110">
        <f t="shared" si="10"/>
        <v>1</v>
      </c>
      <c r="BD86" s="111">
        <f t="shared" si="11"/>
        <v>0</v>
      </c>
    </row>
    <row r="87">
      <c r="A87" s="95">
        <v>41.0</v>
      </c>
      <c r="B87" s="47" t="s">
        <v>153</v>
      </c>
      <c r="C87" s="137" t="s">
        <v>154</v>
      </c>
      <c r="D87" s="139" t="s">
        <v>28</v>
      </c>
      <c r="E87" s="144"/>
      <c r="F87" s="144"/>
      <c r="G87" s="128"/>
      <c r="H87" s="128"/>
      <c r="I87" s="96"/>
      <c r="J87" s="128"/>
      <c r="K87" s="96"/>
      <c r="L87" s="96"/>
      <c r="M87" s="82"/>
      <c r="N87" s="96"/>
      <c r="O87" s="96"/>
      <c r="P87" s="96"/>
      <c r="Q87" s="96"/>
      <c r="R87" s="96"/>
      <c r="S87" s="43"/>
      <c r="T87" s="45"/>
      <c r="U87" s="45"/>
      <c r="V87" s="45"/>
      <c r="W87" s="45"/>
      <c r="X87" s="45"/>
      <c r="Y87" s="45"/>
      <c r="Z87" s="45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110">
        <f t="shared" si="7"/>
        <v>0</v>
      </c>
      <c r="BA87" s="110">
        <f t="shared" si="8"/>
        <v>0</v>
      </c>
      <c r="BB87" s="110">
        <f t="shared" si="9"/>
        <v>1</v>
      </c>
      <c r="BC87" s="110">
        <f t="shared" si="10"/>
        <v>1</v>
      </c>
      <c r="BD87" s="111">
        <f t="shared" si="11"/>
        <v>100</v>
      </c>
    </row>
    <row r="88">
      <c r="A88" s="95">
        <v>42.0</v>
      </c>
      <c r="B88" s="47" t="s">
        <v>61</v>
      </c>
      <c r="C88" s="137" t="s">
        <v>62</v>
      </c>
      <c r="D88" s="139" t="s">
        <v>28</v>
      </c>
      <c r="E88" s="144"/>
      <c r="F88" s="144"/>
      <c r="G88" s="128"/>
      <c r="H88" s="128"/>
      <c r="I88" s="128"/>
      <c r="J88" s="128"/>
      <c r="K88" s="96"/>
      <c r="L88" s="96"/>
      <c r="M88" s="82"/>
      <c r="N88" s="96"/>
      <c r="O88" s="82"/>
      <c r="P88" s="82"/>
      <c r="Q88" s="96"/>
      <c r="R88" s="96"/>
      <c r="S88" s="43"/>
      <c r="T88" s="45"/>
      <c r="U88" s="45"/>
      <c r="V88" s="45"/>
      <c r="W88" s="45"/>
      <c r="X88" s="45"/>
      <c r="Y88" s="45"/>
      <c r="Z88" s="45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110">
        <f t="shared" si="7"/>
        <v>0</v>
      </c>
      <c r="BA88" s="110">
        <f t="shared" si="8"/>
        <v>0</v>
      </c>
      <c r="BB88" s="110">
        <f t="shared" si="9"/>
        <v>1</v>
      </c>
      <c r="BC88" s="110">
        <f t="shared" si="10"/>
        <v>1</v>
      </c>
      <c r="BD88" s="111">
        <f t="shared" si="11"/>
        <v>100</v>
      </c>
    </row>
    <row r="89">
      <c r="A89" s="95">
        <v>43.0</v>
      </c>
      <c r="B89" s="47" t="s">
        <v>155</v>
      </c>
      <c r="C89" s="137" t="s">
        <v>156</v>
      </c>
      <c r="D89" s="140" t="s">
        <v>22</v>
      </c>
      <c r="E89" s="144"/>
      <c r="F89" s="144"/>
      <c r="G89" s="146"/>
      <c r="H89" s="128"/>
      <c r="I89" s="96"/>
      <c r="J89" s="128"/>
      <c r="K89" s="96"/>
      <c r="L89" s="96"/>
      <c r="M89" s="96"/>
      <c r="N89" s="96"/>
      <c r="O89" s="96"/>
      <c r="P89" s="96"/>
      <c r="Q89" s="96"/>
      <c r="R89" s="96"/>
      <c r="S89" s="43"/>
      <c r="T89" s="45"/>
      <c r="U89" s="45"/>
      <c r="V89" s="45"/>
      <c r="W89" s="45"/>
      <c r="X89" s="45"/>
      <c r="Y89" s="45"/>
      <c r="Z89" s="45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110">
        <f t="shared" si="7"/>
        <v>0</v>
      </c>
      <c r="BA89" s="110">
        <f t="shared" si="8"/>
        <v>1</v>
      </c>
      <c r="BB89" s="110">
        <f t="shared" si="9"/>
        <v>0</v>
      </c>
      <c r="BC89" s="110">
        <f t="shared" si="10"/>
        <v>1</v>
      </c>
      <c r="BD89" s="111">
        <f t="shared" si="11"/>
        <v>0</v>
      </c>
    </row>
    <row r="90">
      <c r="A90" s="95">
        <v>44.0</v>
      </c>
      <c r="B90" s="47" t="s">
        <v>109</v>
      </c>
      <c r="C90" s="137" t="s">
        <v>110</v>
      </c>
      <c r="D90" s="139" t="s">
        <v>28</v>
      </c>
      <c r="E90" s="144"/>
      <c r="F90" s="144"/>
      <c r="G90" s="146"/>
      <c r="H90" s="128"/>
      <c r="I90" s="96"/>
      <c r="J90" s="128"/>
      <c r="K90" s="96"/>
      <c r="L90" s="96"/>
      <c r="M90" s="96"/>
      <c r="N90" s="96"/>
      <c r="O90" s="96"/>
      <c r="P90" s="96"/>
      <c r="Q90" s="96"/>
      <c r="R90" s="96"/>
      <c r="S90" s="71"/>
      <c r="T90" s="45"/>
      <c r="U90" s="45"/>
      <c r="V90" s="45"/>
      <c r="W90" s="45"/>
      <c r="X90" s="45"/>
      <c r="Y90" s="45"/>
      <c r="Z90" s="45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110">
        <f t="shared" si="7"/>
        <v>0</v>
      </c>
      <c r="BA90" s="110">
        <f t="shared" si="8"/>
        <v>0</v>
      </c>
      <c r="BB90" s="110">
        <f t="shared" si="9"/>
        <v>1</v>
      </c>
      <c r="BC90" s="110">
        <f t="shared" si="10"/>
        <v>1</v>
      </c>
      <c r="BD90" s="111">
        <f t="shared" si="11"/>
        <v>100</v>
      </c>
    </row>
    <row r="91">
      <c r="A91" s="95">
        <v>45.0</v>
      </c>
      <c r="B91" s="47" t="s">
        <v>259</v>
      </c>
      <c r="C91" s="137" t="s">
        <v>260</v>
      </c>
      <c r="D91" s="139" t="s">
        <v>28</v>
      </c>
      <c r="E91" s="144"/>
      <c r="F91" s="144"/>
      <c r="G91" s="146"/>
      <c r="H91" s="128"/>
      <c r="I91" s="96"/>
      <c r="J91" s="128"/>
      <c r="K91" s="96"/>
      <c r="L91" s="96"/>
      <c r="M91" s="96"/>
      <c r="N91" s="96"/>
      <c r="O91" s="96"/>
      <c r="P91" s="96"/>
      <c r="Q91" s="96"/>
      <c r="R91" s="96"/>
      <c r="S91" s="43"/>
      <c r="T91" s="45"/>
      <c r="U91" s="45"/>
      <c r="V91" s="45"/>
      <c r="W91" s="45"/>
      <c r="X91" s="45"/>
      <c r="Y91" s="45"/>
      <c r="Z91" s="45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110">
        <f t="shared" si="7"/>
        <v>0</v>
      </c>
      <c r="BA91" s="110">
        <f t="shared" si="8"/>
        <v>0</v>
      </c>
      <c r="BB91" s="110">
        <f t="shared" si="9"/>
        <v>1</v>
      </c>
      <c r="BC91" s="110">
        <f t="shared" si="10"/>
        <v>1</v>
      </c>
      <c r="BD91" s="111">
        <f t="shared" si="11"/>
        <v>100</v>
      </c>
    </row>
    <row r="92">
      <c r="A92" s="95">
        <v>46.0</v>
      </c>
      <c r="B92" s="47" t="s">
        <v>293</v>
      </c>
      <c r="C92" s="137" t="s">
        <v>294</v>
      </c>
      <c r="D92" s="139" t="s">
        <v>28</v>
      </c>
      <c r="E92" s="144"/>
      <c r="F92" s="144"/>
      <c r="G92" s="146"/>
      <c r="H92" s="128"/>
      <c r="I92" s="128"/>
      <c r="J92" s="128"/>
      <c r="K92" s="96"/>
      <c r="L92" s="96"/>
      <c r="M92" s="82"/>
      <c r="N92" s="96"/>
      <c r="O92" s="96"/>
      <c r="P92" s="96"/>
      <c r="Q92" s="96"/>
      <c r="R92" s="96"/>
      <c r="S92" s="45"/>
      <c r="T92" s="45"/>
      <c r="U92" s="45"/>
      <c r="V92" s="45"/>
      <c r="W92" s="45"/>
      <c r="X92" s="45"/>
      <c r="Y92" s="45"/>
      <c r="Z92" s="45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110">
        <f t="shared" si="7"/>
        <v>0</v>
      </c>
      <c r="BA92" s="110">
        <f t="shared" si="8"/>
        <v>0</v>
      </c>
      <c r="BB92" s="110">
        <f t="shared" si="9"/>
        <v>1</v>
      </c>
      <c r="BC92" s="110">
        <f t="shared" si="10"/>
        <v>1</v>
      </c>
      <c r="BD92" s="111">
        <f t="shared" si="11"/>
        <v>100</v>
      </c>
    </row>
    <row r="93">
      <c r="A93" s="95">
        <v>47.0</v>
      </c>
      <c r="B93" s="47" t="s">
        <v>309</v>
      </c>
      <c r="C93" s="137" t="s">
        <v>310</v>
      </c>
      <c r="D93" s="140" t="s">
        <v>22</v>
      </c>
      <c r="E93" s="144"/>
      <c r="F93" s="144"/>
      <c r="G93" s="146"/>
      <c r="H93" s="128"/>
      <c r="I93" s="128"/>
      <c r="J93" s="128"/>
      <c r="K93" s="96"/>
      <c r="L93" s="96"/>
      <c r="M93" s="82"/>
      <c r="N93" s="96"/>
      <c r="O93" s="82"/>
      <c r="P93" s="96"/>
      <c r="Q93" s="96"/>
      <c r="R93" s="96"/>
      <c r="S93" s="45"/>
      <c r="T93" s="45"/>
      <c r="U93" s="45"/>
      <c r="V93" s="45"/>
      <c r="W93" s="45"/>
      <c r="X93" s="45"/>
      <c r="Y93" s="45"/>
      <c r="Z93" s="45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110">
        <f t="shared" si="7"/>
        <v>0</v>
      </c>
      <c r="BA93" s="110">
        <f t="shared" si="8"/>
        <v>1</v>
      </c>
      <c r="BB93" s="110">
        <f t="shared" si="9"/>
        <v>0</v>
      </c>
      <c r="BC93" s="110">
        <f t="shared" si="10"/>
        <v>1</v>
      </c>
      <c r="BD93" s="111">
        <f t="shared" si="11"/>
        <v>0</v>
      </c>
    </row>
    <row r="94">
      <c r="A94" s="95">
        <v>48.0</v>
      </c>
      <c r="B94" s="47" t="s">
        <v>315</v>
      </c>
      <c r="C94" s="137" t="s">
        <v>316</v>
      </c>
      <c r="D94" s="139" t="s">
        <v>28</v>
      </c>
      <c r="E94" s="144"/>
      <c r="F94" s="144"/>
      <c r="G94" s="146"/>
      <c r="H94" s="128"/>
      <c r="I94" s="96"/>
      <c r="J94" s="128"/>
      <c r="K94" s="96"/>
      <c r="L94" s="96"/>
      <c r="M94" s="96"/>
      <c r="N94" s="96"/>
      <c r="O94" s="96"/>
      <c r="P94" s="96"/>
      <c r="Q94" s="96"/>
      <c r="R94" s="96"/>
      <c r="S94" s="43"/>
      <c r="T94" s="45"/>
      <c r="U94" s="45"/>
      <c r="V94" s="45"/>
      <c r="W94" s="45"/>
      <c r="X94" s="45"/>
      <c r="Y94" s="45"/>
      <c r="Z94" s="45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110">
        <f t="shared" si="7"/>
        <v>0</v>
      </c>
      <c r="BA94" s="110">
        <f t="shared" si="8"/>
        <v>0</v>
      </c>
      <c r="BB94" s="110">
        <f t="shared" si="9"/>
        <v>1</v>
      </c>
      <c r="BC94" s="110">
        <f t="shared" si="10"/>
        <v>1</v>
      </c>
      <c r="BD94" s="111">
        <f t="shared" si="11"/>
        <v>100</v>
      </c>
    </row>
    <row r="95">
      <c r="A95" s="95">
        <v>49.0</v>
      </c>
      <c r="B95" s="47" t="s">
        <v>253</v>
      </c>
      <c r="C95" s="137" t="s">
        <v>254</v>
      </c>
      <c r="D95" s="140" t="s">
        <v>22</v>
      </c>
      <c r="E95" s="144"/>
      <c r="F95" s="144"/>
      <c r="G95" s="146"/>
      <c r="H95" s="128"/>
      <c r="I95" s="96"/>
      <c r="J95" s="128"/>
      <c r="K95" s="96"/>
      <c r="L95" s="96"/>
      <c r="M95" s="96"/>
      <c r="N95" s="96"/>
      <c r="O95" s="96"/>
      <c r="P95" s="96"/>
      <c r="Q95" s="96"/>
      <c r="R95" s="96"/>
      <c r="S95" s="43"/>
      <c r="T95" s="45"/>
      <c r="U95" s="45"/>
      <c r="V95" s="45"/>
      <c r="W95" s="45"/>
      <c r="X95" s="45"/>
      <c r="Y95" s="45"/>
      <c r="Z95" s="45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110">
        <f t="shared" si="7"/>
        <v>0</v>
      </c>
      <c r="BA95" s="110">
        <f t="shared" si="8"/>
        <v>1</v>
      </c>
      <c r="BB95" s="110">
        <f t="shared" si="9"/>
        <v>0</v>
      </c>
      <c r="BC95" s="110">
        <f t="shared" si="10"/>
        <v>1</v>
      </c>
      <c r="BD95" s="111">
        <f t="shared" si="11"/>
        <v>0</v>
      </c>
    </row>
    <row r="96">
      <c r="A96" s="95">
        <v>50.0</v>
      </c>
      <c r="B96" s="47" t="s">
        <v>281</v>
      </c>
      <c r="C96" s="137" t="s">
        <v>282</v>
      </c>
      <c r="D96" s="139" t="s">
        <v>28</v>
      </c>
      <c r="E96" s="144"/>
      <c r="F96" s="144"/>
      <c r="G96" s="146"/>
      <c r="H96" s="128"/>
      <c r="I96" s="128"/>
      <c r="J96" s="128"/>
      <c r="K96" s="96"/>
      <c r="L96" s="82"/>
      <c r="M96" s="96"/>
      <c r="N96" s="96"/>
      <c r="O96" s="96"/>
      <c r="P96" s="96"/>
      <c r="Q96" s="96"/>
      <c r="R96" s="96"/>
      <c r="S96" s="43"/>
      <c r="T96" s="45"/>
      <c r="U96" s="45"/>
      <c r="V96" s="45"/>
      <c r="W96" s="45"/>
      <c r="X96" s="45"/>
      <c r="Y96" s="45"/>
      <c r="Z96" s="45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110">
        <f t="shared" si="7"/>
        <v>0</v>
      </c>
      <c r="BA96" s="110">
        <f t="shared" si="8"/>
        <v>0</v>
      </c>
      <c r="BB96" s="110">
        <f t="shared" si="9"/>
        <v>1</v>
      </c>
      <c r="BC96" s="110">
        <f t="shared" si="10"/>
        <v>1</v>
      </c>
      <c r="BD96" s="111">
        <f t="shared" si="11"/>
        <v>100</v>
      </c>
    </row>
    <row r="97">
      <c r="A97" s="95">
        <v>51.0</v>
      </c>
      <c r="B97" s="47" t="s">
        <v>125</v>
      </c>
      <c r="C97" s="137" t="s">
        <v>126</v>
      </c>
      <c r="D97" s="139" t="s">
        <v>28</v>
      </c>
      <c r="E97" s="144"/>
      <c r="F97" s="144"/>
      <c r="G97" s="146"/>
      <c r="H97" s="128"/>
      <c r="I97" s="128"/>
      <c r="J97" s="128"/>
      <c r="K97" s="96"/>
      <c r="L97" s="96"/>
      <c r="M97" s="96"/>
      <c r="N97" s="96"/>
      <c r="O97" s="96"/>
      <c r="P97" s="96"/>
      <c r="Q97" s="96"/>
      <c r="R97" s="82"/>
      <c r="S97" s="43"/>
      <c r="T97" s="45"/>
      <c r="U97" s="45"/>
      <c r="V97" s="45"/>
      <c r="W97" s="45"/>
      <c r="X97" s="45"/>
      <c r="Y97" s="45"/>
      <c r="Z97" s="45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110">
        <f t="shared" si="7"/>
        <v>0</v>
      </c>
      <c r="BA97" s="110">
        <f t="shared" si="8"/>
        <v>0</v>
      </c>
      <c r="BB97" s="110">
        <f t="shared" si="9"/>
        <v>1</v>
      </c>
      <c r="BC97" s="110">
        <f t="shared" si="10"/>
        <v>1</v>
      </c>
      <c r="BD97" s="111">
        <f t="shared" si="11"/>
        <v>100</v>
      </c>
    </row>
    <row r="98">
      <c r="A98" s="95">
        <v>52.0</v>
      </c>
      <c r="B98" s="47" t="s">
        <v>41</v>
      </c>
      <c r="C98" s="137" t="s">
        <v>42</v>
      </c>
      <c r="D98" s="139" t="s">
        <v>28</v>
      </c>
      <c r="E98" s="144"/>
      <c r="F98" s="144"/>
      <c r="G98" s="146"/>
      <c r="H98" s="128"/>
      <c r="I98" s="96"/>
      <c r="J98" s="128"/>
      <c r="K98" s="96"/>
      <c r="L98" s="96"/>
      <c r="M98" s="82"/>
      <c r="N98" s="96"/>
      <c r="O98" s="96"/>
      <c r="P98" s="82"/>
      <c r="Q98" s="96"/>
      <c r="R98" s="96"/>
      <c r="S98" s="43"/>
      <c r="T98" s="45"/>
      <c r="U98" s="45"/>
      <c r="V98" s="45"/>
      <c r="W98" s="45"/>
      <c r="X98" s="45"/>
      <c r="Y98" s="45"/>
      <c r="Z98" s="45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110">
        <f t="shared" si="7"/>
        <v>0</v>
      </c>
      <c r="BA98" s="110">
        <f t="shared" si="8"/>
        <v>0</v>
      </c>
      <c r="BB98" s="110">
        <f t="shared" si="9"/>
        <v>1</v>
      </c>
      <c r="BC98" s="110">
        <f t="shared" si="10"/>
        <v>1</v>
      </c>
      <c r="BD98" s="111">
        <f t="shared" si="11"/>
        <v>100</v>
      </c>
    </row>
    <row r="99">
      <c r="A99" s="95">
        <v>53.0</v>
      </c>
      <c r="B99" s="47" t="s">
        <v>51</v>
      </c>
      <c r="C99" s="137" t="s">
        <v>52</v>
      </c>
      <c r="D99" s="140" t="s">
        <v>22</v>
      </c>
      <c r="E99" s="144"/>
      <c r="F99" s="144"/>
      <c r="G99" s="146"/>
      <c r="H99" s="128"/>
      <c r="I99" s="96"/>
      <c r="J99" s="128"/>
      <c r="K99" s="96"/>
      <c r="L99" s="96"/>
      <c r="M99" s="96"/>
      <c r="N99" s="96"/>
      <c r="O99" s="96"/>
      <c r="P99" s="96"/>
      <c r="Q99" s="96"/>
      <c r="R99" s="82"/>
      <c r="S99" s="51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110">
        <f t="shared" si="7"/>
        <v>0</v>
      </c>
      <c r="BA99" s="110">
        <f t="shared" si="8"/>
        <v>1</v>
      </c>
      <c r="BB99" s="110">
        <f t="shared" si="9"/>
        <v>0</v>
      </c>
      <c r="BC99" s="110">
        <f t="shared" si="10"/>
        <v>1</v>
      </c>
      <c r="BD99" s="111">
        <f t="shared" si="11"/>
        <v>0</v>
      </c>
    </row>
    <row r="100">
      <c r="A100" s="95">
        <v>54.0</v>
      </c>
      <c r="B100" s="47" t="s">
        <v>311</v>
      </c>
      <c r="C100" s="137" t="s">
        <v>312</v>
      </c>
      <c r="D100" s="139" t="s">
        <v>28</v>
      </c>
      <c r="E100" s="144"/>
      <c r="F100" s="144"/>
      <c r="G100" s="128"/>
      <c r="H100" s="128"/>
      <c r="I100" s="96"/>
      <c r="J100" s="128"/>
      <c r="K100" s="82"/>
      <c r="L100" s="96"/>
      <c r="M100" s="96"/>
      <c r="N100" s="96"/>
      <c r="O100" s="96"/>
      <c r="P100" s="96"/>
      <c r="Q100" s="96"/>
      <c r="R100" s="96"/>
      <c r="S100" s="51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110">
        <f t="shared" si="7"/>
        <v>0</v>
      </c>
      <c r="BA100" s="110">
        <f t="shared" si="8"/>
        <v>0</v>
      </c>
      <c r="BB100" s="110">
        <f t="shared" si="9"/>
        <v>1</v>
      </c>
      <c r="BC100" s="110">
        <f t="shared" si="10"/>
        <v>1</v>
      </c>
      <c r="BD100" s="111">
        <f t="shared" si="11"/>
        <v>100</v>
      </c>
    </row>
    <row r="101">
      <c r="A101" s="95">
        <v>55.0</v>
      </c>
      <c r="B101" s="47" t="s">
        <v>161</v>
      </c>
      <c r="C101" s="137" t="s">
        <v>162</v>
      </c>
      <c r="D101" s="139" t="s">
        <v>28</v>
      </c>
      <c r="E101" s="144"/>
      <c r="F101" s="144"/>
      <c r="G101" s="146"/>
      <c r="H101" s="128"/>
      <c r="I101" s="96"/>
      <c r="J101" s="128"/>
      <c r="K101" s="96"/>
      <c r="L101" s="96"/>
      <c r="M101" s="96"/>
      <c r="N101" s="96"/>
      <c r="O101" s="96"/>
      <c r="P101" s="96"/>
      <c r="Q101" s="96"/>
      <c r="R101" s="96"/>
      <c r="S101" s="51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110">
        <f t="shared" si="7"/>
        <v>0</v>
      </c>
      <c r="BA101" s="110">
        <f t="shared" si="8"/>
        <v>0</v>
      </c>
      <c r="BB101" s="110">
        <f t="shared" si="9"/>
        <v>1</v>
      </c>
      <c r="BC101" s="110">
        <f t="shared" si="10"/>
        <v>1</v>
      </c>
      <c r="BD101" s="111">
        <f t="shared" si="11"/>
        <v>100</v>
      </c>
    </row>
    <row r="102">
      <c r="A102" s="55"/>
      <c r="B102" s="55"/>
      <c r="C102" s="56" t="s">
        <v>191</v>
      </c>
      <c r="D102" s="57">
        <f t="shared" ref="D102:AY102" si="12">COUNTIF(D5:D101,"P")+COUNTIF(D5:D101,"L")</f>
        <v>72</v>
      </c>
      <c r="E102" s="57">
        <f t="shared" si="12"/>
        <v>28</v>
      </c>
      <c r="F102" s="57">
        <f t="shared" si="12"/>
        <v>27</v>
      </c>
      <c r="G102" s="57">
        <f t="shared" si="12"/>
        <v>25</v>
      </c>
      <c r="H102" s="57">
        <f t="shared" si="12"/>
        <v>29</v>
      </c>
      <c r="I102" s="57">
        <f t="shared" si="12"/>
        <v>0</v>
      </c>
      <c r="J102" s="57">
        <f t="shared" si="12"/>
        <v>0</v>
      </c>
      <c r="K102" s="57">
        <f t="shared" si="12"/>
        <v>0</v>
      </c>
      <c r="L102" s="57">
        <f t="shared" si="12"/>
        <v>0</v>
      </c>
      <c r="M102" s="57">
        <f t="shared" si="12"/>
        <v>0</v>
      </c>
      <c r="N102" s="57">
        <f t="shared" si="12"/>
        <v>0</v>
      </c>
      <c r="O102" s="57">
        <f t="shared" si="12"/>
        <v>0</v>
      </c>
      <c r="P102" s="57">
        <f t="shared" si="12"/>
        <v>0</v>
      </c>
      <c r="Q102" s="57">
        <f t="shared" si="12"/>
        <v>0</v>
      </c>
      <c r="R102" s="57">
        <f t="shared" si="12"/>
        <v>0</v>
      </c>
      <c r="S102" s="57">
        <f t="shared" si="12"/>
        <v>0</v>
      </c>
      <c r="T102" s="57">
        <f t="shared" si="12"/>
        <v>0</v>
      </c>
      <c r="U102" s="57">
        <f t="shared" si="12"/>
        <v>0</v>
      </c>
      <c r="V102" s="57">
        <f t="shared" si="12"/>
        <v>0</v>
      </c>
      <c r="W102" s="57">
        <f t="shared" si="12"/>
        <v>0</v>
      </c>
      <c r="X102" s="57">
        <f t="shared" si="12"/>
        <v>0</v>
      </c>
      <c r="Y102" s="57">
        <f t="shared" si="12"/>
        <v>0</v>
      </c>
      <c r="Z102" s="57">
        <f t="shared" si="12"/>
        <v>0</v>
      </c>
      <c r="AA102" s="57">
        <f t="shared" si="12"/>
        <v>0</v>
      </c>
      <c r="AB102" s="57">
        <f t="shared" si="12"/>
        <v>0</v>
      </c>
      <c r="AC102" s="57">
        <f t="shared" si="12"/>
        <v>0</v>
      </c>
      <c r="AD102" s="57">
        <f t="shared" si="12"/>
        <v>0</v>
      </c>
      <c r="AE102" s="57">
        <f t="shared" si="12"/>
        <v>0</v>
      </c>
      <c r="AF102" s="57">
        <f t="shared" si="12"/>
        <v>0</v>
      </c>
      <c r="AG102" s="57">
        <f t="shared" si="12"/>
        <v>0</v>
      </c>
      <c r="AH102" s="57">
        <f t="shared" si="12"/>
        <v>0</v>
      </c>
      <c r="AI102" s="57">
        <f t="shared" si="12"/>
        <v>0</v>
      </c>
      <c r="AJ102" s="57">
        <f t="shared" si="12"/>
        <v>0</v>
      </c>
      <c r="AK102" s="57">
        <f t="shared" si="12"/>
        <v>0</v>
      </c>
      <c r="AL102" s="57">
        <f t="shared" si="12"/>
        <v>0</v>
      </c>
      <c r="AM102" s="57">
        <f t="shared" si="12"/>
        <v>0</v>
      </c>
      <c r="AN102" s="57">
        <f t="shared" si="12"/>
        <v>0</v>
      </c>
      <c r="AO102" s="57">
        <f t="shared" si="12"/>
        <v>0</v>
      </c>
      <c r="AP102" s="57">
        <f t="shared" si="12"/>
        <v>0</v>
      </c>
      <c r="AQ102" s="57">
        <f t="shared" si="12"/>
        <v>0</v>
      </c>
      <c r="AR102" s="57">
        <f t="shared" si="12"/>
        <v>0</v>
      </c>
      <c r="AS102" s="57">
        <f t="shared" si="12"/>
        <v>0</v>
      </c>
      <c r="AT102" s="57">
        <f t="shared" si="12"/>
        <v>0</v>
      </c>
      <c r="AU102" s="57">
        <f t="shared" si="12"/>
        <v>0</v>
      </c>
      <c r="AV102" s="57">
        <f t="shared" si="12"/>
        <v>0</v>
      </c>
      <c r="AW102" s="57">
        <f t="shared" si="12"/>
        <v>0</v>
      </c>
      <c r="AX102" s="57">
        <f t="shared" si="12"/>
        <v>0</v>
      </c>
      <c r="AY102" s="57">
        <f t="shared" si="12"/>
        <v>0</v>
      </c>
      <c r="AZ102" s="32"/>
      <c r="BA102" s="32"/>
      <c r="BB102" s="32"/>
      <c r="BC102" s="32"/>
      <c r="BD102" s="33"/>
    </row>
    <row r="103">
      <c r="A103" s="83"/>
      <c r="B103" s="55"/>
      <c r="C103" s="59" t="s">
        <v>192</v>
      </c>
      <c r="D103" s="114">
        <v>56.0</v>
      </c>
      <c r="E103" s="114">
        <v>56.0</v>
      </c>
      <c r="F103" s="114">
        <v>56.0</v>
      </c>
      <c r="G103" s="114">
        <v>56.0</v>
      </c>
      <c r="H103" s="114">
        <v>56.0</v>
      </c>
      <c r="I103" s="114">
        <v>56.0</v>
      </c>
      <c r="J103" s="114">
        <v>56.0</v>
      </c>
      <c r="K103" s="114">
        <v>56.0</v>
      </c>
      <c r="L103" s="114">
        <v>56.0</v>
      </c>
      <c r="M103" s="114">
        <v>56.0</v>
      </c>
      <c r="N103" s="114">
        <v>56.0</v>
      </c>
      <c r="O103" s="114">
        <v>56.0</v>
      </c>
      <c r="P103" s="114">
        <v>56.0</v>
      </c>
      <c r="Q103" s="114">
        <v>56.0</v>
      </c>
      <c r="R103" s="114">
        <v>56.0</v>
      </c>
      <c r="S103" s="114">
        <v>56.0</v>
      </c>
      <c r="T103" s="114">
        <v>56.0</v>
      </c>
      <c r="U103" s="114">
        <v>56.0</v>
      </c>
      <c r="V103" s="114">
        <v>56.0</v>
      </c>
      <c r="W103" s="114">
        <v>56.0</v>
      </c>
      <c r="X103" s="114">
        <v>56.0</v>
      </c>
      <c r="Y103" s="114">
        <v>56.0</v>
      </c>
      <c r="Z103" s="114">
        <v>56.0</v>
      </c>
      <c r="AA103" s="114">
        <v>56.0</v>
      </c>
      <c r="AB103" s="114">
        <v>56.0</v>
      </c>
      <c r="AC103" s="114">
        <v>56.0</v>
      </c>
      <c r="AD103" s="114">
        <v>56.0</v>
      </c>
      <c r="AE103" s="114">
        <v>56.0</v>
      </c>
      <c r="AF103" s="114">
        <v>56.0</v>
      </c>
      <c r="AG103" s="114">
        <v>56.0</v>
      </c>
      <c r="AH103" s="114">
        <v>56.0</v>
      </c>
      <c r="AI103" s="114">
        <v>56.0</v>
      </c>
      <c r="AJ103" s="114">
        <v>56.0</v>
      </c>
      <c r="AK103" s="114">
        <v>56.0</v>
      </c>
      <c r="AL103" s="114">
        <v>56.0</v>
      </c>
      <c r="AM103" s="114">
        <v>56.0</v>
      </c>
      <c r="AN103" s="114">
        <v>56.0</v>
      </c>
      <c r="AO103" s="114">
        <v>56.0</v>
      </c>
      <c r="AP103" s="114">
        <v>56.0</v>
      </c>
      <c r="AQ103" s="114">
        <v>56.0</v>
      </c>
      <c r="AR103" s="114">
        <v>56.0</v>
      </c>
      <c r="AS103" s="114">
        <v>56.0</v>
      </c>
      <c r="AT103" s="114">
        <v>56.0</v>
      </c>
      <c r="AU103" s="114">
        <v>56.0</v>
      </c>
      <c r="AV103" s="114">
        <v>56.0</v>
      </c>
      <c r="AW103" s="114">
        <v>56.0</v>
      </c>
      <c r="AX103" s="114">
        <v>56.0</v>
      </c>
      <c r="AY103" s="114">
        <v>56.0</v>
      </c>
      <c r="AZ103" s="34"/>
      <c r="BA103" s="34"/>
      <c r="BB103" s="34"/>
      <c r="BC103" s="34"/>
      <c r="BD103" s="61"/>
    </row>
    <row r="104">
      <c r="A104" s="64"/>
      <c r="B104" s="64"/>
      <c r="C104" s="64"/>
      <c r="D104" s="116"/>
      <c r="E104" s="116"/>
      <c r="F104" s="116"/>
      <c r="G104" s="130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</row>
    <row r="105">
      <c r="A105" s="64"/>
      <c r="B105" s="64"/>
      <c r="C105" s="64"/>
      <c r="D105" s="116"/>
      <c r="E105" s="116"/>
      <c r="F105" s="116"/>
      <c r="G105" s="130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</row>
    <row r="106">
      <c r="A106" s="64"/>
      <c r="B106" s="64"/>
      <c r="C106" s="64"/>
      <c r="D106" s="116"/>
      <c r="E106" s="116"/>
      <c r="F106" s="116"/>
      <c r="G106" s="130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</row>
    <row r="107">
      <c r="A107" s="64"/>
      <c r="B107" s="64"/>
      <c r="C107" s="64"/>
      <c r="D107" s="116"/>
      <c r="E107" s="116"/>
      <c r="F107" s="116"/>
      <c r="G107" s="130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</row>
    <row r="108">
      <c r="A108" s="136" t="s">
        <v>525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3"/>
    </row>
    <row r="109" ht="62.25" customHeight="1">
      <c r="A109" s="4"/>
      <c r="B109" s="5"/>
      <c r="C109" s="6"/>
      <c r="D109" s="79" t="s">
        <v>526</v>
      </c>
      <c r="E109" s="79" t="s">
        <v>526</v>
      </c>
      <c r="F109" s="79" t="s">
        <v>526</v>
      </c>
      <c r="G109" s="79" t="s">
        <v>526</v>
      </c>
      <c r="H109" s="79"/>
      <c r="I109" s="79"/>
      <c r="J109" s="79"/>
      <c r="K109" s="79"/>
      <c r="L109" s="65"/>
      <c r="M109" s="65"/>
      <c r="N109" s="65"/>
      <c r="O109" s="65"/>
      <c r="P109" s="65"/>
      <c r="Q109" s="79"/>
      <c r="R109" s="65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9"/>
      <c r="AX109" s="69"/>
      <c r="AY109" s="68"/>
      <c r="AZ109" s="18"/>
      <c r="BA109" s="19"/>
      <c r="BB109" s="20"/>
      <c r="BC109" s="147"/>
      <c r="BD109" s="148"/>
    </row>
    <row r="110" ht="57.75" customHeight="1">
      <c r="A110" s="15"/>
      <c r="B110" s="15"/>
      <c r="C110" s="15"/>
      <c r="D110" s="65" t="s">
        <v>527</v>
      </c>
      <c r="E110" s="65" t="s">
        <v>528</v>
      </c>
      <c r="F110" s="65" t="s">
        <v>529</v>
      </c>
      <c r="G110" s="65" t="s">
        <v>530</v>
      </c>
      <c r="H110" s="118"/>
      <c r="I110" s="66"/>
      <c r="J110" s="65"/>
      <c r="K110" s="66"/>
      <c r="L110" s="66"/>
      <c r="M110" s="66"/>
      <c r="N110" s="66"/>
      <c r="O110" s="66"/>
      <c r="P110" s="84"/>
      <c r="Q110" s="94"/>
      <c r="R110" s="87"/>
      <c r="S110" s="69"/>
      <c r="T110" s="69"/>
      <c r="U110" s="69"/>
      <c r="V110" s="69"/>
      <c r="W110" s="69"/>
      <c r="X110" s="69"/>
      <c r="Y110" s="69"/>
      <c r="Z110" s="68"/>
      <c r="AA110" s="68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8"/>
      <c r="AZ110" s="18" t="s">
        <v>21</v>
      </c>
      <c r="BA110" s="19" t="s">
        <v>22</v>
      </c>
      <c r="BB110" s="20" t="s">
        <v>23</v>
      </c>
      <c r="BC110" s="21" t="s">
        <v>24</v>
      </c>
      <c r="BD110" s="22" t="s">
        <v>25</v>
      </c>
    </row>
    <row r="111">
      <c r="A111" s="47">
        <v>1.0</v>
      </c>
      <c r="B111" s="47" t="s">
        <v>59</v>
      </c>
      <c r="C111" s="137" t="s">
        <v>60</v>
      </c>
      <c r="D111" s="138" t="s">
        <v>28</v>
      </c>
      <c r="E111" s="139" t="s">
        <v>28</v>
      </c>
      <c r="F111" s="139" t="s">
        <v>28</v>
      </c>
      <c r="G111" s="139" t="s">
        <v>28</v>
      </c>
      <c r="H111" s="128"/>
      <c r="I111" s="128"/>
      <c r="J111" s="128"/>
      <c r="K111" s="96"/>
      <c r="L111" s="82"/>
      <c r="M111" s="96"/>
      <c r="N111" s="96"/>
      <c r="O111" s="96"/>
      <c r="P111" s="96"/>
      <c r="Q111" s="96"/>
      <c r="R111" s="96"/>
      <c r="S111" s="45"/>
      <c r="T111" s="45"/>
      <c r="U111" s="45"/>
      <c r="V111" s="45"/>
      <c r="W111" s="45"/>
      <c r="X111" s="45"/>
      <c r="Y111" s="45"/>
      <c r="Z111" s="45"/>
      <c r="AA111" s="71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110">
        <f t="shared" ref="AZ111:AZ140" si="13">COUNTIF(D111:AY111,"L")</f>
        <v>0</v>
      </c>
      <c r="BA111" s="110">
        <f t="shared" ref="BA111:BA140" si="14">COUNTIF(D111:AY111,"A")</f>
        <v>0</v>
      </c>
      <c r="BB111" s="110">
        <f t="shared" ref="BB111:BB140" si="15">COUNTIF(D111:AY111,"p")</f>
        <v>4</v>
      </c>
      <c r="BC111" s="110">
        <f t="shared" ref="BC111:BC140" si="16">SUM(AZ111:BB111)</f>
        <v>4</v>
      </c>
      <c r="BD111" s="111">
        <f t="shared" ref="BD111:BD140" si="17">SUM(AZ111,BB111)/BC111*100</f>
        <v>100</v>
      </c>
    </row>
    <row r="112">
      <c r="A112" s="47">
        <v>2.0</v>
      </c>
      <c r="B112" s="47" t="s">
        <v>79</v>
      </c>
      <c r="C112" s="137" t="s">
        <v>80</v>
      </c>
      <c r="D112" s="138" t="s">
        <v>28</v>
      </c>
      <c r="E112" s="139" t="s">
        <v>28</v>
      </c>
      <c r="F112" s="139" t="s">
        <v>28</v>
      </c>
      <c r="G112" s="139" t="s">
        <v>28</v>
      </c>
      <c r="H112" s="128"/>
      <c r="I112" s="128"/>
      <c r="J112" s="128"/>
      <c r="K112" s="96"/>
      <c r="L112" s="96"/>
      <c r="M112" s="96"/>
      <c r="N112" s="96"/>
      <c r="O112" s="96"/>
      <c r="P112" s="96"/>
      <c r="Q112" s="96"/>
      <c r="R112" s="96"/>
      <c r="S112" s="45"/>
      <c r="T112" s="45"/>
      <c r="U112" s="45"/>
      <c r="V112" s="45"/>
      <c r="W112" s="45"/>
      <c r="X112" s="45"/>
      <c r="Y112" s="45"/>
      <c r="Z112" s="45"/>
      <c r="AA112" s="46"/>
      <c r="AB112" s="46"/>
      <c r="AC112" s="46"/>
      <c r="AD112" s="55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110">
        <f t="shared" si="13"/>
        <v>0</v>
      </c>
      <c r="BA112" s="110">
        <f t="shared" si="14"/>
        <v>0</v>
      </c>
      <c r="BB112" s="110">
        <f t="shared" si="15"/>
        <v>4</v>
      </c>
      <c r="BC112" s="110">
        <f t="shared" si="16"/>
        <v>4</v>
      </c>
      <c r="BD112" s="111">
        <f t="shared" si="17"/>
        <v>100</v>
      </c>
    </row>
    <row r="113">
      <c r="A113" s="47">
        <v>3.0</v>
      </c>
      <c r="B113" s="47" t="s">
        <v>157</v>
      </c>
      <c r="C113" s="137" t="s">
        <v>158</v>
      </c>
      <c r="D113" s="138" t="s">
        <v>28</v>
      </c>
      <c r="E113" s="139" t="s">
        <v>28</v>
      </c>
      <c r="F113" s="139" t="s">
        <v>28</v>
      </c>
      <c r="G113" s="139" t="s">
        <v>28</v>
      </c>
      <c r="H113" s="128"/>
      <c r="I113" s="128"/>
      <c r="J113" s="128"/>
      <c r="K113" s="96"/>
      <c r="L113" s="96"/>
      <c r="M113" s="96"/>
      <c r="N113" s="96"/>
      <c r="O113" s="96"/>
      <c r="P113" s="96"/>
      <c r="Q113" s="96"/>
      <c r="R113" s="96"/>
      <c r="S113" s="43"/>
      <c r="T113" s="45"/>
      <c r="U113" s="45"/>
      <c r="V113" s="45"/>
      <c r="W113" s="45"/>
      <c r="X113" s="45"/>
      <c r="Y113" s="45"/>
      <c r="Z113" s="45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110">
        <f t="shared" si="13"/>
        <v>0</v>
      </c>
      <c r="BA113" s="110">
        <f t="shared" si="14"/>
        <v>0</v>
      </c>
      <c r="BB113" s="110">
        <f t="shared" si="15"/>
        <v>4</v>
      </c>
      <c r="BC113" s="110">
        <f t="shared" si="16"/>
        <v>4</v>
      </c>
      <c r="BD113" s="111">
        <f t="shared" si="17"/>
        <v>100</v>
      </c>
    </row>
    <row r="114">
      <c r="A114" s="47">
        <v>4.0</v>
      </c>
      <c r="B114" s="47" t="s">
        <v>341</v>
      </c>
      <c r="C114" s="137" t="s">
        <v>342</v>
      </c>
      <c r="D114" s="138" t="s">
        <v>28</v>
      </c>
      <c r="E114" s="139" t="s">
        <v>28</v>
      </c>
      <c r="F114" s="139" t="s">
        <v>28</v>
      </c>
      <c r="G114" s="139" t="s">
        <v>28</v>
      </c>
      <c r="H114" s="128"/>
      <c r="I114" s="128"/>
      <c r="J114" s="128"/>
      <c r="K114" s="96"/>
      <c r="L114" s="96"/>
      <c r="M114" s="96"/>
      <c r="N114" s="96"/>
      <c r="O114" s="96"/>
      <c r="P114" s="96"/>
      <c r="Q114" s="96"/>
      <c r="R114" s="96"/>
      <c r="S114" s="71"/>
      <c r="T114" s="45"/>
      <c r="U114" s="45"/>
      <c r="V114" s="45"/>
      <c r="W114" s="45"/>
      <c r="X114" s="45"/>
      <c r="Y114" s="45"/>
      <c r="Z114" s="45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110">
        <f t="shared" si="13"/>
        <v>0</v>
      </c>
      <c r="BA114" s="110">
        <f t="shared" si="14"/>
        <v>0</v>
      </c>
      <c r="BB114" s="110">
        <f t="shared" si="15"/>
        <v>4</v>
      </c>
      <c r="BC114" s="110">
        <f t="shared" si="16"/>
        <v>4</v>
      </c>
      <c r="BD114" s="111">
        <f t="shared" si="17"/>
        <v>100</v>
      </c>
    </row>
    <row r="115">
      <c r="A115" s="47">
        <v>5.0</v>
      </c>
      <c r="B115" s="47" t="s">
        <v>329</v>
      </c>
      <c r="C115" s="137" t="s">
        <v>330</v>
      </c>
      <c r="D115" s="141" t="s">
        <v>22</v>
      </c>
      <c r="E115" s="139" t="s">
        <v>28</v>
      </c>
      <c r="F115" s="139" t="s">
        <v>28</v>
      </c>
      <c r="G115" s="139" t="s">
        <v>28</v>
      </c>
      <c r="H115" s="128"/>
      <c r="I115" s="128"/>
      <c r="J115" s="128"/>
      <c r="K115" s="82"/>
      <c r="L115" s="96"/>
      <c r="M115" s="96"/>
      <c r="N115" s="96"/>
      <c r="O115" s="96"/>
      <c r="P115" s="96"/>
      <c r="Q115" s="96"/>
      <c r="R115" s="82"/>
      <c r="S115" s="45"/>
      <c r="T115" s="45"/>
      <c r="U115" s="45"/>
      <c r="V115" s="45"/>
      <c r="W115" s="45"/>
      <c r="X115" s="45"/>
      <c r="Y115" s="45"/>
      <c r="Z115" s="45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110">
        <f t="shared" si="13"/>
        <v>0</v>
      </c>
      <c r="BA115" s="110">
        <f t="shared" si="14"/>
        <v>1</v>
      </c>
      <c r="BB115" s="110">
        <f t="shared" si="15"/>
        <v>3</v>
      </c>
      <c r="BC115" s="110">
        <f t="shared" si="16"/>
        <v>4</v>
      </c>
      <c r="BD115" s="111">
        <f t="shared" si="17"/>
        <v>75</v>
      </c>
    </row>
    <row r="116">
      <c r="A116" s="47">
        <v>6.0</v>
      </c>
      <c r="B116" s="47" t="s">
        <v>287</v>
      </c>
      <c r="C116" s="137" t="s">
        <v>288</v>
      </c>
      <c r="D116" s="138" t="s">
        <v>28</v>
      </c>
      <c r="E116" s="140" t="s">
        <v>22</v>
      </c>
      <c r="F116" s="140" t="s">
        <v>22</v>
      </c>
      <c r="G116" s="139" t="s">
        <v>28</v>
      </c>
      <c r="H116" s="128"/>
      <c r="I116" s="128"/>
      <c r="J116" s="128"/>
      <c r="K116" s="96"/>
      <c r="L116" s="96"/>
      <c r="M116" s="96"/>
      <c r="N116" s="96"/>
      <c r="O116" s="96"/>
      <c r="P116" s="96"/>
      <c r="Q116" s="96"/>
      <c r="R116" s="96"/>
      <c r="S116" s="45"/>
      <c r="T116" s="45"/>
      <c r="U116" s="45"/>
      <c r="V116" s="45"/>
      <c r="W116" s="45"/>
      <c r="X116" s="45"/>
      <c r="Y116" s="45"/>
      <c r="Z116" s="45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110">
        <f t="shared" si="13"/>
        <v>0</v>
      </c>
      <c r="BA116" s="110">
        <f t="shared" si="14"/>
        <v>2</v>
      </c>
      <c r="BB116" s="110">
        <f t="shared" si="15"/>
        <v>2</v>
      </c>
      <c r="BC116" s="110">
        <f t="shared" si="16"/>
        <v>4</v>
      </c>
      <c r="BD116" s="111">
        <f t="shared" si="17"/>
        <v>50</v>
      </c>
    </row>
    <row r="117">
      <c r="A117" s="47">
        <v>7.0</v>
      </c>
      <c r="B117" s="47" t="s">
        <v>81</v>
      </c>
      <c r="C117" s="137" t="s">
        <v>82</v>
      </c>
      <c r="D117" s="138" t="s">
        <v>28</v>
      </c>
      <c r="E117" s="139" t="s">
        <v>28</v>
      </c>
      <c r="F117" s="139" t="s">
        <v>28</v>
      </c>
      <c r="G117" s="139" t="s">
        <v>28</v>
      </c>
      <c r="H117" s="128"/>
      <c r="I117" s="128"/>
      <c r="J117" s="128"/>
      <c r="K117" s="96"/>
      <c r="L117" s="96"/>
      <c r="M117" s="96"/>
      <c r="N117" s="96"/>
      <c r="O117" s="96"/>
      <c r="P117" s="96"/>
      <c r="Q117" s="96"/>
      <c r="R117" s="96"/>
      <c r="S117" s="45"/>
      <c r="T117" s="45"/>
      <c r="U117" s="45"/>
      <c r="V117" s="45"/>
      <c r="W117" s="45"/>
      <c r="X117" s="45"/>
      <c r="Y117" s="45"/>
      <c r="Z117" s="45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110">
        <f t="shared" si="13"/>
        <v>0</v>
      </c>
      <c r="BA117" s="110">
        <f t="shared" si="14"/>
        <v>0</v>
      </c>
      <c r="BB117" s="110">
        <f t="shared" si="15"/>
        <v>4</v>
      </c>
      <c r="BC117" s="110">
        <f t="shared" si="16"/>
        <v>4</v>
      </c>
      <c r="BD117" s="111">
        <f t="shared" si="17"/>
        <v>100</v>
      </c>
    </row>
    <row r="118">
      <c r="A118" s="47">
        <v>8.0</v>
      </c>
      <c r="B118" s="47" t="s">
        <v>295</v>
      </c>
      <c r="C118" s="137" t="s">
        <v>296</v>
      </c>
      <c r="D118" s="138" t="s">
        <v>28</v>
      </c>
      <c r="E118" s="139" t="s">
        <v>28</v>
      </c>
      <c r="F118" s="139" t="s">
        <v>28</v>
      </c>
      <c r="G118" s="140" t="s">
        <v>22</v>
      </c>
      <c r="H118" s="128"/>
      <c r="I118" s="128"/>
      <c r="J118" s="128"/>
      <c r="K118" s="96"/>
      <c r="L118" s="96"/>
      <c r="M118" s="96"/>
      <c r="N118" s="96"/>
      <c r="O118" s="96"/>
      <c r="P118" s="96"/>
      <c r="Q118" s="96"/>
      <c r="R118" s="96"/>
      <c r="S118" s="45"/>
      <c r="T118" s="45"/>
      <c r="U118" s="45"/>
      <c r="V118" s="45"/>
      <c r="W118" s="45"/>
      <c r="X118" s="45"/>
      <c r="Y118" s="45"/>
      <c r="Z118" s="45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110">
        <f t="shared" si="13"/>
        <v>0</v>
      </c>
      <c r="BA118" s="110">
        <f t="shared" si="14"/>
        <v>1</v>
      </c>
      <c r="BB118" s="110">
        <f t="shared" si="15"/>
        <v>3</v>
      </c>
      <c r="BC118" s="110">
        <f t="shared" si="16"/>
        <v>4</v>
      </c>
      <c r="BD118" s="111">
        <f t="shared" si="17"/>
        <v>75</v>
      </c>
    </row>
    <row r="119">
      <c r="A119" s="47">
        <v>9.0</v>
      </c>
      <c r="B119" s="47" t="s">
        <v>133</v>
      </c>
      <c r="C119" s="137" t="s">
        <v>134</v>
      </c>
      <c r="D119" s="138" t="s">
        <v>28</v>
      </c>
      <c r="E119" s="139" t="s">
        <v>28</v>
      </c>
      <c r="F119" s="139" t="s">
        <v>28</v>
      </c>
      <c r="G119" s="139" t="s">
        <v>28</v>
      </c>
      <c r="H119" s="128"/>
      <c r="I119" s="128"/>
      <c r="J119" s="128"/>
      <c r="K119" s="82"/>
      <c r="L119" s="96"/>
      <c r="M119" s="96"/>
      <c r="N119" s="96"/>
      <c r="O119" s="96"/>
      <c r="P119" s="96"/>
      <c r="Q119" s="96"/>
      <c r="R119" s="96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110">
        <f t="shared" si="13"/>
        <v>0</v>
      </c>
      <c r="BA119" s="110">
        <f t="shared" si="14"/>
        <v>0</v>
      </c>
      <c r="BB119" s="110">
        <f t="shared" si="15"/>
        <v>4</v>
      </c>
      <c r="BC119" s="110">
        <f t="shared" si="16"/>
        <v>4</v>
      </c>
      <c r="BD119" s="111">
        <f t="shared" si="17"/>
        <v>100</v>
      </c>
    </row>
    <row r="120">
      <c r="A120" s="47">
        <v>10.0</v>
      </c>
      <c r="B120" s="47" t="s">
        <v>171</v>
      </c>
      <c r="C120" s="137" t="s">
        <v>172</v>
      </c>
      <c r="D120" s="138" t="s">
        <v>28</v>
      </c>
      <c r="E120" s="139" t="s">
        <v>28</v>
      </c>
      <c r="F120" s="139" t="s">
        <v>28</v>
      </c>
      <c r="G120" s="139" t="s">
        <v>28</v>
      </c>
      <c r="H120" s="128"/>
      <c r="I120" s="128"/>
      <c r="J120" s="128"/>
      <c r="K120" s="96"/>
      <c r="L120" s="96"/>
      <c r="M120" s="96"/>
      <c r="N120" s="96"/>
      <c r="O120" s="96"/>
      <c r="P120" s="96"/>
      <c r="Q120" s="96"/>
      <c r="R120" s="82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110">
        <f t="shared" si="13"/>
        <v>0</v>
      </c>
      <c r="BA120" s="110">
        <f t="shared" si="14"/>
        <v>0</v>
      </c>
      <c r="BB120" s="110">
        <f t="shared" si="15"/>
        <v>4</v>
      </c>
      <c r="BC120" s="110">
        <f t="shared" si="16"/>
        <v>4</v>
      </c>
      <c r="BD120" s="111">
        <f t="shared" si="17"/>
        <v>100</v>
      </c>
    </row>
    <row r="121">
      <c r="A121" s="47">
        <v>11.0</v>
      </c>
      <c r="B121" s="47" t="s">
        <v>91</v>
      </c>
      <c r="C121" s="137" t="s">
        <v>92</v>
      </c>
      <c r="D121" s="138" t="s">
        <v>28</v>
      </c>
      <c r="E121" s="139" t="s">
        <v>28</v>
      </c>
      <c r="F121" s="140" t="s">
        <v>22</v>
      </c>
      <c r="G121" s="139" t="s">
        <v>28</v>
      </c>
      <c r="H121" s="128"/>
      <c r="I121" s="128"/>
      <c r="J121" s="128"/>
      <c r="K121" s="96"/>
      <c r="L121" s="96"/>
      <c r="M121" s="96"/>
      <c r="N121" s="96"/>
      <c r="O121" s="96"/>
      <c r="P121" s="96"/>
      <c r="Q121" s="96"/>
      <c r="R121" s="96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110">
        <f t="shared" si="13"/>
        <v>0</v>
      </c>
      <c r="BA121" s="110">
        <f t="shared" si="14"/>
        <v>1</v>
      </c>
      <c r="BB121" s="110">
        <f t="shared" si="15"/>
        <v>3</v>
      </c>
      <c r="BC121" s="110">
        <f t="shared" si="16"/>
        <v>4</v>
      </c>
      <c r="BD121" s="111">
        <f t="shared" si="17"/>
        <v>75</v>
      </c>
    </row>
    <row r="122">
      <c r="A122" s="47">
        <v>12.0</v>
      </c>
      <c r="B122" s="47" t="s">
        <v>285</v>
      </c>
      <c r="C122" s="137" t="s">
        <v>286</v>
      </c>
      <c r="D122" s="138" t="s">
        <v>28</v>
      </c>
      <c r="E122" s="139" t="s">
        <v>28</v>
      </c>
      <c r="F122" s="139" t="s">
        <v>28</v>
      </c>
      <c r="G122" s="139" t="s">
        <v>28</v>
      </c>
      <c r="H122" s="128"/>
      <c r="I122" s="128"/>
      <c r="J122" s="128"/>
      <c r="K122" s="96"/>
      <c r="L122" s="96"/>
      <c r="M122" s="96"/>
      <c r="N122" s="82"/>
      <c r="O122" s="96"/>
      <c r="P122" s="96"/>
      <c r="Q122" s="96"/>
      <c r="R122" s="96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110">
        <f t="shared" si="13"/>
        <v>0</v>
      </c>
      <c r="BA122" s="110">
        <f t="shared" si="14"/>
        <v>0</v>
      </c>
      <c r="BB122" s="110">
        <f t="shared" si="15"/>
        <v>4</v>
      </c>
      <c r="BC122" s="110">
        <f t="shared" si="16"/>
        <v>4</v>
      </c>
      <c r="BD122" s="111">
        <f t="shared" si="17"/>
        <v>100</v>
      </c>
    </row>
    <row r="123">
      <c r="A123" s="47">
        <v>13.0</v>
      </c>
      <c r="B123" s="149" t="s">
        <v>291</v>
      </c>
      <c r="C123" s="150" t="s">
        <v>292</v>
      </c>
      <c r="D123" s="138" t="s">
        <v>28</v>
      </c>
      <c r="E123" s="139" t="s">
        <v>28</v>
      </c>
      <c r="F123" s="140" t="s">
        <v>22</v>
      </c>
      <c r="G123" s="139" t="s">
        <v>28</v>
      </c>
      <c r="H123" s="128"/>
      <c r="I123" s="128"/>
      <c r="J123" s="128"/>
      <c r="K123" s="82"/>
      <c r="L123" s="96"/>
      <c r="M123" s="82"/>
      <c r="N123" s="96"/>
      <c r="O123" s="82"/>
      <c r="P123" s="96"/>
      <c r="Q123" s="96"/>
      <c r="R123" s="82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110">
        <f t="shared" si="13"/>
        <v>0</v>
      </c>
      <c r="BA123" s="110">
        <f t="shared" si="14"/>
        <v>1</v>
      </c>
      <c r="BB123" s="110">
        <f t="shared" si="15"/>
        <v>3</v>
      </c>
      <c r="BC123" s="110">
        <f t="shared" si="16"/>
        <v>4</v>
      </c>
      <c r="BD123" s="111">
        <f t="shared" si="17"/>
        <v>75</v>
      </c>
    </row>
    <row r="124">
      <c r="A124" s="47">
        <v>14.0</v>
      </c>
      <c r="B124" s="47" t="s">
        <v>257</v>
      </c>
      <c r="C124" s="137" t="s">
        <v>258</v>
      </c>
      <c r="D124" s="138" t="s">
        <v>28</v>
      </c>
      <c r="E124" s="139" t="s">
        <v>28</v>
      </c>
      <c r="F124" s="140" t="s">
        <v>22</v>
      </c>
      <c r="G124" s="139" t="s">
        <v>28</v>
      </c>
      <c r="H124" s="128"/>
      <c r="I124" s="128"/>
      <c r="J124" s="128"/>
      <c r="K124" s="96"/>
      <c r="L124" s="96"/>
      <c r="M124" s="96"/>
      <c r="N124" s="96"/>
      <c r="O124" s="96"/>
      <c r="P124" s="96"/>
      <c r="Q124" s="96"/>
      <c r="R124" s="96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110">
        <f t="shared" si="13"/>
        <v>0</v>
      </c>
      <c r="BA124" s="110">
        <f t="shared" si="14"/>
        <v>1</v>
      </c>
      <c r="BB124" s="110">
        <f t="shared" si="15"/>
        <v>3</v>
      </c>
      <c r="BC124" s="110">
        <f t="shared" si="16"/>
        <v>4</v>
      </c>
      <c r="BD124" s="111">
        <f t="shared" si="17"/>
        <v>75</v>
      </c>
    </row>
    <row r="125">
      <c r="A125" s="47">
        <v>15.0</v>
      </c>
      <c r="B125" s="47" t="s">
        <v>85</v>
      </c>
      <c r="C125" s="137" t="s">
        <v>86</v>
      </c>
      <c r="D125" s="138" t="s">
        <v>28</v>
      </c>
      <c r="E125" s="139" t="s">
        <v>28</v>
      </c>
      <c r="F125" s="139" t="s">
        <v>28</v>
      </c>
      <c r="G125" s="139" t="s">
        <v>28</v>
      </c>
      <c r="H125" s="128"/>
      <c r="I125" s="128"/>
      <c r="J125" s="128"/>
      <c r="K125" s="82"/>
      <c r="L125" s="96"/>
      <c r="M125" s="96"/>
      <c r="N125" s="96"/>
      <c r="O125" s="82"/>
      <c r="P125" s="96"/>
      <c r="Q125" s="96"/>
      <c r="R125" s="96"/>
      <c r="S125" s="45"/>
      <c r="T125" s="45"/>
      <c r="U125" s="45"/>
      <c r="V125" s="45"/>
      <c r="W125" s="45"/>
      <c r="X125" s="45"/>
      <c r="Y125" s="45"/>
      <c r="Z125" s="45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110">
        <f t="shared" si="13"/>
        <v>0</v>
      </c>
      <c r="BA125" s="110">
        <f t="shared" si="14"/>
        <v>0</v>
      </c>
      <c r="BB125" s="110">
        <f t="shared" si="15"/>
        <v>4</v>
      </c>
      <c r="BC125" s="110">
        <f t="shared" si="16"/>
        <v>4</v>
      </c>
      <c r="BD125" s="111">
        <f t="shared" si="17"/>
        <v>100</v>
      </c>
    </row>
    <row r="126">
      <c r="A126" s="47">
        <v>16.0</v>
      </c>
      <c r="B126" s="47" t="s">
        <v>215</v>
      </c>
      <c r="C126" s="137" t="s">
        <v>216</v>
      </c>
      <c r="D126" s="141" t="s">
        <v>22</v>
      </c>
      <c r="E126" s="140" t="s">
        <v>22</v>
      </c>
      <c r="F126" s="140" t="s">
        <v>22</v>
      </c>
      <c r="G126" s="139" t="s">
        <v>28</v>
      </c>
      <c r="H126" s="128"/>
      <c r="I126" s="128"/>
      <c r="J126" s="128"/>
      <c r="K126" s="82"/>
      <c r="L126" s="96"/>
      <c r="M126" s="96"/>
      <c r="N126" s="96"/>
      <c r="O126" s="82"/>
      <c r="P126" s="96"/>
      <c r="Q126" s="96"/>
      <c r="R126" s="82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110">
        <f t="shared" si="13"/>
        <v>0</v>
      </c>
      <c r="BA126" s="110">
        <f t="shared" si="14"/>
        <v>3</v>
      </c>
      <c r="BB126" s="110">
        <f t="shared" si="15"/>
        <v>1</v>
      </c>
      <c r="BC126" s="110">
        <f t="shared" si="16"/>
        <v>4</v>
      </c>
      <c r="BD126" s="111">
        <f t="shared" si="17"/>
        <v>25</v>
      </c>
    </row>
    <row r="127">
      <c r="A127" s="47">
        <v>17.0</v>
      </c>
      <c r="B127" s="47" t="s">
        <v>45</v>
      </c>
      <c r="C127" s="137" t="s">
        <v>46</v>
      </c>
      <c r="D127" s="138" t="s">
        <v>28</v>
      </c>
      <c r="E127" s="139" t="s">
        <v>28</v>
      </c>
      <c r="F127" s="140" t="s">
        <v>22</v>
      </c>
      <c r="G127" s="140" t="s">
        <v>22</v>
      </c>
      <c r="H127" s="128"/>
      <c r="I127" s="128"/>
      <c r="J127" s="128"/>
      <c r="K127" s="82"/>
      <c r="L127" s="82"/>
      <c r="M127" s="96"/>
      <c r="N127" s="82"/>
      <c r="O127" s="82"/>
      <c r="P127" s="96"/>
      <c r="Q127" s="96"/>
      <c r="R127" s="82"/>
      <c r="S127" s="45"/>
      <c r="T127" s="45"/>
      <c r="U127" s="45"/>
      <c r="V127" s="45"/>
      <c r="W127" s="45"/>
      <c r="X127" s="45"/>
      <c r="Y127" s="45"/>
      <c r="Z127" s="45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110">
        <f t="shared" si="13"/>
        <v>0</v>
      </c>
      <c r="BA127" s="110">
        <f t="shared" si="14"/>
        <v>2</v>
      </c>
      <c r="BB127" s="110">
        <f t="shared" si="15"/>
        <v>2</v>
      </c>
      <c r="BC127" s="110">
        <f t="shared" si="16"/>
        <v>4</v>
      </c>
      <c r="BD127" s="111">
        <f t="shared" si="17"/>
        <v>50</v>
      </c>
    </row>
    <row r="128">
      <c r="A128" s="47">
        <v>18.0</v>
      </c>
      <c r="B128" s="47" t="s">
        <v>179</v>
      </c>
      <c r="C128" s="137" t="s">
        <v>180</v>
      </c>
      <c r="D128" s="138" t="s">
        <v>28</v>
      </c>
      <c r="E128" s="139" t="s">
        <v>28</v>
      </c>
      <c r="F128" s="139" t="s">
        <v>28</v>
      </c>
      <c r="G128" s="140" t="s">
        <v>22</v>
      </c>
      <c r="H128" s="128"/>
      <c r="I128" s="128"/>
      <c r="J128" s="128"/>
      <c r="K128" s="96"/>
      <c r="L128" s="96"/>
      <c r="M128" s="96"/>
      <c r="N128" s="96"/>
      <c r="O128" s="96"/>
      <c r="P128" s="96"/>
      <c r="Q128" s="96"/>
      <c r="R128" s="82"/>
      <c r="S128" s="45"/>
      <c r="T128" s="45"/>
      <c r="U128" s="45"/>
      <c r="V128" s="45"/>
      <c r="W128" s="45"/>
      <c r="X128" s="45"/>
      <c r="Y128" s="45"/>
      <c r="Z128" s="45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110">
        <f t="shared" si="13"/>
        <v>0</v>
      </c>
      <c r="BA128" s="110">
        <f t="shared" si="14"/>
        <v>1</v>
      </c>
      <c r="BB128" s="110">
        <f t="shared" si="15"/>
        <v>3</v>
      </c>
      <c r="BC128" s="110">
        <f t="shared" si="16"/>
        <v>4</v>
      </c>
      <c r="BD128" s="111">
        <f t="shared" si="17"/>
        <v>75</v>
      </c>
    </row>
    <row r="129">
      <c r="A129" s="47">
        <v>19.0</v>
      </c>
      <c r="B129" s="47" t="s">
        <v>319</v>
      </c>
      <c r="C129" s="137" t="s">
        <v>320</v>
      </c>
      <c r="D129" s="138" t="s">
        <v>28</v>
      </c>
      <c r="E129" s="139" t="s">
        <v>28</v>
      </c>
      <c r="F129" s="139" t="s">
        <v>28</v>
      </c>
      <c r="G129" s="139" t="s">
        <v>28</v>
      </c>
      <c r="H129" s="128"/>
      <c r="I129" s="128"/>
      <c r="J129" s="128"/>
      <c r="K129" s="96"/>
      <c r="L129" s="96"/>
      <c r="M129" s="96"/>
      <c r="N129" s="96"/>
      <c r="O129" s="96"/>
      <c r="P129" s="96"/>
      <c r="Q129" s="82"/>
      <c r="R129" s="82"/>
      <c r="S129" s="45"/>
      <c r="T129" s="45"/>
      <c r="U129" s="45"/>
      <c r="V129" s="45"/>
      <c r="W129" s="45"/>
      <c r="X129" s="45"/>
      <c r="Y129" s="45"/>
      <c r="Z129" s="45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110">
        <f t="shared" si="13"/>
        <v>0</v>
      </c>
      <c r="BA129" s="110">
        <f t="shared" si="14"/>
        <v>0</v>
      </c>
      <c r="BB129" s="110">
        <f t="shared" si="15"/>
        <v>4</v>
      </c>
      <c r="BC129" s="110">
        <f t="shared" si="16"/>
        <v>4</v>
      </c>
      <c r="BD129" s="111">
        <f t="shared" si="17"/>
        <v>100</v>
      </c>
    </row>
    <row r="130">
      <c r="A130" s="47">
        <v>20.0</v>
      </c>
      <c r="B130" s="47" t="s">
        <v>211</v>
      </c>
      <c r="C130" s="137" t="s">
        <v>212</v>
      </c>
      <c r="D130" s="138" t="s">
        <v>28</v>
      </c>
      <c r="E130" s="139" t="s">
        <v>28</v>
      </c>
      <c r="F130" s="139" t="s">
        <v>28</v>
      </c>
      <c r="G130" s="139" t="s">
        <v>28</v>
      </c>
      <c r="H130" s="128"/>
      <c r="I130" s="128"/>
      <c r="J130" s="128"/>
      <c r="K130" s="96"/>
      <c r="L130" s="82"/>
      <c r="M130" s="96"/>
      <c r="N130" s="96"/>
      <c r="O130" s="96"/>
      <c r="P130" s="82"/>
      <c r="Q130" s="96"/>
      <c r="R130" s="96"/>
      <c r="S130" s="45"/>
      <c r="T130" s="45"/>
      <c r="U130" s="45"/>
      <c r="V130" s="45"/>
      <c r="W130" s="45"/>
      <c r="X130" s="45"/>
      <c r="Y130" s="45"/>
      <c r="Z130" s="45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110">
        <f t="shared" si="13"/>
        <v>0</v>
      </c>
      <c r="BA130" s="110">
        <f t="shared" si="14"/>
        <v>0</v>
      </c>
      <c r="BB130" s="110">
        <f t="shared" si="15"/>
        <v>4</v>
      </c>
      <c r="BC130" s="110">
        <f t="shared" si="16"/>
        <v>4</v>
      </c>
      <c r="BD130" s="111">
        <f t="shared" si="17"/>
        <v>100</v>
      </c>
    </row>
    <row r="131">
      <c r="A131" s="47">
        <v>21.0</v>
      </c>
      <c r="B131" s="47" t="s">
        <v>213</v>
      </c>
      <c r="C131" s="137" t="s">
        <v>214</v>
      </c>
      <c r="D131" s="138" t="s">
        <v>28</v>
      </c>
      <c r="E131" s="140" t="s">
        <v>22</v>
      </c>
      <c r="F131" s="140" t="s">
        <v>22</v>
      </c>
      <c r="G131" s="139" t="s">
        <v>28</v>
      </c>
      <c r="H131" s="128"/>
      <c r="I131" s="128"/>
      <c r="J131" s="128"/>
      <c r="K131" s="96"/>
      <c r="L131" s="82"/>
      <c r="M131" s="82"/>
      <c r="N131" s="96"/>
      <c r="O131" s="96"/>
      <c r="P131" s="96"/>
      <c r="Q131" s="96"/>
      <c r="R131" s="96"/>
      <c r="S131" s="45"/>
      <c r="T131" s="45"/>
      <c r="U131" s="45"/>
      <c r="V131" s="45"/>
      <c r="W131" s="45"/>
      <c r="X131" s="45"/>
      <c r="Y131" s="45"/>
      <c r="Z131" s="45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110">
        <f t="shared" si="13"/>
        <v>0</v>
      </c>
      <c r="BA131" s="110">
        <f t="shared" si="14"/>
        <v>2</v>
      </c>
      <c r="BB131" s="110">
        <f t="shared" si="15"/>
        <v>2</v>
      </c>
      <c r="BC131" s="110">
        <f t="shared" si="16"/>
        <v>4</v>
      </c>
      <c r="BD131" s="111">
        <f t="shared" si="17"/>
        <v>50</v>
      </c>
    </row>
    <row r="132">
      <c r="A132" s="47">
        <v>22.0</v>
      </c>
      <c r="B132" s="47" t="s">
        <v>279</v>
      </c>
      <c r="C132" s="137" t="s">
        <v>280</v>
      </c>
      <c r="D132" s="141" t="s">
        <v>22</v>
      </c>
      <c r="E132" s="139" t="s">
        <v>28</v>
      </c>
      <c r="F132" s="140" t="s">
        <v>22</v>
      </c>
      <c r="G132" s="140" t="s">
        <v>22</v>
      </c>
      <c r="H132" s="128"/>
      <c r="I132" s="128"/>
      <c r="J132" s="128"/>
      <c r="K132" s="82"/>
      <c r="L132" s="96"/>
      <c r="M132" s="82"/>
      <c r="N132" s="96"/>
      <c r="O132" s="96"/>
      <c r="P132" s="96"/>
      <c r="Q132" s="96"/>
      <c r="R132" s="82"/>
      <c r="S132" s="45"/>
      <c r="T132" s="45"/>
      <c r="U132" s="45"/>
      <c r="V132" s="45"/>
      <c r="W132" s="45"/>
      <c r="X132" s="45"/>
      <c r="Y132" s="45"/>
      <c r="Z132" s="45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110">
        <f t="shared" si="13"/>
        <v>0</v>
      </c>
      <c r="BA132" s="110">
        <f t="shared" si="14"/>
        <v>3</v>
      </c>
      <c r="BB132" s="110">
        <f t="shared" si="15"/>
        <v>1</v>
      </c>
      <c r="BC132" s="110">
        <f t="shared" si="16"/>
        <v>4</v>
      </c>
      <c r="BD132" s="111">
        <f t="shared" si="17"/>
        <v>25</v>
      </c>
    </row>
    <row r="133">
      <c r="A133" s="47">
        <v>23.0</v>
      </c>
      <c r="B133" s="47" t="s">
        <v>255</v>
      </c>
      <c r="C133" s="137" t="s">
        <v>256</v>
      </c>
      <c r="D133" s="138" t="s">
        <v>28</v>
      </c>
      <c r="E133" s="140" t="s">
        <v>22</v>
      </c>
      <c r="F133" s="139" t="s">
        <v>28</v>
      </c>
      <c r="G133" s="140" t="s">
        <v>22</v>
      </c>
      <c r="H133" s="128"/>
      <c r="I133" s="128"/>
      <c r="J133" s="128"/>
      <c r="K133" s="96"/>
      <c r="L133" s="96"/>
      <c r="M133" s="82"/>
      <c r="N133" s="96"/>
      <c r="O133" s="96"/>
      <c r="P133" s="96"/>
      <c r="Q133" s="96"/>
      <c r="R133" s="82"/>
      <c r="S133" s="45"/>
      <c r="T133" s="45"/>
      <c r="U133" s="45"/>
      <c r="V133" s="45"/>
      <c r="W133" s="45"/>
      <c r="X133" s="45"/>
      <c r="Y133" s="45"/>
      <c r="Z133" s="45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110">
        <f t="shared" si="13"/>
        <v>0</v>
      </c>
      <c r="BA133" s="110">
        <f t="shared" si="14"/>
        <v>2</v>
      </c>
      <c r="BB133" s="110">
        <f t="shared" si="15"/>
        <v>2</v>
      </c>
      <c r="BC133" s="110">
        <f t="shared" si="16"/>
        <v>4</v>
      </c>
      <c r="BD133" s="111">
        <f t="shared" si="17"/>
        <v>50</v>
      </c>
    </row>
    <row r="134">
      <c r="A134" s="47">
        <v>24.0</v>
      </c>
      <c r="B134" s="47" t="s">
        <v>233</v>
      </c>
      <c r="C134" s="137" t="s">
        <v>234</v>
      </c>
      <c r="D134" s="141" t="s">
        <v>22</v>
      </c>
      <c r="E134" s="139" t="s">
        <v>28</v>
      </c>
      <c r="F134" s="140" t="s">
        <v>22</v>
      </c>
      <c r="G134" s="140" t="s">
        <v>22</v>
      </c>
      <c r="H134" s="128"/>
      <c r="I134" s="128"/>
      <c r="J134" s="128"/>
      <c r="K134" s="96"/>
      <c r="L134" s="96"/>
      <c r="M134" s="96"/>
      <c r="N134" s="96"/>
      <c r="O134" s="96"/>
      <c r="P134" s="96"/>
      <c r="Q134" s="96"/>
      <c r="R134" s="82"/>
      <c r="S134" s="45"/>
      <c r="T134" s="45"/>
      <c r="U134" s="45"/>
      <c r="V134" s="45"/>
      <c r="W134" s="45"/>
      <c r="X134" s="45"/>
      <c r="Y134" s="45"/>
      <c r="Z134" s="45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110">
        <f t="shared" si="13"/>
        <v>0</v>
      </c>
      <c r="BA134" s="110">
        <f t="shared" si="14"/>
        <v>3</v>
      </c>
      <c r="BB134" s="110">
        <f t="shared" si="15"/>
        <v>1</v>
      </c>
      <c r="BC134" s="110">
        <f t="shared" si="16"/>
        <v>4</v>
      </c>
      <c r="BD134" s="111">
        <f t="shared" si="17"/>
        <v>25</v>
      </c>
    </row>
    <row r="135">
      <c r="A135" s="47">
        <v>25.0</v>
      </c>
      <c r="B135" s="47" t="s">
        <v>165</v>
      </c>
      <c r="C135" s="137" t="s">
        <v>166</v>
      </c>
      <c r="D135" s="138" t="s">
        <v>28</v>
      </c>
      <c r="E135" s="139" t="s">
        <v>28</v>
      </c>
      <c r="F135" s="139" t="s">
        <v>28</v>
      </c>
      <c r="G135" s="139" t="s">
        <v>28</v>
      </c>
      <c r="H135" s="128"/>
      <c r="I135" s="128"/>
      <c r="J135" s="128"/>
      <c r="K135" s="96"/>
      <c r="L135" s="96"/>
      <c r="M135" s="96"/>
      <c r="N135" s="96"/>
      <c r="O135" s="96"/>
      <c r="P135" s="96"/>
      <c r="Q135" s="96"/>
      <c r="R135" s="96"/>
      <c r="S135" s="45"/>
      <c r="T135" s="45"/>
      <c r="U135" s="45"/>
      <c r="V135" s="45"/>
      <c r="W135" s="45"/>
      <c r="X135" s="45"/>
      <c r="Y135" s="45"/>
      <c r="Z135" s="45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110">
        <f t="shared" si="13"/>
        <v>0</v>
      </c>
      <c r="BA135" s="110">
        <f t="shared" si="14"/>
        <v>0</v>
      </c>
      <c r="BB135" s="110">
        <f t="shared" si="15"/>
        <v>4</v>
      </c>
      <c r="BC135" s="110">
        <f t="shared" si="16"/>
        <v>4</v>
      </c>
      <c r="BD135" s="111">
        <f t="shared" si="17"/>
        <v>100</v>
      </c>
    </row>
    <row r="136">
      <c r="A136" s="47">
        <v>26.0</v>
      </c>
      <c r="B136" s="47" t="s">
        <v>131</v>
      </c>
      <c r="C136" s="137" t="s">
        <v>132</v>
      </c>
      <c r="D136" s="138" t="s">
        <v>28</v>
      </c>
      <c r="E136" s="139" t="s">
        <v>28</v>
      </c>
      <c r="F136" s="139" t="s">
        <v>28</v>
      </c>
      <c r="G136" s="140" t="s">
        <v>22</v>
      </c>
      <c r="H136" s="128"/>
      <c r="I136" s="128"/>
      <c r="J136" s="128"/>
      <c r="K136" s="96"/>
      <c r="L136" s="96"/>
      <c r="M136" s="96"/>
      <c r="N136" s="96"/>
      <c r="O136" s="96"/>
      <c r="P136" s="96"/>
      <c r="Q136" s="96"/>
      <c r="R136" s="82"/>
      <c r="S136" s="45"/>
      <c r="T136" s="45"/>
      <c r="U136" s="45"/>
      <c r="V136" s="45"/>
      <c r="W136" s="45"/>
      <c r="X136" s="45"/>
      <c r="Y136" s="45"/>
      <c r="Z136" s="45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110">
        <f t="shared" si="13"/>
        <v>0</v>
      </c>
      <c r="BA136" s="110">
        <f t="shared" si="14"/>
        <v>1</v>
      </c>
      <c r="BB136" s="110">
        <f t="shared" si="15"/>
        <v>3</v>
      </c>
      <c r="BC136" s="110">
        <f t="shared" si="16"/>
        <v>4</v>
      </c>
      <c r="BD136" s="111">
        <f t="shared" si="17"/>
        <v>75</v>
      </c>
    </row>
    <row r="137">
      <c r="A137" s="47">
        <v>27.0</v>
      </c>
      <c r="B137" s="47" t="s">
        <v>143</v>
      </c>
      <c r="C137" s="137" t="s">
        <v>144</v>
      </c>
      <c r="D137" s="138" t="s">
        <v>28</v>
      </c>
      <c r="E137" s="139" t="s">
        <v>28</v>
      </c>
      <c r="F137" s="139" t="s">
        <v>28</v>
      </c>
      <c r="G137" s="139" t="s">
        <v>28</v>
      </c>
      <c r="H137" s="128"/>
      <c r="I137" s="128"/>
      <c r="J137" s="128"/>
      <c r="K137" s="96"/>
      <c r="L137" s="96"/>
      <c r="M137" s="82"/>
      <c r="N137" s="96"/>
      <c r="O137" s="96"/>
      <c r="P137" s="96"/>
      <c r="Q137" s="96"/>
      <c r="R137" s="96"/>
      <c r="S137" s="45"/>
      <c r="T137" s="45"/>
      <c r="U137" s="45"/>
      <c r="V137" s="45"/>
      <c r="W137" s="45"/>
      <c r="X137" s="45"/>
      <c r="Y137" s="45"/>
      <c r="Z137" s="45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110">
        <f t="shared" si="13"/>
        <v>0</v>
      </c>
      <c r="BA137" s="110">
        <f t="shared" si="14"/>
        <v>0</v>
      </c>
      <c r="BB137" s="110">
        <f t="shared" si="15"/>
        <v>4</v>
      </c>
      <c r="BC137" s="110">
        <f t="shared" si="16"/>
        <v>4</v>
      </c>
      <c r="BD137" s="111">
        <f t="shared" si="17"/>
        <v>100</v>
      </c>
    </row>
    <row r="138">
      <c r="A138" s="47">
        <v>28.0</v>
      </c>
      <c r="B138" s="47" t="s">
        <v>141</v>
      </c>
      <c r="C138" s="137" t="s">
        <v>142</v>
      </c>
      <c r="D138" s="138" t="s">
        <v>28</v>
      </c>
      <c r="E138" s="139" t="s">
        <v>28</v>
      </c>
      <c r="F138" s="140" t="s">
        <v>22</v>
      </c>
      <c r="G138" s="139" t="s">
        <v>28</v>
      </c>
      <c r="H138" s="128"/>
      <c r="I138" s="128"/>
      <c r="J138" s="128"/>
      <c r="K138" s="96"/>
      <c r="L138" s="96"/>
      <c r="M138" s="96"/>
      <c r="N138" s="96"/>
      <c r="O138" s="96"/>
      <c r="P138" s="96"/>
      <c r="Q138" s="96"/>
      <c r="R138" s="82"/>
      <c r="S138" s="45"/>
      <c r="T138" s="45"/>
      <c r="U138" s="45"/>
      <c r="V138" s="45"/>
      <c r="W138" s="45"/>
      <c r="X138" s="45"/>
      <c r="Y138" s="45"/>
      <c r="Z138" s="45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110">
        <f t="shared" si="13"/>
        <v>0</v>
      </c>
      <c r="BA138" s="110">
        <f t="shared" si="14"/>
        <v>1</v>
      </c>
      <c r="BB138" s="110">
        <f t="shared" si="15"/>
        <v>3</v>
      </c>
      <c r="BC138" s="110">
        <f t="shared" si="16"/>
        <v>4</v>
      </c>
      <c r="BD138" s="111">
        <f t="shared" si="17"/>
        <v>75</v>
      </c>
    </row>
    <row r="139">
      <c r="A139" s="47">
        <v>29.0</v>
      </c>
      <c r="B139" s="47" t="s">
        <v>247</v>
      </c>
      <c r="C139" s="137" t="s">
        <v>248</v>
      </c>
      <c r="D139" s="141" t="s">
        <v>22</v>
      </c>
      <c r="E139" s="140" t="s">
        <v>22</v>
      </c>
      <c r="F139" s="139" t="s">
        <v>28</v>
      </c>
      <c r="G139" s="139" t="s">
        <v>28</v>
      </c>
      <c r="H139" s="128"/>
      <c r="I139" s="128"/>
      <c r="J139" s="128"/>
      <c r="K139" s="96"/>
      <c r="L139" s="96"/>
      <c r="M139" s="96"/>
      <c r="N139" s="96"/>
      <c r="O139" s="96"/>
      <c r="P139" s="96"/>
      <c r="Q139" s="96"/>
      <c r="R139" s="82"/>
      <c r="S139" s="45"/>
      <c r="T139" s="45"/>
      <c r="U139" s="45"/>
      <c r="V139" s="45"/>
      <c r="W139" s="45"/>
      <c r="X139" s="45"/>
      <c r="Y139" s="45"/>
      <c r="Z139" s="45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110">
        <f t="shared" si="13"/>
        <v>0</v>
      </c>
      <c r="BA139" s="110">
        <f t="shared" si="14"/>
        <v>2</v>
      </c>
      <c r="BB139" s="110">
        <f t="shared" si="15"/>
        <v>2</v>
      </c>
      <c r="BC139" s="110">
        <f t="shared" si="16"/>
        <v>4</v>
      </c>
      <c r="BD139" s="111">
        <f t="shared" si="17"/>
        <v>50</v>
      </c>
    </row>
    <row r="140">
      <c r="A140" s="47">
        <v>30.0</v>
      </c>
      <c r="B140" s="47" t="s">
        <v>181</v>
      </c>
      <c r="C140" s="137" t="s">
        <v>182</v>
      </c>
      <c r="D140" s="138" t="s">
        <v>28</v>
      </c>
      <c r="E140" s="140" t="s">
        <v>22</v>
      </c>
      <c r="F140" s="139" t="s">
        <v>28</v>
      </c>
      <c r="G140" s="139" t="s">
        <v>28</v>
      </c>
      <c r="H140" s="128"/>
      <c r="I140" s="128"/>
      <c r="J140" s="128"/>
      <c r="K140" s="82"/>
      <c r="L140" s="82"/>
      <c r="M140" s="82"/>
      <c r="N140" s="96"/>
      <c r="O140" s="96"/>
      <c r="P140" s="82"/>
      <c r="Q140" s="96"/>
      <c r="R140" s="82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110">
        <f t="shared" si="13"/>
        <v>0</v>
      </c>
      <c r="BA140" s="110">
        <f t="shared" si="14"/>
        <v>1</v>
      </c>
      <c r="BB140" s="110">
        <f t="shared" si="15"/>
        <v>3</v>
      </c>
      <c r="BC140" s="110">
        <f t="shared" si="16"/>
        <v>4</v>
      </c>
      <c r="BD140" s="111">
        <f t="shared" si="17"/>
        <v>75</v>
      </c>
    </row>
    <row r="141">
      <c r="A141" s="55"/>
      <c r="B141" s="55"/>
      <c r="C141" s="56" t="s">
        <v>191</v>
      </c>
      <c r="D141" s="112">
        <f t="shared" ref="D141:AY141" si="18">COUNTIF(D111:D140,"P")+COUNTIF(D111:D140,"L")</f>
        <v>25</v>
      </c>
      <c r="E141" s="112">
        <f t="shared" si="18"/>
        <v>24</v>
      </c>
      <c r="F141" s="112">
        <f t="shared" si="18"/>
        <v>20</v>
      </c>
      <c r="G141" s="112">
        <f t="shared" si="18"/>
        <v>23</v>
      </c>
      <c r="H141" s="112">
        <f t="shared" si="18"/>
        <v>0</v>
      </c>
      <c r="I141" s="112">
        <f t="shared" si="18"/>
        <v>0</v>
      </c>
      <c r="J141" s="112">
        <f t="shared" si="18"/>
        <v>0</v>
      </c>
      <c r="K141" s="112">
        <f t="shared" si="18"/>
        <v>0</v>
      </c>
      <c r="L141" s="112">
        <f t="shared" si="18"/>
        <v>0</v>
      </c>
      <c r="M141" s="112">
        <f t="shared" si="18"/>
        <v>0</v>
      </c>
      <c r="N141" s="112">
        <f t="shared" si="18"/>
        <v>0</v>
      </c>
      <c r="O141" s="112">
        <f t="shared" si="18"/>
        <v>0</v>
      </c>
      <c r="P141" s="112">
        <f t="shared" si="18"/>
        <v>0</v>
      </c>
      <c r="Q141" s="112">
        <f t="shared" si="18"/>
        <v>0</v>
      </c>
      <c r="R141" s="112">
        <f t="shared" si="18"/>
        <v>0</v>
      </c>
      <c r="S141" s="112">
        <f t="shared" si="18"/>
        <v>0</v>
      </c>
      <c r="T141" s="112">
        <f t="shared" si="18"/>
        <v>0</v>
      </c>
      <c r="U141" s="112">
        <f t="shared" si="18"/>
        <v>0</v>
      </c>
      <c r="V141" s="112">
        <f t="shared" si="18"/>
        <v>0</v>
      </c>
      <c r="W141" s="112">
        <f t="shared" si="18"/>
        <v>0</v>
      </c>
      <c r="X141" s="112">
        <f t="shared" si="18"/>
        <v>0</v>
      </c>
      <c r="Y141" s="112">
        <f t="shared" si="18"/>
        <v>0</v>
      </c>
      <c r="Z141" s="112">
        <f t="shared" si="18"/>
        <v>0</v>
      </c>
      <c r="AA141" s="112">
        <f t="shared" si="18"/>
        <v>0</v>
      </c>
      <c r="AB141" s="112">
        <f t="shared" si="18"/>
        <v>0</v>
      </c>
      <c r="AC141" s="112">
        <f t="shared" si="18"/>
        <v>0</v>
      </c>
      <c r="AD141" s="112">
        <f t="shared" si="18"/>
        <v>0</v>
      </c>
      <c r="AE141" s="112">
        <f t="shared" si="18"/>
        <v>0</v>
      </c>
      <c r="AF141" s="112">
        <f t="shared" si="18"/>
        <v>0</v>
      </c>
      <c r="AG141" s="112">
        <f t="shared" si="18"/>
        <v>0</v>
      </c>
      <c r="AH141" s="112">
        <f t="shared" si="18"/>
        <v>0</v>
      </c>
      <c r="AI141" s="112">
        <f t="shared" si="18"/>
        <v>0</v>
      </c>
      <c r="AJ141" s="112">
        <f t="shared" si="18"/>
        <v>0</v>
      </c>
      <c r="AK141" s="112">
        <f t="shared" si="18"/>
        <v>0</v>
      </c>
      <c r="AL141" s="112">
        <f t="shared" si="18"/>
        <v>0</v>
      </c>
      <c r="AM141" s="112">
        <f t="shared" si="18"/>
        <v>0</v>
      </c>
      <c r="AN141" s="112">
        <f t="shared" si="18"/>
        <v>0</v>
      </c>
      <c r="AO141" s="112">
        <f t="shared" si="18"/>
        <v>0</v>
      </c>
      <c r="AP141" s="112">
        <f t="shared" si="18"/>
        <v>0</v>
      </c>
      <c r="AQ141" s="112">
        <f t="shared" si="18"/>
        <v>0</v>
      </c>
      <c r="AR141" s="112">
        <f t="shared" si="18"/>
        <v>0</v>
      </c>
      <c r="AS141" s="112">
        <f t="shared" si="18"/>
        <v>0</v>
      </c>
      <c r="AT141" s="112">
        <f t="shared" si="18"/>
        <v>0</v>
      </c>
      <c r="AU141" s="112">
        <f t="shared" si="18"/>
        <v>0</v>
      </c>
      <c r="AV141" s="112">
        <f t="shared" si="18"/>
        <v>0</v>
      </c>
      <c r="AW141" s="112">
        <f t="shared" si="18"/>
        <v>0</v>
      </c>
      <c r="AX141" s="112">
        <f t="shared" si="18"/>
        <v>0</v>
      </c>
      <c r="AY141" s="112">
        <f t="shared" si="18"/>
        <v>0</v>
      </c>
      <c r="AZ141" s="32"/>
      <c r="BA141" s="32"/>
      <c r="BB141" s="32"/>
      <c r="BC141" s="33"/>
    </row>
    <row r="142">
      <c r="A142" s="83"/>
      <c r="B142" s="55"/>
      <c r="C142" s="59" t="s">
        <v>192</v>
      </c>
      <c r="D142" s="114">
        <v>30.0</v>
      </c>
      <c r="E142" s="114">
        <v>30.0</v>
      </c>
      <c r="F142" s="114">
        <v>30.0</v>
      </c>
      <c r="G142" s="114">
        <v>30.0</v>
      </c>
      <c r="H142" s="114">
        <v>30.0</v>
      </c>
      <c r="I142" s="114">
        <v>30.0</v>
      </c>
      <c r="J142" s="114">
        <v>30.0</v>
      </c>
      <c r="K142" s="114">
        <v>30.0</v>
      </c>
      <c r="L142" s="114">
        <v>30.0</v>
      </c>
      <c r="M142" s="114">
        <v>30.0</v>
      </c>
      <c r="N142" s="114">
        <v>30.0</v>
      </c>
      <c r="O142" s="114">
        <v>30.0</v>
      </c>
      <c r="P142" s="114">
        <v>30.0</v>
      </c>
      <c r="Q142" s="114">
        <v>30.0</v>
      </c>
      <c r="R142" s="114">
        <v>30.0</v>
      </c>
      <c r="S142" s="114">
        <v>30.0</v>
      </c>
      <c r="T142" s="114">
        <v>30.0</v>
      </c>
      <c r="U142" s="114">
        <v>30.0</v>
      </c>
      <c r="V142" s="114">
        <v>30.0</v>
      </c>
      <c r="W142" s="114">
        <v>30.0</v>
      </c>
      <c r="X142" s="114">
        <v>30.0</v>
      </c>
      <c r="Y142" s="114">
        <v>30.0</v>
      </c>
      <c r="Z142" s="114">
        <v>30.0</v>
      </c>
      <c r="AA142" s="114">
        <v>30.0</v>
      </c>
      <c r="AB142" s="114">
        <v>30.0</v>
      </c>
      <c r="AC142" s="114">
        <v>30.0</v>
      </c>
      <c r="AD142" s="114">
        <v>30.0</v>
      </c>
      <c r="AE142" s="114">
        <v>30.0</v>
      </c>
      <c r="AF142" s="114">
        <v>30.0</v>
      </c>
      <c r="AG142" s="114">
        <v>30.0</v>
      </c>
      <c r="AH142" s="114">
        <v>30.0</v>
      </c>
      <c r="AI142" s="114">
        <v>30.0</v>
      </c>
      <c r="AJ142" s="114">
        <v>30.0</v>
      </c>
      <c r="AK142" s="114">
        <v>30.0</v>
      </c>
      <c r="AL142" s="114">
        <v>30.0</v>
      </c>
      <c r="AM142" s="114">
        <v>30.0</v>
      </c>
      <c r="AN142" s="114">
        <v>30.0</v>
      </c>
      <c r="AO142" s="114">
        <v>30.0</v>
      </c>
      <c r="AP142" s="114">
        <v>30.0</v>
      </c>
      <c r="AQ142" s="114">
        <v>30.0</v>
      </c>
      <c r="AR142" s="114">
        <v>30.0</v>
      </c>
      <c r="AS142" s="114">
        <v>30.0</v>
      </c>
      <c r="AT142" s="114">
        <v>30.0</v>
      </c>
      <c r="AU142" s="114">
        <v>30.0</v>
      </c>
      <c r="AV142" s="114">
        <v>30.0</v>
      </c>
      <c r="AW142" s="114">
        <v>30.0</v>
      </c>
      <c r="AX142" s="114">
        <v>30.0</v>
      </c>
      <c r="AY142" s="114">
        <v>30.0</v>
      </c>
      <c r="AZ142" s="55"/>
      <c r="BA142" s="55"/>
      <c r="BB142" s="55"/>
      <c r="BC142" s="55"/>
      <c r="BD142" s="76"/>
    </row>
    <row r="143">
      <c r="D143" s="123"/>
      <c r="E143" s="123"/>
      <c r="F143" s="123"/>
      <c r="G143" s="135"/>
    </row>
    <row r="144">
      <c r="D144" s="123"/>
      <c r="E144" s="123"/>
      <c r="F144" s="123"/>
      <c r="G144" s="135"/>
    </row>
    <row r="145">
      <c r="D145" s="123"/>
      <c r="E145" s="123"/>
      <c r="F145" s="123"/>
      <c r="G145" s="135"/>
    </row>
    <row r="146">
      <c r="D146" s="123"/>
      <c r="E146" s="123"/>
      <c r="F146" s="123"/>
      <c r="G146" s="135"/>
    </row>
    <row r="147">
      <c r="D147" s="123"/>
      <c r="E147" s="123"/>
      <c r="F147" s="123"/>
      <c r="G147" s="135"/>
    </row>
    <row r="148">
      <c r="D148" s="123"/>
      <c r="E148" s="123"/>
      <c r="F148" s="123"/>
      <c r="G148" s="135"/>
    </row>
    <row r="149">
      <c r="D149" s="123"/>
      <c r="E149" s="123"/>
      <c r="F149" s="123"/>
      <c r="G149" s="135"/>
    </row>
    <row r="150">
      <c r="D150" s="123"/>
      <c r="E150" s="123"/>
      <c r="F150" s="123"/>
      <c r="G150" s="135"/>
    </row>
    <row r="151">
      <c r="D151" s="123"/>
      <c r="E151" s="123"/>
      <c r="F151" s="123"/>
      <c r="G151" s="135"/>
    </row>
    <row r="152">
      <c r="D152" s="123"/>
      <c r="E152" s="123"/>
      <c r="F152" s="123"/>
      <c r="G152" s="135"/>
    </row>
    <row r="153">
      <c r="D153" s="123"/>
      <c r="E153" s="123"/>
      <c r="F153" s="123"/>
      <c r="G153" s="135"/>
    </row>
    <row r="154">
      <c r="D154" s="123"/>
      <c r="E154" s="123"/>
      <c r="F154" s="123"/>
      <c r="G154" s="135"/>
    </row>
    <row r="155">
      <c r="D155" s="123"/>
      <c r="E155" s="123"/>
      <c r="F155" s="123"/>
      <c r="G155" s="135"/>
    </row>
    <row r="156">
      <c r="D156" s="123"/>
      <c r="E156" s="123"/>
      <c r="F156" s="123"/>
      <c r="G156" s="135"/>
      <c r="K156" s="124" t="s">
        <v>492</v>
      </c>
    </row>
    <row r="157">
      <c r="D157" s="123"/>
      <c r="E157" s="123"/>
      <c r="F157" s="123"/>
      <c r="G157" s="135"/>
    </row>
    <row r="158">
      <c r="D158" s="123"/>
      <c r="E158" s="123"/>
      <c r="F158" s="123"/>
      <c r="G158" s="135"/>
    </row>
    <row r="159">
      <c r="D159" s="123"/>
      <c r="E159" s="123"/>
      <c r="F159" s="123"/>
      <c r="G159" s="135"/>
    </row>
    <row r="160">
      <c r="D160" s="123"/>
      <c r="E160" s="123"/>
      <c r="F160" s="123"/>
      <c r="G160" s="135"/>
    </row>
    <row r="161">
      <c r="D161" s="123"/>
      <c r="E161" s="123"/>
      <c r="F161" s="123"/>
      <c r="G161" s="135"/>
    </row>
    <row r="162">
      <c r="D162" s="123"/>
      <c r="E162" s="123"/>
      <c r="F162" s="123"/>
      <c r="G162" s="135"/>
    </row>
    <row r="163">
      <c r="D163" s="123"/>
      <c r="E163" s="123"/>
      <c r="F163" s="123"/>
      <c r="G163" s="135"/>
    </row>
    <row r="164">
      <c r="D164" s="123"/>
      <c r="E164" s="123"/>
      <c r="F164" s="123"/>
      <c r="G164" s="135"/>
    </row>
    <row r="165">
      <c r="D165" s="123"/>
      <c r="E165" s="123"/>
      <c r="F165" s="123"/>
      <c r="G165" s="135"/>
    </row>
    <row r="166">
      <c r="D166" s="123"/>
      <c r="E166" s="123"/>
      <c r="F166" s="123"/>
      <c r="G166" s="135"/>
    </row>
    <row r="167">
      <c r="D167" s="123"/>
      <c r="E167" s="123"/>
      <c r="F167" s="123"/>
      <c r="G167" s="135"/>
    </row>
    <row r="168">
      <c r="D168" s="123"/>
      <c r="E168" s="123"/>
      <c r="F168" s="123"/>
      <c r="G168" s="135"/>
    </row>
    <row r="169">
      <c r="D169" s="123"/>
      <c r="E169" s="123"/>
      <c r="F169" s="123"/>
      <c r="G169" s="135"/>
    </row>
    <row r="170">
      <c r="D170" s="123"/>
      <c r="E170" s="123"/>
      <c r="F170" s="123"/>
      <c r="G170" s="135"/>
    </row>
    <row r="171">
      <c r="D171" s="123"/>
      <c r="E171" s="123"/>
      <c r="F171" s="123"/>
      <c r="G171" s="135"/>
    </row>
    <row r="172">
      <c r="D172" s="123"/>
      <c r="E172" s="123"/>
      <c r="F172" s="123"/>
      <c r="G172" s="135"/>
    </row>
    <row r="173">
      <c r="D173" s="123"/>
      <c r="E173" s="123"/>
      <c r="F173" s="123"/>
      <c r="G173" s="135"/>
    </row>
    <row r="174">
      <c r="D174" s="123"/>
      <c r="E174" s="123"/>
      <c r="F174" s="123"/>
      <c r="G174" s="135"/>
    </row>
    <row r="175">
      <c r="D175" s="123"/>
      <c r="E175" s="123"/>
      <c r="F175" s="123"/>
      <c r="G175" s="135"/>
    </row>
    <row r="176">
      <c r="D176" s="123"/>
      <c r="E176" s="123"/>
      <c r="F176" s="123"/>
      <c r="G176" s="135"/>
    </row>
    <row r="177">
      <c r="D177" s="123"/>
      <c r="E177" s="123"/>
      <c r="F177" s="123"/>
      <c r="G177" s="135"/>
    </row>
    <row r="178">
      <c r="D178" s="123"/>
      <c r="E178" s="123"/>
      <c r="F178" s="123"/>
      <c r="G178" s="135"/>
    </row>
    <row r="179">
      <c r="D179" s="123"/>
      <c r="E179" s="123"/>
      <c r="F179" s="123"/>
      <c r="G179" s="135"/>
    </row>
    <row r="180">
      <c r="D180" s="123"/>
      <c r="E180" s="123"/>
      <c r="F180" s="123"/>
      <c r="G180" s="135"/>
    </row>
    <row r="181">
      <c r="D181" s="123"/>
      <c r="E181" s="123"/>
      <c r="F181" s="123"/>
      <c r="G181" s="135"/>
    </row>
    <row r="182">
      <c r="D182" s="123"/>
      <c r="E182" s="123"/>
      <c r="F182" s="123"/>
      <c r="G182" s="135"/>
    </row>
    <row r="183">
      <c r="D183" s="123"/>
      <c r="E183" s="123"/>
      <c r="F183" s="123"/>
      <c r="G183" s="135"/>
    </row>
    <row r="184">
      <c r="D184" s="123"/>
      <c r="E184" s="123"/>
      <c r="F184" s="123"/>
      <c r="G184" s="135"/>
    </row>
    <row r="185">
      <c r="D185" s="123"/>
      <c r="E185" s="123"/>
      <c r="F185" s="123"/>
      <c r="G185" s="135"/>
    </row>
    <row r="186">
      <c r="D186" s="123"/>
      <c r="E186" s="123"/>
      <c r="F186" s="123"/>
      <c r="G186" s="135"/>
    </row>
    <row r="187">
      <c r="D187" s="123"/>
      <c r="E187" s="123"/>
      <c r="F187" s="123"/>
      <c r="G187" s="135"/>
    </row>
    <row r="188">
      <c r="D188" s="123"/>
      <c r="E188" s="123"/>
      <c r="F188" s="123"/>
      <c r="G188" s="135"/>
    </row>
    <row r="189">
      <c r="D189" s="123"/>
      <c r="E189" s="123"/>
      <c r="F189" s="123"/>
      <c r="G189" s="135"/>
    </row>
    <row r="190">
      <c r="D190" s="123"/>
      <c r="E190" s="123"/>
      <c r="F190" s="123"/>
      <c r="G190" s="135"/>
    </row>
    <row r="191">
      <c r="D191" s="123"/>
      <c r="E191" s="123"/>
      <c r="F191" s="123"/>
      <c r="G191" s="135"/>
    </row>
    <row r="192">
      <c r="D192" s="123"/>
      <c r="E192" s="123"/>
      <c r="F192" s="123"/>
      <c r="G192" s="135"/>
    </row>
    <row r="193">
      <c r="D193" s="123"/>
      <c r="E193" s="123"/>
      <c r="F193" s="123"/>
      <c r="G193" s="135"/>
    </row>
    <row r="194">
      <c r="D194" s="123"/>
      <c r="E194" s="123"/>
      <c r="F194" s="123"/>
      <c r="G194" s="135"/>
    </row>
    <row r="195">
      <c r="D195" s="123"/>
      <c r="E195" s="123"/>
      <c r="F195" s="123"/>
      <c r="G195" s="135"/>
    </row>
    <row r="196">
      <c r="D196" s="123"/>
      <c r="E196" s="123"/>
      <c r="F196" s="123"/>
      <c r="G196" s="135"/>
    </row>
    <row r="197">
      <c r="D197" s="123"/>
      <c r="E197" s="123"/>
      <c r="F197" s="123"/>
      <c r="G197" s="135"/>
    </row>
    <row r="198">
      <c r="D198" s="123"/>
      <c r="E198" s="123"/>
      <c r="F198" s="123"/>
      <c r="G198" s="135"/>
    </row>
    <row r="199">
      <c r="D199" s="123"/>
      <c r="E199" s="123"/>
      <c r="F199" s="123"/>
      <c r="G199" s="135"/>
    </row>
    <row r="200">
      <c r="D200" s="123"/>
      <c r="E200" s="123"/>
      <c r="F200" s="123"/>
      <c r="G200" s="135"/>
    </row>
    <row r="201">
      <c r="D201" s="123"/>
      <c r="E201" s="123"/>
      <c r="F201" s="123"/>
      <c r="G201" s="135"/>
    </row>
    <row r="202">
      <c r="D202" s="123"/>
      <c r="E202" s="123"/>
      <c r="F202" s="123"/>
      <c r="G202" s="135"/>
    </row>
    <row r="203">
      <c r="D203" s="123"/>
      <c r="E203" s="123"/>
      <c r="F203" s="123"/>
      <c r="G203" s="135"/>
    </row>
    <row r="204">
      <c r="D204" s="123"/>
      <c r="E204" s="123"/>
      <c r="F204" s="123"/>
      <c r="G204" s="135"/>
    </row>
    <row r="205">
      <c r="D205" s="123"/>
      <c r="E205" s="123"/>
      <c r="F205" s="123"/>
      <c r="G205" s="135"/>
    </row>
    <row r="206">
      <c r="D206" s="123"/>
      <c r="E206" s="123"/>
      <c r="F206" s="123"/>
      <c r="G206" s="135"/>
    </row>
    <row r="207">
      <c r="D207" s="123"/>
      <c r="E207" s="123"/>
      <c r="F207" s="123"/>
      <c r="G207" s="135"/>
    </row>
    <row r="208">
      <c r="D208" s="123"/>
      <c r="E208" s="123"/>
      <c r="F208" s="123"/>
      <c r="G208" s="135"/>
    </row>
    <row r="209">
      <c r="D209" s="123"/>
      <c r="E209" s="123"/>
      <c r="F209" s="123"/>
      <c r="G209" s="135"/>
    </row>
    <row r="210">
      <c r="D210" s="123"/>
      <c r="E210" s="123"/>
      <c r="F210" s="123"/>
      <c r="G210" s="135"/>
    </row>
    <row r="211">
      <c r="D211" s="123"/>
      <c r="E211" s="123"/>
      <c r="F211" s="123"/>
      <c r="G211" s="135"/>
    </row>
    <row r="212">
      <c r="D212" s="123"/>
      <c r="E212" s="123"/>
      <c r="F212" s="123"/>
      <c r="G212" s="135"/>
    </row>
    <row r="213">
      <c r="D213" s="123"/>
      <c r="E213" s="123"/>
      <c r="F213" s="123"/>
      <c r="G213" s="135"/>
    </row>
    <row r="214">
      <c r="D214" s="123"/>
      <c r="E214" s="123"/>
      <c r="F214" s="123"/>
      <c r="G214" s="135"/>
    </row>
    <row r="215">
      <c r="D215" s="123"/>
      <c r="E215" s="123"/>
      <c r="F215" s="123"/>
      <c r="G215" s="135"/>
    </row>
    <row r="216">
      <c r="D216" s="123"/>
      <c r="E216" s="123"/>
      <c r="F216" s="123"/>
      <c r="G216" s="135"/>
    </row>
    <row r="217">
      <c r="D217" s="123"/>
      <c r="E217" s="123"/>
      <c r="F217" s="123"/>
      <c r="G217" s="135"/>
    </row>
    <row r="218">
      <c r="D218" s="123"/>
      <c r="E218" s="123"/>
      <c r="F218" s="123"/>
      <c r="G218" s="135"/>
    </row>
    <row r="219">
      <c r="D219" s="123"/>
      <c r="E219" s="123"/>
      <c r="F219" s="123"/>
      <c r="G219" s="135"/>
    </row>
    <row r="220">
      <c r="D220" s="123"/>
      <c r="E220" s="123"/>
      <c r="F220" s="123"/>
      <c r="G220" s="135"/>
    </row>
    <row r="221">
      <c r="D221" s="123"/>
      <c r="E221" s="123"/>
      <c r="F221" s="123"/>
      <c r="G221" s="135"/>
    </row>
    <row r="222">
      <c r="D222" s="123"/>
      <c r="E222" s="123"/>
      <c r="F222" s="123"/>
      <c r="G222" s="135"/>
    </row>
    <row r="223">
      <c r="D223" s="123"/>
      <c r="E223" s="123"/>
      <c r="F223" s="123"/>
      <c r="G223" s="135"/>
    </row>
    <row r="224">
      <c r="D224" s="123"/>
      <c r="E224" s="123"/>
      <c r="F224" s="123"/>
      <c r="G224" s="135"/>
    </row>
    <row r="225">
      <c r="D225" s="123"/>
      <c r="E225" s="123"/>
      <c r="F225" s="123"/>
      <c r="G225" s="135"/>
    </row>
    <row r="226">
      <c r="D226" s="123"/>
      <c r="E226" s="123"/>
      <c r="F226" s="123"/>
      <c r="G226" s="135"/>
    </row>
    <row r="227">
      <c r="D227" s="123"/>
      <c r="E227" s="123"/>
      <c r="F227" s="123"/>
      <c r="G227" s="135"/>
    </row>
    <row r="228">
      <c r="D228" s="123"/>
      <c r="E228" s="123"/>
      <c r="F228" s="123"/>
      <c r="G228" s="135"/>
    </row>
    <row r="229">
      <c r="D229" s="123"/>
      <c r="E229" s="123"/>
      <c r="F229" s="123"/>
      <c r="G229" s="135"/>
    </row>
    <row r="230">
      <c r="D230" s="123"/>
      <c r="E230" s="123"/>
      <c r="F230" s="123"/>
      <c r="G230" s="135"/>
    </row>
    <row r="231">
      <c r="D231" s="123"/>
      <c r="E231" s="123"/>
      <c r="F231" s="123"/>
      <c r="G231" s="135"/>
    </row>
    <row r="232">
      <c r="D232" s="123"/>
      <c r="E232" s="123"/>
      <c r="F232" s="123"/>
      <c r="G232" s="135"/>
    </row>
    <row r="233">
      <c r="D233" s="123"/>
      <c r="E233" s="123"/>
      <c r="F233" s="123"/>
      <c r="G233" s="135"/>
    </row>
    <row r="234">
      <c r="D234" s="123"/>
      <c r="E234" s="123"/>
      <c r="F234" s="123"/>
      <c r="G234" s="135"/>
    </row>
    <row r="235">
      <c r="D235" s="123"/>
      <c r="E235" s="123"/>
      <c r="F235" s="123"/>
      <c r="G235" s="135"/>
    </row>
    <row r="236">
      <c r="D236" s="123"/>
      <c r="E236" s="123"/>
      <c r="F236" s="123"/>
      <c r="G236" s="135"/>
    </row>
    <row r="237">
      <c r="D237" s="123"/>
      <c r="E237" s="123"/>
      <c r="F237" s="123"/>
      <c r="G237" s="135"/>
    </row>
    <row r="238">
      <c r="D238" s="123"/>
      <c r="E238" s="123"/>
      <c r="F238" s="123"/>
      <c r="G238" s="135"/>
    </row>
    <row r="239">
      <c r="D239" s="123"/>
      <c r="E239" s="123"/>
      <c r="F239" s="123"/>
      <c r="G239" s="135"/>
    </row>
    <row r="240">
      <c r="D240" s="123"/>
      <c r="E240" s="123"/>
      <c r="F240" s="123"/>
      <c r="G240" s="135"/>
    </row>
    <row r="241">
      <c r="D241" s="123"/>
      <c r="E241" s="123"/>
      <c r="F241" s="123"/>
      <c r="G241" s="135"/>
    </row>
    <row r="242">
      <c r="D242" s="123"/>
      <c r="E242" s="123"/>
      <c r="F242" s="123"/>
      <c r="G242" s="135"/>
    </row>
    <row r="243">
      <c r="D243" s="123"/>
      <c r="E243" s="123"/>
      <c r="F243" s="123"/>
      <c r="G243" s="135"/>
    </row>
    <row r="244">
      <c r="D244" s="123"/>
      <c r="E244" s="123"/>
      <c r="F244" s="123"/>
      <c r="G244" s="135"/>
    </row>
    <row r="245">
      <c r="D245" s="123"/>
      <c r="E245" s="123"/>
      <c r="F245" s="123"/>
      <c r="G245" s="135"/>
    </row>
    <row r="246">
      <c r="D246" s="123"/>
      <c r="E246" s="123"/>
      <c r="F246" s="123"/>
      <c r="G246" s="135"/>
    </row>
    <row r="247">
      <c r="D247" s="123"/>
      <c r="E247" s="123"/>
      <c r="F247" s="123"/>
      <c r="G247" s="135"/>
    </row>
    <row r="248">
      <c r="D248" s="123"/>
      <c r="E248" s="123"/>
      <c r="F248" s="123"/>
      <c r="G248" s="135"/>
    </row>
    <row r="249">
      <c r="D249" s="123"/>
      <c r="E249" s="123"/>
      <c r="F249" s="123"/>
      <c r="G249" s="135"/>
    </row>
    <row r="250">
      <c r="D250" s="123"/>
      <c r="E250" s="123"/>
      <c r="F250" s="123"/>
      <c r="G250" s="135"/>
    </row>
    <row r="251">
      <c r="D251" s="123"/>
      <c r="E251" s="123"/>
      <c r="F251" s="123"/>
      <c r="G251" s="135"/>
    </row>
    <row r="252">
      <c r="D252" s="123"/>
      <c r="E252" s="123"/>
      <c r="F252" s="123"/>
      <c r="G252" s="135"/>
    </row>
    <row r="253">
      <c r="D253" s="123"/>
      <c r="E253" s="123"/>
      <c r="F253" s="123"/>
      <c r="G253" s="135"/>
    </row>
    <row r="254">
      <c r="D254" s="123"/>
      <c r="E254" s="123"/>
      <c r="F254" s="123"/>
      <c r="G254" s="135"/>
    </row>
    <row r="255">
      <c r="D255" s="123"/>
      <c r="E255" s="123"/>
      <c r="F255" s="123"/>
      <c r="G255" s="135"/>
    </row>
    <row r="256">
      <c r="D256" s="123"/>
      <c r="E256" s="123"/>
      <c r="F256" s="123"/>
      <c r="G256" s="135"/>
    </row>
    <row r="257">
      <c r="D257" s="123"/>
      <c r="E257" s="123"/>
      <c r="F257" s="123"/>
      <c r="G257" s="135"/>
    </row>
    <row r="258">
      <c r="D258" s="123"/>
      <c r="E258" s="123"/>
      <c r="F258" s="123"/>
      <c r="G258" s="135"/>
    </row>
    <row r="259">
      <c r="D259" s="123"/>
      <c r="E259" s="123"/>
      <c r="F259" s="123"/>
      <c r="G259" s="135"/>
    </row>
    <row r="260">
      <c r="D260" s="123"/>
      <c r="E260" s="123"/>
      <c r="F260" s="123"/>
      <c r="G260" s="135"/>
    </row>
    <row r="261">
      <c r="D261" s="123"/>
      <c r="E261" s="123"/>
      <c r="F261" s="123"/>
      <c r="G261" s="135"/>
    </row>
    <row r="262">
      <c r="D262" s="123"/>
      <c r="E262" s="123"/>
      <c r="F262" s="123"/>
      <c r="G262" s="135"/>
    </row>
    <row r="263">
      <c r="D263" s="123"/>
      <c r="E263" s="123"/>
      <c r="F263" s="123"/>
      <c r="G263" s="135"/>
    </row>
    <row r="264">
      <c r="D264" s="123"/>
      <c r="E264" s="123"/>
      <c r="F264" s="123"/>
      <c r="G264" s="135"/>
    </row>
    <row r="265">
      <c r="D265" s="123"/>
      <c r="E265" s="123"/>
      <c r="F265" s="123"/>
      <c r="G265" s="135"/>
    </row>
    <row r="266">
      <c r="D266" s="123"/>
      <c r="E266" s="123"/>
      <c r="F266" s="123"/>
      <c r="G266" s="135"/>
    </row>
    <row r="267">
      <c r="D267" s="123"/>
      <c r="E267" s="123"/>
      <c r="F267" s="123"/>
      <c r="G267" s="135"/>
    </row>
    <row r="268">
      <c r="D268" s="123"/>
      <c r="E268" s="123"/>
      <c r="F268" s="123"/>
      <c r="G268" s="135"/>
    </row>
    <row r="269">
      <c r="D269" s="123"/>
      <c r="E269" s="123"/>
      <c r="F269" s="123"/>
      <c r="G269" s="135"/>
    </row>
    <row r="270">
      <c r="D270" s="123"/>
      <c r="E270" s="123"/>
      <c r="F270" s="123"/>
      <c r="G270" s="135"/>
    </row>
    <row r="271">
      <c r="D271" s="123"/>
      <c r="E271" s="123"/>
      <c r="F271" s="123"/>
      <c r="G271" s="135"/>
    </row>
    <row r="272">
      <c r="D272" s="123"/>
      <c r="E272" s="123"/>
      <c r="F272" s="123"/>
      <c r="G272" s="135"/>
    </row>
    <row r="273">
      <c r="D273" s="123"/>
      <c r="E273" s="123"/>
      <c r="F273" s="123"/>
      <c r="G273" s="135"/>
    </row>
    <row r="274">
      <c r="D274" s="123"/>
      <c r="E274" s="123"/>
      <c r="F274" s="123"/>
      <c r="G274" s="135"/>
    </row>
    <row r="275">
      <c r="D275" s="123"/>
      <c r="E275" s="123"/>
      <c r="F275" s="123"/>
      <c r="G275" s="135"/>
    </row>
    <row r="276">
      <c r="D276" s="123"/>
      <c r="E276" s="123"/>
      <c r="F276" s="123"/>
      <c r="G276" s="135"/>
    </row>
    <row r="277">
      <c r="D277" s="123"/>
      <c r="E277" s="123"/>
      <c r="F277" s="123"/>
      <c r="G277" s="135"/>
    </row>
    <row r="278">
      <c r="D278" s="123"/>
      <c r="E278" s="123"/>
      <c r="F278" s="123"/>
      <c r="G278" s="135"/>
    </row>
    <row r="279">
      <c r="D279" s="123"/>
      <c r="E279" s="123"/>
      <c r="F279" s="123"/>
      <c r="G279" s="135"/>
    </row>
    <row r="280">
      <c r="D280" s="123"/>
      <c r="E280" s="123"/>
      <c r="F280" s="123"/>
      <c r="G280" s="135"/>
    </row>
    <row r="281">
      <c r="D281" s="123"/>
      <c r="E281" s="123"/>
      <c r="F281" s="123"/>
      <c r="G281" s="135"/>
    </row>
    <row r="282">
      <c r="D282" s="123"/>
      <c r="E282" s="123"/>
      <c r="F282" s="123"/>
      <c r="G282" s="135"/>
    </row>
    <row r="283">
      <c r="D283" s="123"/>
      <c r="E283" s="123"/>
      <c r="F283" s="123"/>
      <c r="G283" s="135"/>
    </row>
    <row r="284">
      <c r="D284" s="123"/>
      <c r="E284" s="123"/>
      <c r="F284" s="123"/>
      <c r="G284" s="135"/>
    </row>
    <row r="285">
      <c r="D285" s="123"/>
      <c r="E285" s="123"/>
      <c r="F285" s="123"/>
      <c r="G285" s="135"/>
    </row>
    <row r="286">
      <c r="D286" s="123"/>
      <c r="E286" s="123"/>
      <c r="F286" s="123"/>
      <c r="G286" s="135"/>
    </row>
    <row r="287">
      <c r="D287" s="123"/>
      <c r="E287" s="123"/>
      <c r="F287" s="123"/>
      <c r="G287" s="135"/>
    </row>
    <row r="288">
      <c r="D288" s="123"/>
      <c r="E288" s="123"/>
      <c r="F288" s="123"/>
      <c r="G288" s="135"/>
    </row>
    <row r="289">
      <c r="D289" s="123"/>
      <c r="E289" s="123"/>
      <c r="F289" s="123"/>
      <c r="G289" s="135"/>
    </row>
    <row r="290">
      <c r="D290" s="123"/>
      <c r="E290" s="123"/>
      <c r="F290" s="123"/>
      <c r="G290" s="135"/>
    </row>
    <row r="291">
      <c r="D291" s="123"/>
      <c r="E291" s="123"/>
      <c r="F291" s="123"/>
      <c r="G291" s="135"/>
    </row>
    <row r="292">
      <c r="D292" s="123"/>
      <c r="E292" s="123"/>
      <c r="F292" s="123"/>
      <c r="G292" s="135"/>
    </row>
    <row r="293">
      <c r="D293" s="123"/>
      <c r="E293" s="123"/>
      <c r="F293" s="123"/>
      <c r="G293" s="135"/>
    </row>
    <row r="294">
      <c r="D294" s="123"/>
      <c r="E294" s="123"/>
      <c r="F294" s="123"/>
      <c r="G294" s="135"/>
    </row>
    <row r="295">
      <c r="D295" s="123"/>
      <c r="E295" s="123"/>
      <c r="F295" s="123"/>
      <c r="G295" s="135"/>
    </row>
    <row r="296">
      <c r="D296" s="123"/>
      <c r="E296" s="123"/>
      <c r="F296" s="123"/>
      <c r="G296" s="135"/>
    </row>
    <row r="297">
      <c r="D297" s="123"/>
      <c r="E297" s="123"/>
      <c r="F297" s="123"/>
      <c r="G297" s="135"/>
    </row>
    <row r="298">
      <c r="D298" s="123"/>
      <c r="E298" s="123"/>
      <c r="F298" s="123"/>
      <c r="G298" s="135"/>
    </row>
    <row r="299">
      <c r="D299" s="123"/>
      <c r="E299" s="123"/>
      <c r="F299" s="123"/>
      <c r="G299" s="135"/>
    </row>
    <row r="300">
      <c r="D300" s="123"/>
      <c r="E300" s="123"/>
      <c r="F300" s="123"/>
      <c r="G300" s="135"/>
    </row>
    <row r="301">
      <c r="D301" s="123"/>
      <c r="E301" s="123"/>
      <c r="F301" s="123"/>
      <c r="G301" s="135"/>
    </row>
    <row r="302">
      <c r="D302" s="123"/>
      <c r="E302" s="123"/>
      <c r="F302" s="123"/>
      <c r="G302" s="135"/>
    </row>
    <row r="303">
      <c r="D303" s="123"/>
      <c r="E303" s="123"/>
      <c r="F303" s="123"/>
      <c r="G303" s="135"/>
    </row>
    <row r="304">
      <c r="D304" s="123"/>
      <c r="E304" s="123"/>
      <c r="F304" s="123"/>
      <c r="G304" s="135"/>
    </row>
    <row r="305">
      <c r="D305" s="123"/>
      <c r="E305" s="123"/>
      <c r="F305" s="123"/>
      <c r="G305" s="135"/>
    </row>
    <row r="306">
      <c r="D306" s="123"/>
      <c r="E306" s="123"/>
      <c r="F306" s="123"/>
      <c r="G306" s="135"/>
    </row>
    <row r="307">
      <c r="D307" s="123"/>
      <c r="E307" s="123"/>
      <c r="F307" s="123"/>
      <c r="G307" s="135"/>
    </row>
    <row r="308">
      <c r="D308" s="123"/>
      <c r="E308" s="123"/>
      <c r="F308" s="123"/>
      <c r="G308" s="135"/>
    </row>
    <row r="309">
      <c r="D309" s="123"/>
      <c r="E309" s="123"/>
      <c r="F309" s="123"/>
      <c r="G309" s="135"/>
    </row>
    <row r="310">
      <c r="D310" s="123"/>
      <c r="E310" s="123"/>
      <c r="F310" s="123"/>
      <c r="G310" s="135"/>
    </row>
    <row r="311">
      <c r="D311" s="123"/>
      <c r="E311" s="123"/>
      <c r="F311" s="123"/>
      <c r="G311" s="135"/>
    </row>
    <row r="312">
      <c r="D312" s="123"/>
      <c r="E312" s="123"/>
      <c r="F312" s="123"/>
      <c r="G312" s="135"/>
    </row>
    <row r="313">
      <c r="D313" s="123"/>
      <c r="E313" s="123"/>
      <c r="F313" s="123"/>
      <c r="G313" s="135"/>
    </row>
    <row r="314">
      <c r="D314" s="123"/>
      <c r="E314" s="123"/>
      <c r="F314" s="123"/>
      <c r="G314" s="135"/>
    </row>
    <row r="315">
      <c r="D315" s="123"/>
      <c r="E315" s="123"/>
      <c r="F315" s="123"/>
      <c r="G315" s="135"/>
    </row>
    <row r="316">
      <c r="D316" s="123"/>
      <c r="E316" s="123"/>
      <c r="F316" s="123"/>
      <c r="G316" s="135"/>
    </row>
    <row r="317">
      <c r="D317" s="123"/>
      <c r="E317" s="123"/>
      <c r="F317" s="123"/>
      <c r="G317" s="135"/>
    </row>
    <row r="318">
      <c r="D318" s="123"/>
      <c r="E318" s="123"/>
      <c r="F318" s="123"/>
      <c r="G318" s="135"/>
    </row>
    <row r="319">
      <c r="D319" s="123"/>
      <c r="E319" s="123"/>
      <c r="F319" s="123"/>
      <c r="G319" s="135"/>
    </row>
    <row r="320">
      <c r="D320" s="123"/>
      <c r="E320" s="123"/>
      <c r="F320" s="123"/>
      <c r="G320" s="135"/>
    </row>
    <row r="321">
      <c r="D321" s="123"/>
      <c r="E321" s="123"/>
      <c r="F321" s="123"/>
      <c r="G321" s="135"/>
    </row>
    <row r="322">
      <c r="D322" s="123"/>
      <c r="E322" s="123"/>
      <c r="F322" s="123"/>
      <c r="G322" s="135"/>
    </row>
    <row r="323">
      <c r="D323" s="123"/>
      <c r="E323" s="123"/>
      <c r="F323" s="123"/>
      <c r="G323" s="135"/>
    </row>
    <row r="324">
      <c r="D324" s="123"/>
      <c r="E324" s="123"/>
      <c r="F324" s="123"/>
      <c r="G324" s="135"/>
    </row>
    <row r="325">
      <c r="D325" s="123"/>
      <c r="E325" s="123"/>
      <c r="F325" s="123"/>
      <c r="G325" s="135"/>
    </row>
    <row r="326">
      <c r="D326" s="123"/>
      <c r="E326" s="123"/>
      <c r="F326" s="123"/>
      <c r="G326" s="135"/>
    </row>
    <row r="327">
      <c r="D327" s="123"/>
      <c r="E327" s="123"/>
      <c r="F327" s="123"/>
      <c r="G327" s="135"/>
    </row>
    <row r="328">
      <c r="D328" s="123"/>
      <c r="E328" s="123"/>
      <c r="F328" s="123"/>
      <c r="G328" s="135"/>
    </row>
    <row r="329">
      <c r="D329" s="123"/>
      <c r="E329" s="123"/>
      <c r="F329" s="123"/>
      <c r="G329" s="135"/>
    </row>
    <row r="330">
      <c r="D330" s="123"/>
      <c r="E330" s="123"/>
      <c r="F330" s="123"/>
      <c r="G330" s="135"/>
    </row>
    <row r="331">
      <c r="D331" s="123"/>
      <c r="E331" s="123"/>
      <c r="F331" s="123"/>
      <c r="G331" s="135"/>
    </row>
    <row r="332">
      <c r="D332" s="123"/>
      <c r="E332" s="123"/>
      <c r="F332" s="123"/>
      <c r="G332" s="135"/>
    </row>
    <row r="333">
      <c r="D333" s="123"/>
      <c r="E333" s="123"/>
      <c r="F333" s="123"/>
      <c r="G333" s="135"/>
    </row>
    <row r="334">
      <c r="D334" s="123"/>
      <c r="E334" s="123"/>
      <c r="F334" s="123"/>
      <c r="G334" s="135"/>
    </row>
    <row r="335">
      <c r="D335" s="123"/>
      <c r="E335" s="123"/>
      <c r="F335" s="123"/>
      <c r="G335" s="135"/>
    </row>
    <row r="336">
      <c r="D336" s="123"/>
      <c r="E336" s="123"/>
      <c r="F336" s="123"/>
      <c r="G336" s="135"/>
    </row>
    <row r="337">
      <c r="D337" s="123"/>
      <c r="E337" s="123"/>
      <c r="F337" s="123"/>
      <c r="G337" s="135"/>
    </row>
    <row r="338">
      <c r="D338" s="123"/>
      <c r="E338" s="123"/>
      <c r="F338" s="123"/>
      <c r="G338" s="135"/>
    </row>
    <row r="339">
      <c r="D339" s="123"/>
      <c r="E339" s="123"/>
      <c r="F339" s="123"/>
      <c r="G339" s="135"/>
    </row>
    <row r="340">
      <c r="D340" s="123"/>
      <c r="E340" s="123"/>
      <c r="F340" s="123"/>
      <c r="G340" s="135"/>
    </row>
    <row r="341">
      <c r="D341" s="123"/>
      <c r="E341" s="123"/>
      <c r="F341" s="123"/>
      <c r="G341" s="135"/>
    </row>
    <row r="342">
      <c r="D342" s="123"/>
      <c r="E342" s="123"/>
      <c r="F342" s="123"/>
      <c r="G342" s="135"/>
    </row>
    <row r="343">
      <c r="D343" s="123"/>
      <c r="E343" s="123"/>
      <c r="F343" s="123"/>
      <c r="G343" s="135"/>
    </row>
    <row r="344">
      <c r="D344" s="123"/>
      <c r="E344" s="123"/>
      <c r="F344" s="123"/>
      <c r="G344" s="135"/>
    </row>
    <row r="345">
      <c r="D345" s="123"/>
      <c r="E345" s="123"/>
      <c r="F345" s="123"/>
      <c r="G345" s="135"/>
    </row>
    <row r="346">
      <c r="D346" s="123"/>
      <c r="E346" s="123"/>
      <c r="F346" s="123"/>
      <c r="G346" s="135"/>
    </row>
    <row r="347">
      <c r="D347" s="123"/>
      <c r="E347" s="123"/>
      <c r="F347" s="123"/>
      <c r="G347" s="135"/>
    </row>
    <row r="348">
      <c r="D348" s="123"/>
      <c r="E348" s="123"/>
      <c r="F348" s="123"/>
      <c r="G348" s="135"/>
    </row>
    <row r="349">
      <c r="D349" s="123"/>
      <c r="E349" s="123"/>
      <c r="F349" s="123"/>
      <c r="G349" s="135"/>
    </row>
    <row r="350">
      <c r="D350" s="123"/>
      <c r="E350" s="123"/>
      <c r="F350" s="123"/>
      <c r="G350" s="135"/>
    </row>
    <row r="351">
      <c r="D351" s="123"/>
      <c r="E351" s="123"/>
      <c r="F351" s="123"/>
      <c r="G351" s="135"/>
    </row>
    <row r="352">
      <c r="D352" s="123"/>
      <c r="E352" s="123"/>
      <c r="F352" s="123"/>
      <c r="G352" s="135"/>
    </row>
    <row r="353">
      <c r="D353" s="123"/>
      <c r="E353" s="123"/>
      <c r="F353" s="123"/>
      <c r="G353" s="135"/>
    </row>
    <row r="354">
      <c r="D354" s="123"/>
      <c r="E354" s="123"/>
      <c r="F354" s="123"/>
      <c r="G354" s="135"/>
    </row>
    <row r="355">
      <c r="D355" s="123"/>
      <c r="E355" s="123"/>
      <c r="F355" s="123"/>
      <c r="G355" s="135"/>
    </row>
    <row r="356">
      <c r="D356" s="123"/>
      <c r="E356" s="123"/>
      <c r="F356" s="123"/>
      <c r="G356" s="135"/>
    </row>
    <row r="357">
      <c r="D357" s="123"/>
      <c r="E357" s="123"/>
      <c r="F357" s="123"/>
      <c r="G357" s="135"/>
    </row>
    <row r="358">
      <c r="D358" s="123"/>
      <c r="E358" s="123"/>
      <c r="F358" s="123"/>
      <c r="G358" s="135"/>
    </row>
    <row r="359">
      <c r="D359" s="123"/>
      <c r="E359" s="123"/>
      <c r="F359" s="123"/>
      <c r="G359" s="135"/>
    </row>
    <row r="360">
      <c r="D360" s="123"/>
      <c r="E360" s="123"/>
      <c r="F360" s="123"/>
      <c r="G360" s="135"/>
    </row>
    <row r="361">
      <c r="D361" s="123"/>
      <c r="E361" s="123"/>
      <c r="F361" s="123"/>
      <c r="G361" s="135"/>
    </row>
    <row r="362">
      <c r="D362" s="123"/>
      <c r="E362" s="123"/>
      <c r="F362" s="123"/>
      <c r="G362" s="135"/>
    </row>
    <row r="363">
      <c r="D363" s="123"/>
      <c r="E363" s="123"/>
      <c r="F363" s="123"/>
      <c r="G363" s="135"/>
    </row>
    <row r="364">
      <c r="D364" s="123"/>
      <c r="E364" s="123"/>
      <c r="F364" s="123"/>
      <c r="G364" s="135"/>
    </row>
    <row r="365">
      <c r="D365" s="123"/>
      <c r="E365" s="123"/>
      <c r="F365" s="123"/>
      <c r="G365" s="135"/>
    </row>
    <row r="366">
      <c r="D366" s="123"/>
      <c r="E366" s="123"/>
      <c r="F366" s="123"/>
      <c r="G366" s="135"/>
    </row>
    <row r="367">
      <c r="D367" s="123"/>
      <c r="E367" s="123"/>
      <c r="F367" s="123"/>
      <c r="G367" s="135"/>
    </row>
    <row r="368">
      <c r="D368" s="123"/>
      <c r="E368" s="123"/>
      <c r="F368" s="123"/>
      <c r="G368" s="135"/>
    </row>
    <row r="369">
      <c r="D369" s="123"/>
      <c r="E369" s="123"/>
      <c r="F369" s="123"/>
      <c r="G369" s="135"/>
    </row>
    <row r="370">
      <c r="D370" s="123"/>
      <c r="E370" s="123"/>
      <c r="F370" s="123"/>
      <c r="G370" s="135"/>
    </row>
    <row r="371">
      <c r="D371" s="123"/>
      <c r="E371" s="123"/>
      <c r="F371" s="123"/>
      <c r="G371" s="135"/>
    </row>
    <row r="372">
      <c r="D372" s="123"/>
      <c r="E372" s="123"/>
      <c r="F372" s="123"/>
      <c r="G372" s="135"/>
    </row>
    <row r="373">
      <c r="D373" s="123"/>
      <c r="E373" s="123"/>
      <c r="F373" s="123"/>
      <c r="G373" s="135"/>
    </row>
    <row r="374">
      <c r="D374" s="123"/>
      <c r="E374" s="123"/>
      <c r="F374" s="123"/>
      <c r="G374" s="135"/>
    </row>
    <row r="375">
      <c r="D375" s="123"/>
      <c r="E375" s="123"/>
      <c r="F375" s="123"/>
      <c r="G375" s="135"/>
    </row>
    <row r="376">
      <c r="D376" s="123"/>
      <c r="E376" s="123"/>
      <c r="F376" s="123"/>
      <c r="G376" s="135"/>
    </row>
    <row r="377">
      <c r="D377" s="123"/>
      <c r="E377" s="123"/>
      <c r="F377" s="123"/>
      <c r="G377" s="135"/>
    </row>
    <row r="378">
      <c r="D378" s="123"/>
      <c r="E378" s="123"/>
      <c r="F378" s="123"/>
      <c r="G378" s="135"/>
    </row>
    <row r="379">
      <c r="D379" s="123"/>
      <c r="E379" s="123"/>
      <c r="F379" s="123"/>
      <c r="G379" s="135"/>
    </row>
    <row r="380">
      <c r="D380" s="123"/>
      <c r="E380" s="123"/>
      <c r="F380" s="123"/>
      <c r="G380" s="135"/>
    </row>
    <row r="381">
      <c r="D381" s="123"/>
      <c r="E381" s="123"/>
      <c r="F381" s="123"/>
      <c r="G381" s="135"/>
    </row>
    <row r="382">
      <c r="D382" s="123"/>
      <c r="E382" s="123"/>
      <c r="F382" s="123"/>
      <c r="G382" s="135"/>
    </row>
    <row r="383">
      <c r="D383" s="123"/>
      <c r="E383" s="123"/>
      <c r="F383" s="123"/>
      <c r="G383" s="135"/>
    </row>
    <row r="384">
      <c r="D384" s="123"/>
      <c r="E384" s="123"/>
      <c r="F384" s="123"/>
      <c r="G384" s="135"/>
    </row>
    <row r="385">
      <c r="D385" s="123"/>
      <c r="E385" s="123"/>
      <c r="F385" s="123"/>
      <c r="G385" s="135"/>
    </row>
    <row r="386">
      <c r="D386" s="123"/>
      <c r="E386" s="123"/>
      <c r="F386" s="123"/>
      <c r="G386" s="135"/>
    </row>
    <row r="387">
      <c r="D387" s="123"/>
      <c r="E387" s="123"/>
      <c r="F387" s="123"/>
      <c r="G387" s="135"/>
    </row>
    <row r="388">
      <c r="D388" s="123"/>
      <c r="E388" s="123"/>
      <c r="F388" s="123"/>
      <c r="G388" s="135"/>
    </row>
    <row r="389">
      <c r="D389" s="123"/>
      <c r="E389" s="123"/>
      <c r="F389" s="123"/>
      <c r="G389" s="135"/>
    </row>
    <row r="390">
      <c r="D390" s="123"/>
      <c r="E390" s="123"/>
      <c r="F390" s="123"/>
      <c r="G390" s="135"/>
    </row>
    <row r="391">
      <c r="D391" s="123"/>
      <c r="E391" s="123"/>
      <c r="F391" s="123"/>
      <c r="G391" s="135"/>
    </row>
    <row r="392">
      <c r="D392" s="123"/>
      <c r="E392" s="123"/>
      <c r="F392" s="123"/>
      <c r="G392" s="135"/>
    </row>
    <row r="393">
      <c r="D393" s="123"/>
      <c r="E393" s="123"/>
      <c r="F393" s="123"/>
      <c r="G393" s="135"/>
    </row>
    <row r="394">
      <c r="D394" s="123"/>
      <c r="E394" s="123"/>
      <c r="F394" s="123"/>
      <c r="G394" s="135"/>
    </row>
    <row r="395">
      <c r="D395" s="123"/>
      <c r="E395" s="123"/>
      <c r="F395" s="123"/>
      <c r="G395" s="135"/>
    </row>
    <row r="396">
      <c r="D396" s="123"/>
      <c r="E396" s="123"/>
      <c r="F396" s="123"/>
      <c r="G396" s="135"/>
    </row>
    <row r="397">
      <c r="D397" s="123"/>
      <c r="E397" s="123"/>
      <c r="F397" s="123"/>
      <c r="G397" s="135"/>
    </row>
    <row r="398">
      <c r="D398" s="123"/>
      <c r="E398" s="123"/>
      <c r="F398" s="123"/>
      <c r="G398" s="135"/>
    </row>
    <row r="399">
      <c r="D399" s="123"/>
      <c r="E399" s="123"/>
      <c r="F399" s="123"/>
      <c r="G399" s="135"/>
    </row>
    <row r="400">
      <c r="D400" s="123"/>
      <c r="E400" s="123"/>
      <c r="F400" s="123"/>
      <c r="G400" s="135"/>
    </row>
    <row r="401">
      <c r="D401" s="123"/>
      <c r="E401" s="123"/>
      <c r="F401" s="123"/>
      <c r="G401" s="135"/>
    </row>
    <row r="402">
      <c r="D402" s="123"/>
      <c r="E402" s="123"/>
      <c r="F402" s="123"/>
      <c r="G402" s="135"/>
    </row>
    <row r="403">
      <c r="D403" s="123"/>
      <c r="E403" s="123"/>
      <c r="F403" s="123"/>
      <c r="G403" s="135"/>
    </row>
    <row r="404">
      <c r="D404" s="123"/>
      <c r="E404" s="123"/>
      <c r="F404" s="123"/>
      <c r="G404" s="135"/>
    </row>
    <row r="405">
      <c r="D405" s="123"/>
      <c r="E405" s="123"/>
      <c r="F405" s="123"/>
      <c r="G405" s="135"/>
    </row>
    <row r="406">
      <c r="D406" s="123"/>
      <c r="E406" s="123"/>
      <c r="F406" s="123"/>
      <c r="G406" s="135"/>
    </row>
    <row r="407">
      <c r="D407" s="123"/>
      <c r="E407" s="123"/>
      <c r="F407" s="123"/>
      <c r="G407" s="135"/>
    </row>
    <row r="408">
      <c r="D408" s="123"/>
      <c r="E408" s="123"/>
      <c r="F408" s="123"/>
      <c r="G408" s="135"/>
    </row>
    <row r="409">
      <c r="D409" s="123"/>
      <c r="E409" s="123"/>
      <c r="F409" s="123"/>
      <c r="G409" s="135"/>
    </row>
    <row r="410">
      <c r="D410" s="123"/>
      <c r="E410" s="123"/>
      <c r="F410" s="123"/>
      <c r="G410" s="135"/>
    </row>
    <row r="411">
      <c r="D411" s="123"/>
      <c r="E411" s="123"/>
      <c r="F411" s="123"/>
      <c r="G411" s="135"/>
    </row>
    <row r="412">
      <c r="D412" s="123"/>
      <c r="E412" s="123"/>
      <c r="F412" s="123"/>
      <c r="G412" s="135"/>
    </row>
    <row r="413">
      <c r="D413" s="123"/>
      <c r="E413" s="123"/>
      <c r="F413" s="123"/>
      <c r="G413" s="135"/>
    </row>
    <row r="414">
      <c r="D414" s="123"/>
      <c r="E414" s="123"/>
      <c r="F414" s="123"/>
      <c r="G414" s="135"/>
    </row>
    <row r="415">
      <c r="D415" s="123"/>
      <c r="E415" s="123"/>
      <c r="F415" s="123"/>
      <c r="G415" s="135"/>
    </row>
    <row r="416">
      <c r="D416" s="123"/>
      <c r="E416" s="123"/>
      <c r="F416" s="123"/>
      <c r="G416" s="135"/>
    </row>
    <row r="417">
      <c r="D417" s="123"/>
      <c r="E417" s="123"/>
      <c r="F417" s="123"/>
      <c r="G417" s="135"/>
    </row>
    <row r="418">
      <c r="D418" s="123"/>
      <c r="E418" s="123"/>
      <c r="F418" s="123"/>
      <c r="G418" s="135"/>
    </row>
    <row r="419">
      <c r="D419" s="123"/>
      <c r="E419" s="123"/>
      <c r="F419" s="123"/>
      <c r="G419" s="135"/>
    </row>
    <row r="420">
      <c r="D420" s="123"/>
      <c r="E420" s="123"/>
      <c r="F420" s="123"/>
      <c r="G420" s="135"/>
    </row>
    <row r="421">
      <c r="D421" s="123"/>
      <c r="E421" s="123"/>
      <c r="F421" s="123"/>
      <c r="G421" s="135"/>
    </row>
    <row r="422">
      <c r="D422" s="123"/>
      <c r="E422" s="123"/>
      <c r="F422" s="123"/>
      <c r="G422" s="135"/>
    </row>
    <row r="423">
      <c r="D423" s="123"/>
      <c r="E423" s="123"/>
      <c r="F423" s="123"/>
      <c r="G423" s="135"/>
    </row>
    <row r="424">
      <c r="D424" s="123"/>
      <c r="E424" s="123"/>
      <c r="F424" s="123"/>
      <c r="G424" s="135"/>
    </row>
    <row r="425">
      <c r="D425" s="123"/>
      <c r="E425" s="123"/>
      <c r="F425" s="123"/>
      <c r="G425" s="135"/>
    </row>
    <row r="426">
      <c r="D426" s="123"/>
      <c r="E426" s="123"/>
      <c r="F426" s="123"/>
      <c r="G426" s="135"/>
    </row>
    <row r="427">
      <c r="D427" s="123"/>
      <c r="E427" s="123"/>
      <c r="F427" s="123"/>
      <c r="G427" s="135"/>
    </row>
    <row r="428">
      <c r="D428" s="123"/>
      <c r="E428" s="123"/>
      <c r="F428" s="123"/>
      <c r="G428" s="135"/>
    </row>
    <row r="429">
      <c r="D429" s="123"/>
      <c r="E429" s="123"/>
      <c r="F429" s="123"/>
      <c r="G429" s="135"/>
    </row>
    <row r="430">
      <c r="D430" s="123"/>
      <c r="E430" s="123"/>
      <c r="F430" s="123"/>
      <c r="G430" s="135"/>
    </row>
    <row r="431">
      <c r="D431" s="123"/>
      <c r="E431" s="123"/>
      <c r="F431" s="123"/>
      <c r="G431" s="135"/>
    </row>
    <row r="432">
      <c r="D432" s="123"/>
      <c r="E432" s="123"/>
      <c r="F432" s="123"/>
      <c r="G432" s="135"/>
    </row>
    <row r="433">
      <c r="D433" s="123"/>
      <c r="E433" s="123"/>
      <c r="F433" s="123"/>
      <c r="G433" s="135"/>
    </row>
    <row r="434">
      <c r="D434" s="123"/>
      <c r="E434" s="123"/>
      <c r="F434" s="123"/>
      <c r="G434" s="135"/>
    </row>
    <row r="435">
      <c r="D435" s="123"/>
      <c r="E435" s="123"/>
      <c r="F435" s="123"/>
      <c r="G435" s="135"/>
    </row>
    <row r="436">
      <c r="D436" s="123"/>
      <c r="E436" s="123"/>
      <c r="F436" s="123"/>
      <c r="G436" s="135"/>
    </row>
    <row r="437">
      <c r="D437" s="123"/>
      <c r="E437" s="123"/>
      <c r="F437" s="123"/>
      <c r="G437" s="135"/>
    </row>
    <row r="438">
      <c r="D438" s="123"/>
      <c r="E438" s="123"/>
      <c r="F438" s="123"/>
      <c r="G438" s="135"/>
    </row>
    <row r="439">
      <c r="D439" s="123"/>
      <c r="E439" s="123"/>
      <c r="F439" s="123"/>
      <c r="G439" s="135"/>
    </row>
    <row r="440">
      <c r="D440" s="123"/>
      <c r="E440" s="123"/>
      <c r="F440" s="123"/>
      <c r="G440" s="135"/>
    </row>
    <row r="441">
      <c r="D441" s="123"/>
      <c r="E441" s="123"/>
      <c r="F441" s="123"/>
      <c r="G441" s="135"/>
    </row>
    <row r="442">
      <c r="D442" s="123"/>
      <c r="E442" s="123"/>
      <c r="F442" s="123"/>
      <c r="G442" s="135"/>
    </row>
    <row r="443">
      <c r="D443" s="123"/>
      <c r="E443" s="123"/>
      <c r="F443" s="123"/>
      <c r="G443" s="135"/>
    </row>
    <row r="444">
      <c r="D444" s="123"/>
      <c r="E444" s="123"/>
      <c r="F444" s="123"/>
      <c r="G444" s="135"/>
    </row>
    <row r="445">
      <c r="D445" s="123"/>
      <c r="E445" s="123"/>
      <c r="F445" s="123"/>
      <c r="G445" s="135"/>
    </row>
    <row r="446">
      <c r="D446" s="123"/>
      <c r="E446" s="123"/>
      <c r="F446" s="123"/>
      <c r="G446" s="135"/>
    </row>
    <row r="447">
      <c r="D447" s="123"/>
      <c r="E447" s="123"/>
      <c r="F447" s="123"/>
      <c r="G447" s="135"/>
    </row>
    <row r="448">
      <c r="D448" s="123"/>
      <c r="E448" s="123"/>
      <c r="F448" s="123"/>
      <c r="G448" s="135"/>
    </row>
    <row r="449">
      <c r="D449" s="123"/>
      <c r="E449" s="123"/>
      <c r="F449" s="123"/>
      <c r="G449" s="135"/>
    </row>
    <row r="450">
      <c r="D450" s="123"/>
      <c r="E450" s="123"/>
      <c r="F450" s="123"/>
      <c r="G450" s="135"/>
    </row>
    <row r="451">
      <c r="D451" s="123"/>
      <c r="E451" s="123"/>
      <c r="F451" s="123"/>
      <c r="G451" s="135"/>
    </row>
    <row r="452">
      <c r="D452" s="123"/>
      <c r="E452" s="123"/>
      <c r="F452" s="123"/>
      <c r="G452" s="135"/>
    </row>
    <row r="453">
      <c r="D453" s="123"/>
      <c r="E453" s="123"/>
      <c r="F453" s="123"/>
      <c r="G453" s="135"/>
    </row>
    <row r="454">
      <c r="D454" s="123"/>
      <c r="E454" s="123"/>
      <c r="F454" s="123"/>
      <c r="G454" s="135"/>
    </row>
    <row r="455">
      <c r="D455" s="123"/>
      <c r="E455" s="123"/>
      <c r="F455" s="123"/>
      <c r="G455" s="135"/>
    </row>
    <row r="456">
      <c r="D456" s="123"/>
      <c r="E456" s="123"/>
      <c r="F456" s="123"/>
      <c r="G456" s="135"/>
    </row>
    <row r="457">
      <c r="D457" s="123"/>
      <c r="E457" s="123"/>
      <c r="F457" s="123"/>
      <c r="G457" s="135"/>
    </row>
    <row r="458">
      <c r="D458" s="123"/>
      <c r="E458" s="123"/>
      <c r="F458" s="123"/>
      <c r="G458" s="135"/>
    </row>
    <row r="459">
      <c r="D459" s="123"/>
      <c r="E459" s="123"/>
      <c r="F459" s="123"/>
      <c r="G459" s="135"/>
    </row>
    <row r="460">
      <c r="D460" s="123"/>
      <c r="E460" s="123"/>
      <c r="F460" s="123"/>
      <c r="G460" s="135"/>
    </row>
    <row r="461">
      <c r="D461" s="123"/>
      <c r="E461" s="123"/>
      <c r="F461" s="123"/>
      <c r="G461" s="135"/>
    </row>
    <row r="462">
      <c r="D462" s="123"/>
      <c r="E462" s="123"/>
      <c r="F462" s="123"/>
      <c r="G462" s="135"/>
    </row>
    <row r="463">
      <c r="D463" s="123"/>
      <c r="E463" s="123"/>
      <c r="F463" s="123"/>
      <c r="G463" s="135"/>
    </row>
    <row r="464">
      <c r="D464" s="123"/>
      <c r="E464" s="123"/>
      <c r="F464" s="123"/>
      <c r="G464" s="135"/>
    </row>
    <row r="465">
      <c r="D465" s="123"/>
      <c r="E465" s="123"/>
      <c r="F465" s="123"/>
      <c r="G465" s="135"/>
    </row>
    <row r="466">
      <c r="D466" s="123"/>
      <c r="E466" s="123"/>
      <c r="F466" s="123"/>
      <c r="G466" s="135"/>
    </row>
    <row r="467">
      <c r="D467" s="123"/>
      <c r="E467" s="123"/>
      <c r="F467" s="123"/>
      <c r="G467" s="135"/>
    </row>
    <row r="468">
      <c r="D468" s="123"/>
      <c r="E468" s="123"/>
      <c r="F468" s="123"/>
      <c r="G468" s="135"/>
    </row>
    <row r="469">
      <c r="D469" s="123"/>
      <c r="E469" s="123"/>
      <c r="F469" s="123"/>
      <c r="G469" s="135"/>
    </row>
    <row r="470">
      <c r="D470" s="123"/>
      <c r="E470" s="123"/>
      <c r="F470" s="123"/>
      <c r="G470" s="135"/>
    </row>
    <row r="471">
      <c r="D471" s="123"/>
      <c r="E471" s="123"/>
      <c r="F471" s="123"/>
      <c r="G471" s="135"/>
    </row>
    <row r="472">
      <c r="D472" s="123"/>
      <c r="E472" s="123"/>
      <c r="F472" s="123"/>
      <c r="G472" s="135"/>
    </row>
    <row r="473">
      <c r="D473" s="123"/>
      <c r="E473" s="123"/>
      <c r="F473" s="123"/>
      <c r="G473" s="135"/>
    </row>
    <row r="474">
      <c r="D474" s="123"/>
      <c r="E474" s="123"/>
      <c r="F474" s="123"/>
      <c r="G474" s="135"/>
    </row>
    <row r="475">
      <c r="D475" s="123"/>
      <c r="E475" s="123"/>
      <c r="F475" s="123"/>
      <c r="G475" s="135"/>
    </row>
    <row r="476">
      <c r="D476" s="123"/>
      <c r="E476" s="123"/>
      <c r="F476" s="123"/>
      <c r="G476" s="135"/>
    </row>
    <row r="477">
      <c r="D477" s="123"/>
      <c r="E477" s="123"/>
      <c r="F477" s="123"/>
      <c r="G477" s="135"/>
    </row>
    <row r="478">
      <c r="D478" s="123"/>
      <c r="E478" s="123"/>
      <c r="F478" s="123"/>
      <c r="G478" s="135"/>
    </row>
    <row r="479">
      <c r="D479" s="123"/>
      <c r="E479" s="123"/>
      <c r="F479" s="123"/>
      <c r="G479" s="135"/>
    </row>
    <row r="480">
      <c r="D480" s="123"/>
      <c r="E480" s="123"/>
      <c r="F480" s="123"/>
      <c r="G480" s="135"/>
    </row>
    <row r="481">
      <c r="D481" s="123"/>
      <c r="E481" s="123"/>
      <c r="F481" s="123"/>
      <c r="G481" s="135"/>
    </row>
    <row r="482">
      <c r="D482" s="123"/>
      <c r="E482" s="123"/>
      <c r="F482" s="123"/>
      <c r="G482" s="135"/>
    </row>
    <row r="483">
      <c r="D483" s="123"/>
      <c r="E483" s="123"/>
      <c r="F483" s="123"/>
      <c r="G483" s="135"/>
    </row>
    <row r="484">
      <c r="D484" s="123"/>
      <c r="E484" s="123"/>
      <c r="F484" s="123"/>
      <c r="G484" s="135"/>
    </row>
    <row r="485">
      <c r="D485" s="123"/>
      <c r="E485" s="123"/>
      <c r="F485" s="123"/>
      <c r="G485" s="135"/>
    </row>
    <row r="486">
      <c r="D486" s="123"/>
      <c r="E486" s="123"/>
      <c r="F486" s="123"/>
      <c r="G486" s="135"/>
    </row>
    <row r="487">
      <c r="D487" s="123"/>
      <c r="E487" s="123"/>
      <c r="F487" s="123"/>
      <c r="G487" s="135"/>
    </row>
    <row r="488">
      <c r="D488" s="123"/>
      <c r="E488" s="123"/>
      <c r="F488" s="123"/>
      <c r="G488" s="135"/>
    </row>
    <row r="489">
      <c r="D489" s="123"/>
      <c r="E489" s="123"/>
      <c r="F489" s="123"/>
      <c r="G489" s="135"/>
    </row>
    <row r="490">
      <c r="D490" s="123"/>
      <c r="E490" s="123"/>
      <c r="F490" s="123"/>
      <c r="G490" s="135"/>
    </row>
    <row r="491">
      <c r="D491" s="123"/>
      <c r="E491" s="123"/>
      <c r="F491" s="123"/>
      <c r="G491" s="135"/>
    </row>
    <row r="492">
      <c r="D492" s="123"/>
      <c r="E492" s="123"/>
      <c r="F492" s="123"/>
      <c r="G492" s="135"/>
    </row>
    <row r="493">
      <c r="D493" s="123"/>
      <c r="E493" s="123"/>
      <c r="F493" s="123"/>
      <c r="G493" s="135"/>
    </row>
    <row r="494">
      <c r="D494" s="123"/>
      <c r="E494" s="123"/>
      <c r="F494" s="123"/>
      <c r="G494" s="135"/>
    </row>
    <row r="495">
      <c r="D495" s="123"/>
      <c r="E495" s="123"/>
      <c r="F495" s="123"/>
      <c r="G495" s="135"/>
    </row>
    <row r="496">
      <c r="D496" s="123"/>
      <c r="E496" s="123"/>
      <c r="F496" s="123"/>
      <c r="G496" s="135"/>
    </row>
    <row r="497">
      <c r="D497" s="123"/>
      <c r="E497" s="123"/>
      <c r="F497" s="123"/>
      <c r="G497" s="135"/>
    </row>
    <row r="498">
      <c r="D498" s="123"/>
      <c r="E498" s="123"/>
      <c r="F498" s="123"/>
      <c r="G498" s="135"/>
    </row>
    <row r="499">
      <c r="D499" s="123"/>
      <c r="E499" s="123"/>
      <c r="F499" s="123"/>
      <c r="G499" s="135"/>
    </row>
    <row r="500">
      <c r="D500" s="123"/>
      <c r="E500" s="123"/>
      <c r="F500" s="123"/>
      <c r="G500" s="135"/>
    </row>
    <row r="501">
      <c r="D501" s="123"/>
      <c r="E501" s="123"/>
      <c r="F501" s="123"/>
      <c r="G501" s="135"/>
    </row>
    <row r="502">
      <c r="D502" s="123"/>
      <c r="E502" s="123"/>
      <c r="F502" s="123"/>
      <c r="G502" s="135"/>
    </row>
    <row r="503">
      <c r="D503" s="123"/>
      <c r="E503" s="123"/>
      <c r="F503" s="123"/>
      <c r="G503" s="135"/>
    </row>
    <row r="504">
      <c r="D504" s="123"/>
      <c r="E504" s="123"/>
      <c r="F504" s="123"/>
      <c r="G504" s="135"/>
    </row>
    <row r="505">
      <c r="D505" s="123"/>
      <c r="E505" s="123"/>
      <c r="F505" s="123"/>
      <c r="G505" s="135"/>
    </row>
    <row r="506">
      <c r="D506" s="123"/>
      <c r="E506" s="123"/>
      <c r="F506" s="123"/>
      <c r="G506" s="135"/>
    </row>
    <row r="507">
      <c r="D507" s="123"/>
      <c r="E507" s="123"/>
      <c r="F507" s="123"/>
      <c r="G507" s="135"/>
    </row>
    <row r="508">
      <c r="D508" s="123"/>
      <c r="E508" s="123"/>
      <c r="F508" s="123"/>
      <c r="G508" s="135"/>
    </row>
    <row r="509">
      <c r="D509" s="123"/>
      <c r="E509" s="123"/>
      <c r="F509" s="123"/>
      <c r="G509" s="135"/>
    </row>
    <row r="510">
      <c r="D510" s="123"/>
      <c r="E510" s="123"/>
      <c r="F510" s="123"/>
      <c r="G510" s="135"/>
    </row>
    <row r="511">
      <c r="D511" s="123"/>
      <c r="E511" s="123"/>
      <c r="F511" s="123"/>
      <c r="G511" s="135"/>
    </row>
    <row r="512">
      <c r="D512" s="123"/>
      <c r="E512" s="123"/>
      <c r="F512" s="123"/>
      <c r="G512" s="135"/>
    </row>
    <row r="513">
      <c r="D513" s="123"/>
      <c r="E513" s="123"/>
      <c r="F513" s="123"/>
      <c r="G513" s="135"/>
    </row>
    <row r="514">
      <c r="D514" s="123"/>
      <c r="E514" s="123"/>
      <c r="F514" s="123"/>
      <c r="G514" s="135"/>
    </row>
    <row r="515">
      <c r="D515" s="123"/>
      <c r="E515" s="123"/>
      <c r="F515" s="123"/>
      <c r="G515" s="135"/>
    </row>
    <row r="516">
      <c r="D516" s="123"/>
      <c r="E516" s="123"/>
      <c r="F516" s="123"/>
      <c r="G516" s="135"/>
    </row>
    <row r="517">
      <c r="D517" s="123"/>
      <c r="E517" s="123"/>
      <c r="F517" s="123"/>
      <c r="G517" s="135"/>
    </row>
    <row r="518">
      <c r="D518" s="123"/>
      <c r="E518" s="123"/>
      <c r="F518" s="123"/>
      <c r="G518" s="135"/>
    </row>
    <row r="519">
      <c r="D519" s="123"/>
      <c r="E519" s="123"/>
      <c r="F519" s="123"/>
      <c r="G519" s="135"/>
    </row>
    <row r="520">
      <c r="D520" s="123"/>
      <c r="E520" s="123"/>
      <c r="F520" s="123"/>
      <c r="G520" s="135"/>
    </row>
    <row r="521">
      <c r="D521" s="123"/>
      <c r="E521" s="123"/>
      <c r="F521" s="123"/>
      <c r="G521" s="135"/>
    </row>
    <row r="522">
      <c r="D522" s="123"/>
      <c r="E522" s="123"/>
      <c r="F522" s="123"/>
      <c r="G522" s="135"/>
    </row>
    <row r="523">
      <c r="D523" s="123"/>
      <c r="E523" s="123"/>
      <c r="F523" s="123"/>
      <c r="G523" s="135"/>
    </row>
    <row r="524">
      <c r="D524" s="123"/>
      <c r="E524" s="123"/>
      <c r="F524" s="123"/>
      <c r="G524" s="135"/>
    </row>
    <row r="525">
      <c r="D525" s="123"/>
      <c r="E525" s="123"/>
      <c r="F525" s="123"/>
      <c r="G525" s="135"/>
    </row>
    <row r="526">
      <c r="D526" s="123"/>
      <c r="E526" s="123"/>
      <c r="F526" s="123"/>
      <c r="G526" s="135"/>
    </row>
    <row r="527">
      <c r="D527" s="123"/>
      <c r="E527" s="123"/>
      <c r="F527" s="123"/>
      <c r="G527" s="135"/>
    </row>
    <row r="528">
      <c r="D528" s="123"/>
      <c r="E528" s="123"/>
      <c r="F528" s="123"/>
      <c r="G528" s="135"/>
    </row>
    <row r="529">
      <c r="D529" s="123"/>
      <c r="E529" s="123"/>
      <c r="F529" s="123"/>
      <c r="G529" s="135"/>
    </row>
    <row r="530">
      <c r="D530" s="123"/>
      <c r="E530" s="123"/>
      <c r="F530" s="123"/>
      <c r="G530" s="135"/>
    </row>
    <row r="531">
      <c r="D531" s="123"/>
      <c r="E531" s="123"/>
      <c r="F531" s="123"/>
      <c r="G531" s="135"/>
    </row>
    <row r="532">
      <c r="D532" s="123"/>
      <c r="E532" s="123"/>
      <c r="F532" s="123"/>
      <c r="G532" s="135"/>
    </row>
    <row r="533">
      <c r="D533" s="123"/>
      <c r="E533" s="123"/>
      <c r="F533" s="123"/>
      <c r="G533" s="135"/>
    </row>
    <row r="534">
      <c r="D534" s="123"/>
      <c r="E534" s="123"/>
      <c r="F534" s="123"/>
      <c r="G534" s="135"/>
    </row>
    <row r="535">
      <c r="D535" s="123"/>
      <c r="E535" s="123"/>
      <c r="F535" s="123"/>
      <c r="G535" s="135"/>
    </row>
    <row r="536">
      <c r="D536" s="123"/>
      <c r="E536" s="123"/>
      <c r="F536" s="123"/>
      <c r="G536" s="135"/>
    </row>
    <row r="537">
      <c r="D537" s="123"/>
      <c r="E537" s="123"/>
      <c r="F537" s="123"/>
      <c r="G537" s="135"/>
    </row>
    <row r="538">
      <c r="D538" s="123"/>
      <c r="E538" s="123"/>
      <c r="F538" s="123"/>
      <c r="G538" s="135"/>
    </row>
    <row r="539">
      <c r="D539" s="123"/>
      <c r="E539" s="123"/>
      <c r="F539" s="123"/>
      <c r="G539" s="135"/>
    </row>
    <row r="540">
      <c r="D540" s="123"/>
      <c r="E540" s="123"/>
      <c r="F540" s="123"/>
      <c r="G540" s="135"/>
    </row>
    <row r="541">
      <c r="D541" s="123"/>
      <c r="E541" s="123"/>
      <c r="F541" s="123"/>
      <c r="G541" s="135"/>
    </row>
    <row r="542">
      <c r="D542" s="123"/>
      <c r="E542" s="123"/>
      <c r="F542" s="123"/>
      <c r="G542" s="135"/>
    </row>
    <row r="543">
      <c r="D543" s="123"/>
      <c r="E543" s="123"/>
      <c r="F543" s="123"/>
      <c r="G543" s="135"/>
    </row>
    <row r="544">
      <c r="D544" s="123"/>
      <c r="E544" s="123"/>
      <c r="F544" s="123"/>
      <c r="G544" s="135"/>
    </row>
    <row r="545">
      <c r="D545" s="123"/>
      <c r="E545" s="123"/>
      <c r="F545" s="123"/>
      <c r="G545" s="135"/>
    </row>
    <row r="546">
      <c r="D546" s="123"/>
      <c r="E546" s="123"/>
      <c r="F546" s="123"/>
      <c r="G546" s="135"/>
    </row>
    <row r="547">
      <c r="D547" s="123"/>
      <c r="E547" s="123"/>
      <c r="F547" s="123"/>
      <c r="G547" s="135"/>
    </row>
    <row r="548">
      <c r="D548" s="123"/>
      <c r="E548" s="123"/>
      <c r="F548" s="123"/>
      <c r="G548" s="135"/>
    </row>
    <row r="549">
      <c r="D549" s="123"/>
      <c r="E549" s="123"/>
      <c r="F549" s="123"/>
      <c r="G549" s="135"/>
    </row>
    <row r="550">
      <c r="D550" s="123"/>
      <c r="E550" s="123"/>
      <c r="F550" s="123"/>
      <c r="G550" s="135"/>
    </row>
    <row r="551">
      <c r="D551" s="123"/>
      <c r="E551" s="123"/>
      <c r="F551" s="123"/>
      <c r="G551" s="135"/>
    </row>
    <row r="552">
      <c r="D552" s="123"/>
      <c r="E552" s="123"/>
      <c r="F552" s="123"/>
      <c r="G552" s="135"/>
    </row>
    <row r="553">
      <c r="D553" s="123"/>
      <c r="E553" s="123"/>
      <c r="F553" s="123"/>
      <c r="G553" s="135"/>
    </row>
    <row r="554">
      <c r="D554" s="123"/>
      <c r="E554" s="123"/>
      <c r="F554" s="123"/>
      <c r="G554" s="135"/>
    </row>
    <row r="555">
      <c r="D555" s="123"/>
      <c r="E555" s="123"/>
      <c r="F555" s="123"/>
      <c r="G555" s="135"/>
    </row>
    <row r="556">
      <c r="D556" s="123"/>
      <c r="E556" s="123"/>
      <c r="F556" s="123"/>
      <c r="G556" s="135"/>
    </row>
    <row r="557">
      <c r="D557" s="123"/>
      <c r="E557" s="123"/>
      <c r="F557" s="123"/>
      <c r="G557" s="135"/>
    </row>
    <row r="558">
      <c r="D558" s="123"/>
      <c r="E558" s="123"/>
      <c r="F558" s="123"/>
      <c r="G558" s="135"/>
    </row>
    <row r="559">
      <c r="D559" s="123"/>
      <c r="E559" s="123"/>
      <c r="F559" s="123"/>
      <c r="G559" s="135"/>
    </row>
    <row r="560">
      <c r="D560" s="123"/>
      <c r="E560" s="123"/>
      <c r="F560" s="123"/>
      <c r="G560" s="135"/>
    </row>
    <row r="561">
      <c r="D561" s="123"/>
      <c r="E561" s="123"/>
      <c r="F561" s="123"/>
      <c r="G561" s="135"/>
    </row>
    <row r="562">
      <c r="D562" s="123"/>
      <c r="E562" s="123"/>
      <c r="F562" s="123"/>
      <c r="G562" s="135"/>
    </row>
    <row r="563">
      <c r="D563" s="123"/>
      <c r="E563" s="123"/>
      <c r="F563" s="123"/>
      <c r="G563" s="135"/>
    </row>
    <row r="564">
      <c r="D564" s="123"/>
      <c r="E564" s="123"/>
      <c r="F564" s="123"/>
      <c r="G564" s="135"/>
    </row>
    <row r="565">
      <c r="D565" s="123"/>
      <c r="E565" s="123"/>
      <c r="F565" s="123"/>
      <c r="G565" s="135"/>
    </row>
    <row r="566">
      <c r="D566" s="123"/>
      <c r="E566" s="123"/>
      <c r="F566" s="123"/>
      <c r="G566" s="135"/>
    </row>
    <row r="567">
      <c r="D567" s="123"/>
      <c r="E567" s="123"/>
      <c r="F567" s="123"/>
      <c r="G567" s="135"/>
    </row>
    <row r="568">
      <c r="D568" s="123"/>
      <c r="E568" s="123"/>
      <c r="F568" s="123"/>
      <c r="G568" s="135"/>
    </row>
    <row r="569">
      <c r="D569" s="123"/>
      <c r="E569" s="123"/>
      <c r="F569" s="123"/>
      <c r="G569" s="135"/>
    </row>
    <row r="570">
      <c r="D570" s="123"/>
      <c r="E570" s="123"/>
      <c r="F570" s="123"/>
      <c r="G570" s="135"/>
    </row>
    <row r="571">
      <c r="D571" s="123"/>
      <c r="E571" s="123"/>
      <c r="F571" s="123"/>
      <c r="G571" s="135"/>
    </row>
    <row r="572">
      <c r="D572" s="123"/>
      <c r="E572" s="123"/>
      <c r="F572" s="123"/>
      <c r="G572" s="135"/>
    </row>
    <row r="573">
      <c r="D573" s="123"/>
      <c r="E573" s="123"/>
      <c r="F573" s="123"/>
      <c r="G573" s="135"/>
    </row>
    <row r="574">
      <c r="D574" s="123"/>
      <c r="E574" s="123"/>
      <c r="F574" s="123"/>
      <c r="G574" s="135"/>
    </row>
    <row r="575">
      <c r="D575" s="123"/>
      <c r="E575" s="123"/>
      <c r="F575" s="123"/>
      <c r="G575" s="135"/>
    </row>
    <row r="576">
      <c r="D576" s="123"/>
      <c r="E576" s="123"/>
      <c r="F576" s="123"/>
      <c r="G576" s="135"/>
    </row>
    <row r="577">
      <c r="D577" s="123"/>
      <c r="E577" s="123"/>
      <c r="F577" s="123"/>
      <c r="G577" s="135"/>
    </row>
    <row r="578">
      <c r="D578" s="123"/>
      <c r="E578" s="123"/>
      <c r="F578" s="123"/>
      <c r="G578" s="135"/>
    </row>
    <row r="579">
      <c r="D579" s="123"/>
      <c r="E579" s="123"/>
      <c r="F579" s="123"/>
      <c r="G579" s="135"/>
    </row>
    <row r="580">
      <c r="D580" s="123"/>
      <c r="E580" s="123"/>
      <c r="F580" s="123"/>
      <c r="G580" s="135"/>
    </row>
    <row r="581">
      <c r="D581" s="123"/>
      <c r="E581" s="123"/>
      <c r="F581" s="123"/>
      <c r="G581" s="135"/>
    </row>
    <row r="582">
      <c r="D582" s="123"/>
      <c r="E582" s="123"/>
      <c r="F582" s="123"/>
      <c r="G582" s="135"/>
    </row>
    <row r="583">
      <c r="D583" s="123"/>
      <c r="E583" s="123"/>
      <c r="F583" s="123"/>
      <c r="G583" s="135"/>
    </row>
    <row r="584">
      <c r="D584" s="123"/>
      <c r="E584" s="123"/>
      <c r="F584" s="123"/>
      <c r="G584" s="135"/>
    </row>
    <row r="585">
      <c r="D585" s="123"/>
      <c r="E585" s="123"/>
      <c r="F585" s="123"/>
      <c r="G585" s="135"/>
    </row>
    <row r="586">
      <c r="D586" s="123"/>
      <c r="E586" s="123"/>
      <c r="F586" s="123"/>
      <c r="G586" s="135"/>
    </row>
    <row r="587">
      <c r="D587" s="123"/>
      <c r="E587" s="123"/>
      <c r="F587" s="123"/>
      <c r="G587" s="135"/>
    </row>
    <row r="588">
      <c r="D588" s="123"/>
      <c r="E588" s="123"/>
      <c r="F588" s="123"/>
      <c r="G588" s="135"/>
    </row>
    <row r="589">
      <c r="D589" s="123"/>
      <c r="E589" s="123"/>
      <c r="F589" s="123"/>
      <c r="G589" s="135"/>
    </row>
    <row r="590">
      <c r="D590" s="123"/>
      <c r="E590" s="123"/>
      <c r="F590" s="123"/>
      <c r="G590" s="135"/>
    </row>
    <row r="591">
      <c r="D591" s="123"/>
      <c r="E591" s="123"/>
      <c r="F591" s="123"/>
      <c r="G591" s="135"/>
    </row>
    <row r="592">
      <c r="D592" s="123"/>
      <c r="E592" s="123"/>
      <c r="F592" s="123"/>
      <c r="G592" s="135"/>
    </row>
    <row r="593">
      <c r="D593" s="123"/>
      <c r="E593" s="123"/>
      <c r="F593" s="123"/>
      <c r="G593" s="135"/>
    </row>
    <row r="594">
      <c r="D594" s="123"/>
      <c r="E594" s="123"/>
      <c r="F594" s="123"/>
      <c r="G594" s="135"/>
    </row>
    <row r="595">
      <c r="D595" s="123"/>
      <c r="E595" s="123"/>
      <c r="F595" s="123"/>
      <c r="G595" s="135"/>
    </row>
    <row r="596">
      <c r="D596" s="123"/>
      <c r="E596" s="123"/>
      <c r="F596" s="123"/>
      <c r="G596" s="135"/>
    </row>
    <row r="597">
      <c r="D597" s="123"/>
      <c r="E597" s="123"/>
      <c r="F597" s="123"/>
      <c r="G597" s="135"/>
    </row>
    <row r="598">
      <c r="D598" s="123"/>
      <c r="E598" s="123"/>
      <c r="F598" s="123"/>
      <c r="G598" s="135"/>
    </row>
    <row r="599">
      <c r="D599" s="123"/>
      <c r="E599" s="123"/>
      <c r="F599" s="123"/>
      <c r="G599" s="135"/>
    </row>
    <row r="600">
      <c r="D600" s="123"/>
      <c r="E600" s="123"/>
      <c r="F600" s="123"/>
      <c r="G600" s="135"/>
    </row>
    <row r="601">
      <c r="D601" s="123"/>
      <c r="E601" s="123"/>
      <c r="F601" s="123"/>
      <c r="G601" s="135"/>
    </row>
    <row r="602">
      <c r="D602" s="123"/>
      <c r="E602" s="123"/>
      <c r="F602" s="123"/>
      <c r="G602" s="135"/>
    </row>
    <row r="603">
      <c r="D603" s="123"/>
      <c r="E603" s="123"/>
      <c r="F603" s="123"/>
      <c r="G603" s="135"/>
    </row>
    <row r="604">
      <c r="D604" s="123"/>
      <c r="E604" s="123"/>
      <c r="F604" s="123"/>
      <c r="G604" s="135"/>
    </row>
    <row r="605">
      <c r="D605" s="123"/>
      <c r="E605" s="123"/>
      <c r="F605" s="123"/>
      <c r="G605" s="135"/>
    </row>
    <row r="606">
      <c r="D606" s="123"/>
      <c r="E606" s="123"/>
      <c r="F606" s="123"/>
      <c r="G606" s="135"/>
    </row>
    <row r="607">
      <c r="D607" s="123"/>
      <c r="E607" s="123"/>
      <c r="F607" s="123"/>
      <c r="G607" s="135"/>
    </row>
    <row r="608">
      <c r="D608" s="123"/>
      <c r="E608" s="123"/>
      <c r="F608" s="123"/>
      <c r="G608" s="135"/>
    </row>
    <row r="609">
      <c r="D609" s="123"/>
      <c r="E609" s="123"/>
      <c r="F609" s="123"/>
      <c r="G609" s="135"/>
    </row>
    <row r="610">
      <c r="D610" s="123"/>
      <c r="E610" s="123"/>
      <c r="F610" s="123"/>
      <c r="G610" s="135"/>
    </row>
    <row r="611">
      <c r="D611" s="123"/>
      <c r="E611" s="123"/>
      <c r="F611" s="123"/>
      <c r="G611" s="135"/>
    </row>
    <row r="612">
      <c r="D612" s="123"/>
      <c r="E612" s="123"/>
      <c r="F612" s="123"/>
      <c r="G612" s="135"/>
    </row>
    <row r="613">
      <c r="D613" s="123"/>
      <c r="E613" s="123"/>
      <c r="F613" s="123"/>
      <c r="G613" s="135"/>
    </row>
    <row r="614">
      <c r="D614" s="123"/>
      <c r="E614" s="123"/>
      <c r="F614" s="123"/>
      <c r="G614" s="135"/>
    </row>
    <row r="615">
      <c r="D615" s="123"/>
      <c r="E615" s="123"/>
      <c r="F615" s="123"/>
      <c r="G615" s="135"/>
    </row>
    <row r="616">
      <c r="D616" s="123"/>
      <c r="E616" s="123"/>
      <c r="F616" s="123"/>
      <c r="G616" s="135"/>
    </row>
    <row r="617">
      <c r="D617" s="123"/>
      <c r="E617" s="123"/>
      <c r="F617" s="123"/>
      <c r="G617" s="135"/>
    </row>
    <row r="618">
      <c r="D618" s="123"/>
      <c r="E618" s="123"/>
      <c r="F618" s="123"/>
      <c r="G618" s="135"/>
    </row>
    <row r="619">
      <c r="D619" s="123"/>
      <c r="E619" s="123"/>
      <c r="F619" s="123"/>
      <c r="G619" s="135"/>
    </row>
    <row r="620">
      <c r="D620" s="123"/>
      <c r="E620" s="123"/>
      <c r="F620" s="123"/>
      <c r="G620" s="135"/>
    </row>
    <row r="621">
      <c r="D621" s="123"/>
      <c r="E621" s="123"/>
      <c r="F621" s="123"/>
      <c r="G621" s="135"/>
    </row>
    <row r="622">
      <c r="D622" s="123"/>
      <c r="E622" s="123"/>
      <c r="F622" s="123"/>
      <c r="G622" s="135"/>
    </row>
    <row r="623">
      <c r="D623" s="123"/>
      <c r="E623" s="123"/>
      <c r="F623" s="123"/>
      <c r="G623" s="135"/>
    </row>
    <row r="624">
      <c r="D624" s="123"/>
      <c r="E624" s="123"/>
      <c r="F624" s="123"/>
      <c r="G624" s="135"/>
    </row>
    <row r="625">
      <c r="D625" s="123"/>
      <c r="E625" s="123"/>
      <c r="F625" s="123"/>
      <c r="G625" s="135"/>
    </row>
    <row r="626">
      <c r="D626" s="123"/>
      <c r="E626" s="123"/>
      <c r="F626" s="123"/>
      <c r="G626" s="135"/>
    </row>
    <row r="627">
      <c r="D627" s="123"/>
      <c r="E627" s="123"/>
      <c r="F627" s="123"/>
      <c r="G627" s="135"/>
    </row>
    <row r="628">
      <c r="D628" s="123"/>
      <c r="E628" s="123"/>
      <c r="F628" s="123"/>
      <c r="G628" s="135"/>
    </row>
    <row r="629">
      <c r="D629" s="123"/>
      <c r="E629" s="123"/>
      <c r="F629" s="123"/>
      <c r="G629" s="135"/>
    </row>
    <row r="630">
      <c r="D630" s="123"/>
      <c r="E630" s="123"/>
      <c r="F630" s="123"/>
      <c r="G630" s="135"/>
    </row>
    <row r="631">
      <c r="D631" s="123"/>
      <c r="E631" s="123"/>
      <c r="F631" s="123"/>
      <c r="G631" s="135"/>
    </row>
    <row r="632">
      <c r="D632" s="123"/>
      <c r="E632" s="123"/>
      <c r="F632" s="123"/>
      <c r="G632" s="135"/>
    </row>
    <row r="633">
      <c r="D633" s="123"/>
      <c r="E633" s="123"/>
      <c r="F633" s="123"/>
      <c r="G633" s="135"/>
    </row>
    <row r="634">
      <c r="D634" s="123"/>
      <c r="E634" s="123"/>
      <c r="F634" s="123"/>
      <c r="G634" s="135"/>
    </row>
    <row r="635">
      <c r="D635" s="123"/>
      <c r="E635" s="123"/>
      <c r="F635" s="123"/>
      <c r="G635" s="135"/>
    </row>
    <row r="636">
      <c r="D636" s="123"/>
      <c r="E636" s="123"/>
      <c r="F636" s="123"/>
      <c r="G636" s="135"/>
    </row>
    <row r="637">
      <c r="D637" s="123"/>
      <c r="E637" s="123"/>
      <c r="F637" s="123"/>
      <c r="G637" s="135"/>
    </row>
    <row r="638">
      <c r="D638" s="123"/>
      <c r="E638" s="123"/>
      <c r="F638" s="123"/>
      <c r="G638" s="135"/>
    </row>
    <row r="639">
      <c r="D639" s="123"/>
      <c r="E639" s="123"/>
      <c r="F639" s="123"/>
      <c r="G639" s="135"/>
    </row>
    <row r="640">
      <c r="D640" s="123"/>
      <c r="E640" s="123"/>
      <c r="F640" s="123"/>
      <c r="G640" s="135"/>
    </row>
    <row r="641">
      <c r="D641" s="123"/>
      <c r="E641" s="123"/>
      <c r="F641" s="123"/>
      <c r="G641" s="135"/>
    </row>
    <row r="642">
      <c r="D642" s="123"/>
      <c r="E642" s="123"/>
      <c r="F642" s="123"/>
      <c r="G642" s="135"/>
    </row>
    <row r="643">
      <c r="D643" s="123"/>
      <c r="E643" s="123"/>
      <c r="F643" s="123"/>
      <c r="G643" s="135"/>
    </row>
    <row r="644">
      <c r="D644" s="123"/>
      <c r="E644" s="123"/>
      <c r="F644" s="123"/>
      <c r="G644" s="135"/>
    </row>
    <row r="645">
      <c r="D645" s="123"/>
      <c r="E645" s="123"/>
      <c r="F645" s="123"/>
      <c r="G645" s="135"/>
    </row>
    <row r="646">
      <c r="D646" s="123"/>
      <c r="E646" s="123"/>
      <c r="F646" s="123"/>
      <c r="G646" s="135"/>
    </row>
    <row r="647">
      <c r="D647" s="123"/>
      <c r="E647" s="123"/>
      <c r="F647" s="123"/>
      <c r="G647" s="135"/>
    </row>
    <row r="648">
      <c r="D648" s="123"/>
      <c r="E648" s="123"/>
      <c r="F648" s="123"/>
      <c r="G648" s="135"/>
    </row>
    <row r="649">
      <c r="D649" s="123"/>
      <c r="E649" s="123"/>
      <c r="F649" s="123"/>
      <c r="G649" s="135"/>
    </row>
    <row r="650">
      <c r="D650" s="123"/>
      <c r="E650" s="123"/>
      <c r="F650" s="123"/>
      <c r="G650" s="135"/>
    </row>
    <row r="651">
      <c r="D651" s="123"/>
      <c r="E651" s="123"/>
      <c r="F651" s="123"/>
      <c r="G651" s="135"/>
    </row>
    <row r="652">
      <c r="D652" s="123"/>
      <c r="E652" s="123"/>
      <c r="F652" s="123"/>
      <c r="G652" s="135"/>
    </row>
    <row r="653">
      <c r="D653" s="123"/>
      <c r="E653" s="123"/>
      <c r="F653" s="123"/>
      <c r="G653" s="135"/>
    </row>
    <row r="654">
      <c r="D654" s="123"/>
      <c r="E654" s="123"/>
      <c r="F654" s="123"/>
      <c r="G654" s="135"/>
    </row>
    <row r="655">
      <c r="D655" s="123"/>
      <c r="E655" s="123"/>
      <c r="F655" s="123"/>
      <c r="G655" s="135"/>
    </row>
    <row r="656">
      <c r="D656" s="123"/>
      <c r="E656" s="123"/>
      <c r="F656" s="123"/>
      <c r="G656" s="135"/>
    </row>
    <row r="657">
      <c r="D657" s="123"/>
      <c r="E657" s="123"/>
      <c r="F657" s="123"/>
      <c r="G657" s="135"/>
    </row>
    <row r="658">
      <c r="D658" s="123"/>
      <c r="E658" s="123"/>
      <c r="F658" s="123"/>
      <c r="G658" s="135"/>
    </row>
    <row r="659">
      <c r="D659" s="123"/>
      <c r="E659" s="123"/>
      <c r="F659" s="123"/>
      <c r="G659" s="135"/>
    </row>
    <row r="660">
      <c r="D660" s="123"/>
      <c r="E660" s="123"/>
      <c r="F660" s="123"/>
      <c r="G660" s="135"/>
    </row>
    <row r="661">
      <c r="D661" s="123"/>
      <c r="E661" s="123"/>
      <c r="F661" s="123"/>
      <c r="G661" s="135"/>
    </row>
    <row r="662">
      <c r="D662" s="123"/>
      <c r="E662" s="123"/>
      <c r="F662" s="123"/>
      <c r="G662" s="135"/>
    </row>
    <row r="663">
      <c r="D663" s="123"/>
      <c r="E663" s="123"/>
      <c r="F663" s="123"/>
      <c r="G663" s="135"/>
    </row>
    <row r="664">
      <c r="D664" s="123"/>
      <c r="E664" s="123"/>
      <c r="F664" s="123"/>
      <c r="G664" s="135"/>
    </row>
    <row r="665">
      <c r="D665" s="123"/>
      <c r="E665" s="123"/>
      <c r="F665" s="123"/>
      <c r="G665" s="135"/>
    </row>
    <row r="666">
      <c r="D666" s="123"/>
      <c r="E666" s="123"/>
      <c r="F666" s="123"/>
      <c r="G666" s="135"/>
    </row>
    <row r="667">
      <c r="D667" s="123"/>
      <c r="E667" s="123"/>
      <c r="F667" s="123"/>
      <c r="G667" s="135"/>
    </row>
    <row r="668">
      <c r="D668" s="123"/>
      <c r="E668" s="123"/>
      <c r="F668" s="123"/>
      <c r="G668" s="135"/>
    </row>
    <row r="669">
      <c r="D669" s="123"/>
      <c r="E669" s="123"/>
      <c r="F669" s="123"/>
      <c r="G669" s="135"/>
    </row>
    <row r="670">
      <c r="D670" s="123"/>
      <c r="E670" s="123"/>
      <c r="F670" s="123"/>
      <c r="G670" s="135"/>
    </row>
    <row r="671">
      <c r="D671" s="123"/>
      <c r="E671" s="123"/>
      <c r="F671" s="123"/>
      <c r="G671" s="135"/>
    </row>
    <row r="672">
      <c r="D672" s="123"/>
      <c r="E672" s="123"/>
      <c r="F672" s="123"/>
      <c r="G672" s="135"/>
    </row>
    <row r="673">
      <c r="D673" s="123"/>
      <c r="E673" s="123"/>
      <c r="F673" s="123"/>
      <c r="G673" s="135"/>
    </row>
    <row r="674">
      <c r="D674" s="123"/>
      <c r="E674" s="123"/>
      <c r="F674" s="123"/>
      <c r="G674" s="135"/>
    </row>
    <row r="675">
      <c r="D675" s="123"/>
      <c r="E675" s="123"/>
      <c r="F675" s="123"/>
      <c r="G675" s="135"/>
    </row>
    <row r="676">
      <c r="D676" s="123"/>
      <c r="E676" s="123"/>
      <c r="F676" s="123"/>
      <c r="G676" s="135"/>
    </row>
    <row r="677">
      <c r="D677" s="123"/>
      <c r="E677" s="123"/>
      <c r="F677" s="123"/>
      <c r="G677" s="135"/>
    </row>
    <row r="678">
      <c r="D678" s="123"/>
      <c r="E678" s="123"/>
      <c r="F678" s="123"/>
      <c r="G678" s="135"/>
    </row>
    <row r="679">
      <c r="D679" s="123"/>
      <c r="E679" s="123"/>
      <c r="F679" s="123"/>
      <c r="G679" s="135"/>
    </row>
    <row r="680">
      <c r="D680" s="123"/>
      <c r="E680" s="123"/>
      <c r="F680" s="123"/>
      <c r="G680" s="135"/>
    </row>
    <row r="681">
      <c r="D681" s="123"/>
      <c r="E681" s="123"/>
      <c r="F681" s="123"/>
      <c r="G681" s="135"/>
    </row>
    <row r="682">
      <c r="D682" s="123"/>
      <c r="E682" s="123"/>
      <c r="F682" s="123"/>
      <c r="G682" s="135"/>
    </row>
    <row r="683">
      <c r="D683" s="123"/>
      <c r="E683" s="123"/>
      <c r="F683" s="123"/>
      <c r="G683" s="135"/>
    </row>
    <row r="684">
      <c r="D684" s="123"/>
      <c r="E684" s="123"/>
      <c r="F684" s="123"/>
      <c r="G684" s="135"/>
    </row>
    <row r="685">
      <c r="D685" s="123"/>
      <c r="E685" s="123"/>
      <c r="F685" s="123"/>
      <c r="G685" s="135"/>
    </row>
    <row r="686">
      <c r="D686" s="123"/>
      <c r="E686" s="123"/>
      <c r="F686" s="123"/>
      <c r="G686" s="135"/>
    </row>
    <row r="687">
      <c r="D687" s="123"/>
      <c r="E687" s="123"/>
      <c r="F687" s="123"/>
      <c r="G687" s="135"/>
    </row>
    <row r="688">
      <c r="D688" s="123"/>
      <c r="E688" s="123"/>
      <c r="F688" s="123"/>
      <c r="G688" s="135"/>
    </row>
    <row r="689">
      <c r="D689" s="123"/>
      <c r="E689" s="123"/>
      <c r="F689" s="123"/>
      <c r="G689" s="135"/>
    </row>
    <row r="690">
      <c r="D690" s="123"/>
      <c r="E690" s="123"/>
      <c r="F690" s="123"/>
      <c r="G690" s="135"/>
    </row>
    <row r="691">
      <c r="D691" s="123"/>
      <c r="E691" s="123"/>
      <c r="F691" s="123"/>
      <c r="G691" s="135"/>
    </row>
    <row r="692">
      <c r="D692" s="123"/>
      <c r="E692" s="123"/>
      <c r="F692" s="123"/>
      <c r="G692" s="135"/>
    </row>
    <row r="693">
      <c r="D693" s="123"/>
      <c r="E693" s="123"/>
      <c r="F693" s="123"/>
      <c r="G693" s="135"/>
    </row>
    <row r="694">
      <c r="D694" s="123"/>
      <c r="E694" s="123"/>
      <c r="F694" s="123"/>
      <c r="G694" s="135"/>
    </row>
    <row r="695">
      <c r="D695" s="123"/>
      <c r="E695" s="123"/>
      <c r="F695" s="123"/>
      <c r="G695" s="135"/>
    </row>
    <row r="696">
      <c r="D696" s="123"/>
      <c r="E696" s="123"/>
      <c r="F696" s="123"/>
      <c r="G696" s="135"/>
    </row>
    <row r="697">
      <c r="D697" s="123"/>
      <c r="E697" s="123"/>
      <c r="F697" s="123"/>
      <c r="G697" s="135"/>
    </row>
    <row r="698">
      <c r="D698" s="123"/>
      <c r="E698" s="123"/>
      <c r="F698" s="123"/>
      <c r="G698" s="135"/>
    </row>
    <row r="699">
      <c r="D699" s="123"/>
      <c r="E699" s="123"/>
      <c r="F699" s="123"/>
      <c r="G699" s="135"/>
    </row>
    <row r="700">
      <c r="D700" s="123"/>
      <c r="E700" s="123"/>
      <c r="F700" s="123"/>
      <c r="G700" s="135"/>
    </row>
    <row r="701">
      <c r="D701" s="123"/>
      <c r="E701" s="123"/>
      <c r="F701" s="123"/>
      <c r="G701" s="135"/>
    </row>
    <row r="702">
      <c r="D702" s="123"/>
      <c r="E702" s="123"/>
      <c r="F702" s="123"/>
      <c r="G702" s="135"/>
    </row>
    <row r="703">
      <c r="D703" s="123"/>
      <c r="E703" s="123"/>
      <c r="F703" s="123"/>
      <c r="G703" s="135"/>
    </row>
    <row r="704">
      <c r="D704" s="123"/>
      <c r="E704" s="123"/>
      <c r="F704" s="123"/>
      <c r="G704" s="135"/>
    </row>
    <row r="705">
      <c r="D705" s="123"/>
      <c r="E705" s="123"/>
      <c r="F705" s="123"/>
      <c r="G705" s="135"/>
    </row>
    <row r="706">
      <c r="D706" s="123"/>
      <c r="E706" s="123"/>
      <c r="F706" s="123"/>
      <c r="G706" s="135"/>
    </row>
    <row r="707">
      <c r="D707" s="123"/>
      <c r="E707" s="123"/>
      <c r="F707" s="123"/>
      <c r="G707" s="135"/>
    </row>
    <row r="708">
      <c r="D708" s="123"/>
      <c r="E708" s="123"/>
      <c r="F708" s="123"/>
      <c r="G708" s="135"/>
    </row>
    <row r="709">
      <c r="D709" s="123"/>
      <c r="E709" s="123"/>
      <c r="F709" s="123"/>
      <c r="G709" s="135"/>
    </row>
    <row r="710">
      <c r="D710" s="123"/>
      <c r="E710" s="123"/>
      <c r="F710" s="123"/>
      <c r="G710" s="135"/>
    </row>
    <row r="711">
      <c r="D711" s="123"/>
      <c r="E711" s="123"/>
      <c r="F711" s="123"/>
      <c r="G711" s="135"/>
    </row>
    <row r="712">
      <c r="D712" s="123"/>
      <c r="E712" s="123"/>
      <c r="F712" s="123"/>
      <c r="G712" s="135"/>
    </row>
    <row r="713">
      <c r="D713" s="123"/>
      <c r="E713" s="123"/>
      <c r="F713" s="123"/>
      <c r="G713" s="135"/>
    </row>
    <row r="714">
      <c r="D714" s="123"/>
      <c r="E714" s="123"/>
      <c r="F714" s="123"/>
      <c r="G714" s="135"/>
    </row>
    <row r="715">
      <c r="D715" s="123"/>
      <c r="E715" s="123"/>
      <c r="F715" s="123"/>
      <c r="G715" s="135"/>
    </row>
    <row r="716">
      <c r="D716" s="123"/>
      <c r="E716" s="123"/>
      <c r="F716" s="123"/>
      <c r="G716" s="135"/>
    </row>
    <row r="717">
      <c r="D717" s="123"/>
      <c r="E717" s="123"/>
      <c r="F717" s="123"/>
      <c r="G717" s="135"/>
    </row>
    <row r="718">
      <c r="D718" s="123"/>
      <c r="E718" s="123"/>
      <c r="F718" s="123"/>
      <c r="G718" s="135"/>
    </row>
    <row r="719">
      <c r="D719" s="123"/>
      <c r="E719" s="123"/>
      <c r="F719" s="123"/>
      <c r="G719" s="135"/>
    </row>
    <row r="720">
      <c r="D720" s="123"/>
      <c r="E720" s="123"/>
      <c r="F720" s="123"/>
      <c r="G720" s="135"/>
    </row>
    <row r="721">
      <c r="D721" s="123"/>
      <c r="E721" s="123"/>
      <c r="F721" s="123"/>
      <c r="G721" s="135"/>
    </row>
    <row r="722">
      <c r="D722" s="123"/>
      <c r="E722" s="123"/>
      <c r="F722" s="123"/>
      <c r="G722" s="135"/>
    </row>
    <row r="723">
      <c r="D723" s="123"/>
      <c r="E723" s="123"/>
      <c r="F723" s="123"/>
      <c r="G723" s="135"/>
    </row>
    <row r="724">
      <c r="D724" s="123"/>
      <c r="E724" s="123"/>
      <c r="F724" s="123"/>
      <c r="G724" s="135"/>
    </row>
    <row r="725">
      <c r="D725" s="123"/>
      <c r="E725" s="123"/>
      <c r="F725" s="123"/>
      <c r="G725" s="135"/>
    </row>
    <row r="726">
      <c r="D726" s="123"/>
      <c r="E726" s="123"/>
      <c r="F726" s="123"/>
      <c r="G726" s="135"/>
    </row>
    <row r="727">
      <c r="D727" s="123"/>
      <c r="E727" s="123"/>
      <c r="F727" s="123"/>
      <c r="G727" s="135"/>
    </row>
    <row r="728">
      <c r="D728" s="123"/>
      <c r="E728" s="123"/>
      <c r="F728" s="123"/>
      <c r="G728" s="135"/>
    </row>
    <row r="729">
      <c r="D729" s="123"/>
      <c r="E729" s="123"/>
      <c r="F729" s="123"/>
      <c r="G729" s="135"/>
    </row>
    <row r="730">
      <c r="D730" s="123"/>
      <c r="E730" s="123"/>
      <c r="F730" s="123"/>
      <c r="G730" s="135"/>
    </row>
    <row r="731">
      <c r="D731" s="123"/>
      <c r="E731" s="123"/>
      <c r="F731" s="123"/>
      <c r="G731" s="135"/>
    </row>
    <row r="732">
      <c r="D732" s="123"/>
      <c r="E732" s="123"/>
      <c r="F732" s="123"/>
      <c r="G732" s="135"/>
    </row>
    <row r="733">
      <c r="D733" s="123"/>
      <c r="E733" s="123"/>
      <c r="F733" s="123"/>
      <c r="G733" s="135"/>
    </row>
    <row r="734">
      <c r="D734" s="123"/>
      <c r="E734" s="123"/>
      <c r="F734" s="123"/>
      <c r="G734" s="135"/>
    </row>
    <row r="735">
      <c r="D735" s="123"/>
      <c r="E735" s="123"/>
      <c r="F735" s="123"/>
      <c r="G735" s="135"/>
    </row>
    <row r="736">
      <c r="D736" s="123"/>
      <c r="E736" s="123"/>
      <c r="F736" s="123"/>
      <c r="G736" s="135"/>
    </row>
    <row r="737">
      <c r="D737" s="123"/>
      <c r="E737" s="123"/>
      <c r="F737" s="123"/>
      <c r="G737" s="135"/>
    </row>
    <row r="738">
      <c r="D738" s="123"/>
      <c r="E738" s="123"/>
      <c r="F738" s="123"/>
      <c r="G738" s="135"/>
    </row>
    <row r="739">
      <c r="D739" s="123"/>
      <c r="E739" s="123"/>
      <c r="F739" s="123"/>
      <c r="G739" s="135"/>
    </row>
    <row r="740">
      <c r="D740" s="123"/>
      <c r="E740" s="123"/>
      <c r="F740" s="123"/>
      <c r="G740" s="135"/>
    </row>
    <row r="741">
      <c r="D741" s="123"/>
      <c r="E741" s="123"/>
      <c r="F741" s="123"/>
      <c r="G741" s="135"/>
    </row>
    <row r="742">
      <c r="D742" s="123"/>
      <c r="E742" s="123"/>
      <c r="F742" s="123"/>
      <c r="G742" s="135"/>
    </row>
    <row r="743">
      <c r="D743" s="123"/>
      <c r="E743" s="123"/>
      <c r="F743" s="123"/>
      <c r="G743" s="135"/>
    </row>
    <row r="744">
      <c r="D744" s="123"/>
      <c r="E744" s="123"/>
      <c r="F744" s="123"/>
      <c r="G744" s="135"/>
    </row>
    <row r="745">
      <c r="D745" s="123"/>
      <c r="E745" s="123"/>
      <c r="F745" s="123"/>
      <c r="G745" s="135"/>
    </row>
    <row r="746">
      <c r="D746" s="123"/>
      <c r="E746" s="123"/>
      <c r="F746" s="123"/>
      <c r="G746" s="135"/>
    </row>
    <row r="747">
      <c r="D747" s="123"/>
      <c r="E747" s="123"/>
      <c r="F747" s="123"/>
      <c r="G747" s="135"/>
    </row>
    <row r="748">
      <c r="D748" s="123"/>
      <c r="E748" s="123"/>
      <c r="F748" s="123"/>
      <c r="G748" s="135"/>
    </row>
    <row r="749">
      <c r="D749" s="123"/>
      <c r="E749" s="123"/>
      <c r="F749" s="123"/>
      <c r="G749" s="135"/>
    </row>
    <row r="750">
      <c r="D750" s="123"/>
      <c r="E750" s="123"/>
      <c r="F750" s="123"/>
      <c r="G750" s="135"/>
    </row>
    <row r="751">
      <c r="D751" s="123"/>
      <c r="E751" s="123"/>
      <c r="F751" s="123"/>
      <c r="G751" s="135"/>
    </row>
    <row r="752">
      <c r="D752" s="123"/>
      <c r="E752" s="123"/>
      <c r="F752" s="123"/>
      <c r="G752" s="135"/>
    </row>
    <row r="753">
      <c r="D753" s="123"/>
      <c r="E753" s="123"/>
      <c r="F753" s="123"/>
      <c r="G753" s="135"/>
    </row>
    <row r="754">
      <c r="D754" s="123"/>
      <c r="E754" s="123"/>
      <c r="F754" s="123"/>
      <c r="G754" s="135"/>
    </row>
    <row r="755">
      <c r="D755" s="123"/>
      <c r="E755" s="123"/>
      <c r="F755" s="123"/>
      <c r="G755" s="135"/>
    </row>
    <row r="756">
      <c r="D756" s="123"/>
      <c r="E756" s="123"/>
      <c r="F756" s="123"/>
      <c r="G756" s="135"/>
    </row>
    <row r="757">
      <c r="D757" s="123"/>
      <c r="E757" s="123"/>
      <c r="F757" s="123"/>
      <c r="G757" s="135"/>
    </row>
    <row r="758">
      <c r="D758" s="123"/>
      <c r="E758" s="123"/>
      <c r="F758" s="123"/>
      <c r="G758" s="135"/>
    </row>
    <row r="759">
      <c r="D759" s="123"/>
      <c r="E759" s="123"/>
      <c r="F759" s="123"/>
      <c r="G759" s="135"/>
    </row>
    <row r="760">
      <c r="D760" s="123"/>
      <c r="E760" s="123"/>
      <c r="F760" s="123"/>
      <c r="G760" s="135"/>
    </row>
    <row r="761">
      <c r="D761" s="123"/>
      <c r="E761" s="123"/>
      <c r="F761" s="123"/>
      <c r="G761" s="135"/>
    </row>
    <row r="762">
      <c r="D762" s="123"/>
      <c r="E762" s="123"/>
      <c r="F762" s="123"/>
      <c r="G762" s="135"/>
    </row>
    <row r="763">
      <c r="D763" s="123"/>
      <c r="E763" s="123"/>
      <c r="F763" s="123"/>
      <c r="G763" s="135"/>
    </row>
    <row r="764">
      <c r="D764" s="123"/>
      <c r="E764" s="123"/>
      <c r="F764" s="123"/>
      <c r="G764" s="135"/>
    </row>
    <row r="765">
      <c r="D765" s="123"/>
      <c r="E765" s="123"/>
      <c r="F765" s="123"/>
      <c r="G765" s="135"/>
    </row>
    <row r="766">
      <c r="D766" s="123"/>
      <c r="E766" s="123"/>
      <c r="F766" s="123"/>
      <c r="G766" s="135"/>
    </row>
    <row r="767">
      <c r="D767" s="123"/>
      <c r="E767" s="123"/>
      <c r="F767" s="123"/>
      <c r="G767" s="135"/>
    </row>
    <row r="768">
      <c r="D768" s="123"/>
      <c r="E768" s="123"/>
      <c r="F768" s="123"/>
      <c r="G768" s="135"/>
    </row>
    <row r="769">
      <c r="D769" s="123"/>
      <c r="E769" s="123"/>
      <c r="F769" s="123"/>
      <c r="G769" s="135"/>
    </row>
    <row r="770">
      <c r="D770" s="123"/>
      <c r="E770" s="123"/>
      <c r="F770" s="123"/>
      <c r="G770" s="135"/>
    </row>
    <row r="771">
      <c r="D771" s="123"/>
      <c r="E771" s="123"/>
      <c r="F771" s="123"/>
      <c r="G771" s="135"/>
    </row>
    <row r="772">
      <c r="D772" s="123"/>
      <c r="E772" s="123"/>
      <c r="F772" s="123"/>
      <c r="G772" s="135"/>
    </row>
    <row r="773">
      <c r="D773" s="123"/>
      <c r="E773" s="123"/>
      <c r="F773" s="123"/>
      <c r="G773" s="135"/>
    </row>
    <row r="774">
      <c r="D774" s="123"/>
      <c r="E774" s="123"/>
      <c r="F774" s="123"/>
      <c r="G774" s="135"/>
    </row>
    <row r="775">
      <c r="D775" s="123"/>
      <c r="E775" s="123"/>
      <c r="F775" s="123"/>
      <c r="G775" s="135"/>
    </row>
    <row r="776">
      <c r="D776" s="123"/>
      <c r="E776" s="123"/>
      <c r="F776" s="123"/>
      <c r="G776" s="135"/>
    </row>
    <row r="777">
      <c r="D777" s="123"/>
      <c r="E777" s="123"/>
      <c r="F777" s="123"/>
      <c r="G777" s="135"/>
    </row>
    <row r="778">
      <c r="D778" s="123"/>
      <c r="E778" s="123"/>
      <c r="F778" s="123"/>
      <c r="G778" s="135"/>
    </row>
    <row r="779">
      <c r="D779" s="123"/>
      <c r="E779" s="123"/>
      <c r="F779" s="123"/>
      <c r="G779" s="135"/>
    </row>
    <row r="780">
      <c r="D780" s="123"/>
      <c r="E780" s="123"/>
      <c r="F780" s="123"/>
      <c r="G780" s="135"/>
    </row>
    <row r="781">
      <c r="D781" s="123"/>
      <c r="E781" s="123"/>
      <c r="F781" s="123"/>
      <c r="G781" s="135"/>
    </row>
    <row r="782">
      <c r="D782" s="123"/>
      <c r="E782" s="123"/>
      <c r="F782" s="123"/>
      <c r="G782" s="135"/>
    </row>
    <row r="783">
      <c r="D783" s="123"/>
      <c r="E783" s="123"/>
      <c r="F783" s="123"/>
      <c r="G783" s="135"/>
    </row>
    <row r="784">
      <c r="D784" s="123"/>
      <c r="E784" s="123"/>
      <c r="F784" s="123"/>
      <c r="G784" s="135"/>
    </row>
    <row r="785">
      <c r="D785" s="123"/>
      <c r="E785" s="123"/>
      <c r="F785" s="123"/>
      <c r="G785" s="135"/>
    </row>
    <row r="786">
      <c r="D786" s="123"/>
      <c r="E786" s="123"/>
      <c r="F786" s="123"/>
      <c r="G786" s="135"/>
    </row>
    <row r="787">
      <c r="D787" s="123"/>
      <c r="E787" s="123"/>
      <c r="F787" s="123"/>
      <c r="G787" s="135"/>
    </row>
    <row r="788">
      <c r="D788" s="123"/>
      <c r="E788" s="123"/>
      <c r="F788" s="123"/>
      <c r="G788" s="135"/>
    </row>
    <row r="789">
      <c r="D789" s="123"/>
      <c r="E789" s="123"/>
      <c r="F789" s="123"/>
      <c r="G789" s="135"/>
    </row>
    <row r="790">
      <c r="D790" s="123"/>
      <c r="E790" s="123"/>
      <c r="F790" s="123"/>
      <c r="G790" s="135"/>
    </row>
    <row r="791">
      <c r="D791" s="123"/>
      <c r="E791" s="123"/>
      <c r="F791" s="123"/>
      <c r="G791" s="135"/>
    </row>
    <row r="792">
      <c r="D792" s="123"/>
      <c r="E792" s="123"/>
      <c r="F792" s="123"/>
      <c r="G792" s="135"/>
    </row>
    <row r="793">
      <c r="D793" s="123"/>
      <c r="E793" s="123"/>
      <c r="F793" s="123"/>
      <c r="G793" s="135"/>
    </row>
    <row r="794">
      <c r="D794" s="123"/>
      <c r="E794" s="123"/>
      <c r="F794" s="123"/>
      <c r="G794" s="135"/>
    </row>
    <row r="795">
      <c r="D795" s="123"/>
      <c r="E795" s="123"/>
      <c r="F795" s="123"/>
      <c r="G795" s="135"/>
    </row>
    <row r="796">
      <c r="D796" s="123"/>
      <c r="E796" s="123"/>
      <c r="F796" s="123"/>
      <c r="G796" s="135"/>
    </row>
    <row r="797">
      <c r="D797" s="123"/>
      <c r="E797" s="123"/>
      <c r="F797" s="123"/>
      <c r="G797" s="135"/>
    </row>
    <row r="798">
      <c r="D798" s="123"/>
      <c r="E798" s="123"/>
      <c r="F798" s="123"/>
      <c r="G798" s="135"/>
    </row>
    <row r="799">
      <c r="D799" s="123"/>
      <c r="E799" s="123"/>
      <c r="F799" s="123"/>
      <c r="G799" s="135"/>
    </row>
    <row r="800">
      <c r="D800" s="123"/>
      <c r="E800" s="123"/>
      <c r="F800" s="123"/>
      <c r="G800" s="135"/>
    </row>
    <row r="801">
      <c r="D801" s="123"/>
      <c r="E801" s="123"/>
      <c r="F801" s="123"/>
      <c r="G801" s="135"/>
    </row>
    <row r="802">
      <c r="D802" s="123"/>
      <c r="E802" s="123"/>
      <c r="F802" s="123"/>
      <c r="G802" s="135"/>
    </row>
    <row r="803">
      <c r="D803" s="123"/>
      <c r="E803" s="123"/>
      <c r="F803" s="123"/>
      <c r="G803" s="135"/>
    </row>
    <row r="804">
      <c r="D804" s="123"/>
      <c r="E804" s="123"/>
      <c r="F804" s="123"/>
      <c r="G804" s="135"/>
    </row>
    <row r="805">
      <c r="D805" s="123"/>
      <c r="E805" s="123"/>
      <c r="F805" s="123"/>
      <c r="G805" s="135"/>
    </row>
    <row r="806">
      <c r="D806" s="123"/>
      <c r="E806" s="123"/>
      <c r="F806" s="123"/>
      <c r="G806" s="135"/>
    </row>
    <row r="807">
      <c r="D807" s="123"/>
      <c r="E807" s="123"/>
      <c r="F807" s="123"/>
      <c r="G807" s="135"/>
    </row>
    <row r="808">
      <c r="D808" s="123"/>
      <c r="E808" s="123"/>
      <c r="F808" s="123"/>
      <c r="G808" s="135"/>
    </row>
    <row r="809">
      <c r="D809" s="123"/>
      <c r="E809" s="123"/>
      <c r="F809" s="123"/>
      <c r="G809" s="135"/>
    </row>
    <row r="810">
      <c r="D810" s="123"/>
      <c r="E810" s="123"/>
      <c r="F810" s="123"/>
      <c r="G810" s="135"/>
    </row>
    <row r="811">
      <c r="D811" s="123"/>
      <c r="E811" s="123"/>
      <c r="F811" s="123"/>
      <c r="G811" s="135"/>
    </row>
    <row r="812">
      <c r="D812" s="123"/>
      <c r="E812" s="123"/>
      <c r="F812" s="123"/>
      <c r="G812" s="135"/>
    </row>
    <row r="813">
      <c r="D813" s="123"/>
      <c r="E813" s="123"/>
      <c r="F813" s="123"/>
      <c r="G813" s="135"/>
    </row>
    <row r="814">
      <c r="D814" s="123"/>
      <c r="E814" s="123"/>
      <c r="F814" s="123"/>
      <c r="G814" s="135"/>
    </row>
    <row r="815">
      <c r="D815" s="123"/>
      <c r="E815" s="123"/>
      <c r="F815" s="123"/>
      <c r="G815" s="135"/>
    </row>
    <row r="816">
      <c r="D816" s="123"/>
      <c r="E816" s="123"/>
      <c r="F816" s="123"/>
      <c r="G816" s="135"/>
    </row>
    <row r="817">
      <c r="D817" s="123"/>
      <c r="E817" s="123"/>
      <c r="F817" s="123"/>
      <c r="G817" s="135"/>
    </row>
    <row r="818">
      <c r="D818" s="123"/>
      <c r="E818" s="123"/>
      <c r="F818" s="123"/>
      <c r="G818" s="135"/>
    </row>
    <row r="819">
      <c r="D819" s="123"/>
      <c r="E819" s="123"/>
      <c r="F819" s="123"/>
      <c r="G819" s="135"/>
    </row>
    <row r="820">
      <c r="D820" s="123"/>
      <c r="E820" s="123"/>
      <c r="F820" s="123"/>
      <c r="G820" s="135"/>
    </row>
    <row r="821">
      <c r="D821" s="123"/>
      <c r="E821" s="123"/>
      <c r="F821" s="123"/>
      <c r="G821" s="135"/>
    </row>
    <row r="822">
      <c r="D822" s="123"/>
      <c r="E822" s="123"/>
      <c r="F822" s="123"/>
      <c r="G822" s="135"/>
    </row>
    <row r="823">
      <c r="D823" s="123"/>
      <c r="E823" s="123"/>
      <c r="F823" s="123"/>
      <c r="G823" s="135"/>
    </row>
    <row r="824">
      <c r="D824" s="123"/>
      <c r="E824" s="123"/>
      <c r="F824" s="123"/>
      <c r="G824" s="135"/>
    </row>
    <row r="825">
      <c r="D825" s="123"/>
      <c r="E825" s="123"/>
      <c r="F825" s="123"/>
      <c r="G825" s="135"/>
    </row>
    <row r="826">
      <c r="D826" s="123"/>
      <c r="E826" s="123"/>
      <c r="F826" s="123"/>
      <c r="G826" s="135"/>
    </row>
    <row r="827">
      <c r="D827" s="123"/>
      <c r="E827" s="123"/>
      <c r="F827" s="123"/>
      <c r="G827" s="135"/>
    </row>
    <row r="828">
      <c r="D828" s="123"/>
      <c r="E828" s="123"/>
      <c r="F828" s="123"/>
      <c r="G828" s="135"/>
    </row>
    <row r="829">
      <c r="D829" s="123"/>
      <c r="E829" s="123"/>
      <c r="F829" s="123"/>
      <c r="G829" s="135"/>
    </row>
    <row r="830">
      <c r="D830" s="123"/>
      <c r="E830" s="123"/>
      <c r="F830" s="123"/>
      <c r="G830" s="135"/>
    </row>
    <row r="831">
      <c r="D831" s="123"/>
      <c r="E831" s="123"/>
      <c r="F831" s="123"/>
      <c r="G831" s="135"/>
    </row>
    <row r="832">
      <c r="D832" s="123"/>
      <c r="E832" s="123"/>
      <c r="F832" s="123"/>
      <c r="G832" s="135"/>
    </row>
    <row r="833">
      <c r="D833" s="123"/>
      <c r="E833" s="123"/>
      <c r="F833" s="123"/>
      <c r="G833" s="135"/>
    </row>
    <row r="834">
      <c r="D834" s="123"/>
      <c r="E834" s="123"/>
      <c r="F834" s="123"/>
      <c r="G834" s="135"/>
    </row>
    <row r="835">
      <c r="D835" s="123"/>
      <c r="E835" s="123"/>
      <c r="F835" s="123"/>
      <c r="G835" s="135"/>
    </row>
    <row r="836">
      <c r="D836" s="123"/>
      <c r="E836" s="123"/>
      <c r="F836" s="123"/>
      <c r="G836" s="135"/>
    </row>
    <row r="837">
      <c r="D837" s="123"/>
      <c r="E837" s="123"/>
      <c r="F837" s="123"/>
      <c r="G837" s="135"/>
    </row>
    <row r="838">
      <c r="D838" s="123"/>
      <c r="E838" s="123"/>
      <c r="F838" s="123"/>
      <c r="G838" s="135"/>
    </row>
    <row r="839">
      <c r="D839" s="123"/>
      <c r="E839" s="123"/>
      <c r="F839" s="123"/>
      <c r="G839" s="135"/>
    </row>
    <row r="840">
      <c r="D840" s="123"/>
      <c r="E840" s="123"/>
      <c r="F840" s="123"/>
      <c r="G840" s="135"/>
    </row>
    <row r="841">
      <c r="D841" s="123"/>
      <c r="E841" s="123"/>
      <c r="F841" s="123"/>
      <c r="G841" s="135"/>
    </row>
    <row r="842">
      <c r="D842" s="123"/>
      <c r="E842" s="123"/>
      <c r="F842" s="123"/>
      <c r="G842" s="135"/>
    </row>
    <row r="843">
      <c r="D843" s="123"/>
      <c r="E843" s="123"/>
      <c r="F843" s="123"/>
      <c r="G843" s="135"/>
    </row>
    <row r="844">
      <c r="D844" s="123"/>
      <c r="E844" s="123"/>
      <c r="F844" s="123"/>
      <c r="G844" s="135"/>
    </row>
    <row r="845">
      <c r="D845" s="123"/>
      <c r="E845" s="123"/>
      <c r="F845" s="123"/>
      <c r="G845" s="135"/>
    </row>
    <row r="846">
      <c r="D846" s="123"/>
      <c r="E846" s="123"/>
      <c r="F846" s="123"/>
      <c r="G846" s="135"/>
    </row>
    <row r="847">
      <c r="D847" s="123"/>
      <c r="E847" s="123"/>
      <c r="F847" s="123"/>
      <c r="G847" s="135"/>
    </row>
    <row r="848">
      <c r="D848" s="123"/>
      <c r="E848" s="123"/>
      <c r="F848" s="123"/>
      <c r="G848" s="135"/>
    </row>
    <row r="849">
      <c r="D849" s="123"/>
      <c r="E849" s="123"/>
      <c r="F849" s="123"/>
      <c r="G849" s="135"/>
    </row>
    <row r="850">
      <c r="D850" s="123"/>
      <c r="E850" s="123"/>
      <c r="F850" s="123"/>
      <c r="G850" s="135"/>
    </row>
    <row r="851">
      <c r="D851" s="123"/>
      <c r="E851" s="123"/>
      <c r="F851" s="123"/>
      <c r="G851" s="135"/>
    </row>
    <row r="852">
      <c r="D852" s="123"/>
      <c r="E852" s="123"/>
      <c r="F852" s="123"/>
      <c r="G852" s="135"/>
    </row>
    <row r="853">
      <c r="D853" s="123"/>
      <c r="E853" s="123"/>
      <c r="F853" s="123"/>
      <c r="G853" s="135"/>
    </row>
    <row r="854">
      <c r="D854" s="123"/>
      <c r="E854" s="123"/>
      <c r="F854" s="123"/>
      <c r="G854" s="135"/>
    </row>
    <row r="855">
      <c r="D855" s="123"/>
      <c r="E855" s="123"/>
      <c r="F855" s="123"/>
      <c r="G855" s="135"/>
    </row>
    <row r="856">
      <c r="D856" s="123"/>
      <c r="E856" s="123"/>
      <c r="F856" s="123"/>
      <c r="G856" s="135"/>
    </row>
    <row r="857">
      <c r="D857" s="123"/>
      <c r="E857" s="123"/>
      <c r="F857" s="123"/>
      <c r="G857" s="135"/>
    </row>
    <row r="858">
      <c r="D858" s="123"/>
      <c r="E858" s="123"/>
      <c r="F858" s="123"/>
      <c r="G858" s="135"/>
    </row>
    <row r="859">
      <c r="D859" s="123"/>
      <c r="E859" s="123"/>
      <c r="F859" s="123"/>
      <c r="G859" s="135"/>
    </row>
    <row r="860">
      <c r="D860" s="123"/>
      <c r="E860" s="123"/>
      <c r="F860" s="123"/>
      <c r="G860" s="135"/>
    </row>
    <row r="861">
      <c r="D861" s="123"/>
      <c r="E861" s="123"/>
      <c r="F861" s="123"/>
      <c r="G861" s="135"/>
    </row>
    <row r="862">
      <c r="D862" s="123"/>
      <c r="E862" s="123"/>
      <c r="F862" s="123"/>
      <c r="G862" s="135"/>
    </row>
    <row r="863">
      <c r="D863" s="123"/>
      <c r="E863" s="123"/>
      <c r="F863" s="123"/>
      <c r="G863" s="135"/>
    </row>
    <row r="864">
      <c r="D864" s="123"/>
      <c r="E864" s="123"/>
      <c r="F864" s="123"/>
      <c r="G864" s="135"/>
    </row>
    <row r="865">
      <c r="D865" s="123"/>
      <c r="E865" s="123"/>
      <c r="F865" s="123"/>
      <c r="G865" s="135"/>
    </row>
    <row r="866">
      <c r="D866" s="123"/>
      <c r="E866" s="123"/>
      <c r="F866" s="123"/>
      <c r="G866" s="135"/>
    </row>
    <row r="867">
      <c r="D867" s="123"/>
      <c r="E867" s="123"/>
      <c r="F867" s="123"/>
      <c r="G867" s="135"/>
    </row>
    <row r="868">
      <c r="D868" s="123"/>
      <c r="E868" s="123"/>
      <c r="F868" s="123"/>
      <c r="G868" s="135"/>
    </row>
    <row r="869">
      <c r="D869" s="123"/>
      <c r="E869" s="123"/>
      <c r="F869" s="123"/>
      <c r="G869" s="135"/>
    </row>
    <row r="870">
      <c r="D870" s="123"/>
      <c r="E870" s="123"/>
      <c r="F870" s="123"/>
      <c r="G870" s="135"/>
    </row>
    <row r="871">
      <c r="D871" s="123"/>
      <c r="E871" s="123"/>
      <c r="F871" s="123"/>
      <c r="G871" s="135"/>
    </row>
    <row r="872">
      <c r="D872" s="123"/>
      <c r="E872" s="123"/>
      <c r="F872" s="123"/>
      <c r="G872" s="135"/>
    </row>
    <row r="873">
      <c r="D873" s="123"/>
      <c r="E873" s="123"/>
      <c r="F873" s="123"/>
      <c r="G873" s="135"/>
    </row>
    <row r="874">
      <c r="D874" s="123"/>
      <c r="E874" s="123"/>
      <c r="F874" s="123"/>
      <c r="G874" s="135"/>
    </row>
    <row r="875">
      <c r="D875" s="123"/>
      <c r="E875" s="123"/>
      <c r="F875" s="123"/>
      <c r="G875" s="135"/>
    </row>
    <row r="876">
      <c r="D876" s="123"/>
      <c r="E876" s="123"/>
      <c r="F876" s="123"/>
      <c r="G876" s="135"/>
    </row>
    <row r="877">
      <c r="D877" s="123"/>
      <c r="E877" s="123"/>
      <c r="F877" s="123"/>
      <c r="G877" s="135"/>
    </row>
    <row r="878">
      <c r="D878" s="123"/>
      <c r="E878" s="123"/>
      <c r="F878" s="123"/>
      <c r="G878" s="135"/>
    </row>
    <row r="879">
      <c r="D879" s="123"/>
      <c r="E879" s="123"/>
      <c r="F879" s="123"/>
      <c r="G879" s="135"/>
    </row>
    <row r="880">
      <c r="D880" s="123"/>
      <c r="E880" s="123"/>
      <c r="F880" s="123"/>
      <c r="G880" s="135"/>
    </row>
    <row r="881">
      <c r="D881" s="123"/>
      <c r="E881" s="123"/>
      <c r="F881" s="123"/>
      <c r="G881" s="135"/>
    </row>
    <row r="882">
      <c r="D882" s="123"/>
      <c r="E882" s="123"/>
      <c r="F882" s="123"/>
      <c r="G882" s="135"/>
    </row>
    <row r="883">
      <c r="D883" s="123"/>
      <c r="E883" s="123"/>
      <c r="F883" s="123"/>
      <c r="G883" s="135"/>
    </row>
    <row r="884">
      <c r="D884" s="123"/>
      <c r="E884" s="123"/>
      <c r="F884" s="123"/>
      <c r="G884" s="135"/>
    </row>
    <row r="885">
      <c r="D885" s="123"/>
      <c r="E885" s="123"/>
      <c r="F885" s="123"/>
      <c r="G885" s="135"/>
    </row>
    <row r="886">
      <c r="D886" s="123"/>
      <c r="E886" s="123"/>
      <c r="F886" s="123"/>
      <c r="G886" s="135"/>
    </row>
    <row r="887">
      <c r="D887" s="123"/>
      <c r="E887" s="123"/>
      <c r="F887" s="123"/>
      <c r="G887" s="135"/>
    </row>
    <row r="888">
      <c r="D888" s="123"/>
      <c r="E888" s="123"/>
      <c r="F888" s="123"/>
      <c r="G888" s="135"/>
    </row>
    <row r="889">
      <c r="D889" s="123"/>
      <c r="E889" s="123"/>
      <c r="F889" s="123"/>
      <c r="G889" s="135"/>
    </row>
    <row r="890">
      <c r="D890" s="123"/>
      <c r="E890" s="123"/>
      <c r="F890" s="123"/>
      <c r="G890" s="135"/>
    </row>
    <row r="891">
      <c r="D891" s="123"/>
      <c r="E891" s="123"/>
      <c r="F891" s="123"/>
      <c r="G891" s="135"/>
    </row>
    <row r="892">
      <c r="D892" s="123"/>
      <c r="E892" s="123"/>
      <c r="F892" s="123"/>
      <c r="G892" s="135"/>
    </row>
    <row r="893">
      <c r="D893" s="123"/>
      <c r="E893" s="123"/>
      <c r="F893" s="123"/>
      <c r="G893" s="135"/>
    </row>
    <row r="894">
      <c r="D894" s="123"/>
      <c r="E894" s="123"/>
      <c r="F894" s="123"/>
      <c r="G894" s="135"/>
    </row>
    <row r="895">
      <c r="D895" s="123"/>
      <c r="E895" s="123"/>
      <c r="F895" s="123"/>
      <c r="G895" s="135"/>
    </row>
    <row r="896">
      <c r="D896" s="123"/>
      <c r="E896" s="123"/>
      <c r="F896" s="123"/>
      <c r="G896" s="135"/>
    </row>
    <row r="897">
      <c r="D897" s="123"/>
      <c r="E897" s="123"/>
      <c r="F897" s="123"/>
      <c r="G897" s="135"/>
    </row>
    <row r="898">
      <c r="D898" s="123"/>
      <c r="E898" s="123"/>
      <c r="F898" s="123"/>
      <c r="G898" s="135"/>
    </row>
    <row r="899">
      <c r="D899" s="123"/>
      <c r="E899" s="123"/>
      <c r="F899" s="123"/>
      <c r="G899" s="135"/>
    </row>
    <row r="900">
      <c r="D900" s="123"/>
      <c r="E900" s="123"/>
      <c r="F900" s="123"/>
      <c r="G900" s="135"/>
    </row>
    <row r="901">
      <c r="D901" s="123"/>
      <c r="E901" s="123"/>
      <c r="F901" s="123"/>
      <c r="G901" s="135"/>
    </row>
    <row r="902">
      <c r="D902" s="123"/>
      <c r="E902" s="123"/>
      <c r="F902" s="123"/>
      <c r="G902" s="135"/>
    </row>
    <row r="903">
      <c r="D903" s="123"/>
      <c r="E903" s="123"/>
      <c r="F903" s="123"/>
      <c r="G903" s="135"/>
    </row>
    <row r="904">
      <c r="D904" s="123"/>
      <c r="E904" s="123"/>
      <c r="F904" s="123"/>
      <c r="G904" s="135"/>
    </row>
    <row r="905">
      <c r="D905" s="123"/>
      <c r="E905" s="123"/>
      <c r="F905" s="123"/>
      <c r="G905" s="135"/>
    </row>
    <row r="906">
      <c r="D906" s="123"/>
      <c r="E906" s="123"/>
      <c r="F906" s="123"/>
      <c r="G906" s="135"/>
    </row>
    <row r="907">
      <c r="D907" s="123"/>
      <c r="E907" s="123"/>
      <c r="F907" s="123"/>
      <c r="G907" s="135"/>
    </row>
    <row r="908">
      <c r="D908" s="123"/>
      <c r="E908" s="123"/>
      <c r="F908" s="123"/>
      <c r="G908" s="135"/>
    </row>
    <row r="909">
      <c r="D909" s="123"/>
      <c r="E909" s="123"/>
      <c r="F909" s="123"/>
      <c r="G909" s="135"/>
    </row>
    <row r="910">
      <c r="D910" s="123"/>
      <c r="E910" s="123"/>
      <c r="F910" s="123"/>
      <c r="G910" s="135"/>
    </row>
    <row r="911">
      <c r="D911" s="123"/>
      <c r="E911" s="123"/>
      <c r="F911" s="123"/>
      <c r="G911" s="135"/>
    </row>
    <row r="912">
      <c r="D912" s="123"/>
      <c r="E912" s="123"/>
      <c r="F912" s="123"/>
      <c r="G912" s="135"/>
    </row>
    <row r="913">
      <c r="D913" s="123"/>
      <c r="E913" s="123"/>
      <c r="F913" s="123"/>
      <c r="G913" s="135"/>
    </row>
    <row r="914">
      <c r="D914" s="123"/>
      <c r="E914" s="123"/>
      <c r="F914" s="123"/>
      <c r="G914" s="135"/>
    </row>
    <row r="915">
      <c r="D915" s="123"/>
      <c r="E915" s="123"/>
      <c r="F915" s="123"/>
      <c r="G915" s="135"/>
    </row>
    <row r="916">
      <c r="D916" s="123"/>
      <c r="E916" s="123"/>
      <c r="F916" s="123"/>
      <c r="G916" s="135"/>
    </row>
    <row r="917">
      <c r="D917" s="123"/>
      <c r="E917" s="123"/>
      <c r="F917" s="123"/>
      <c r="G917" s="135"/>
    </row>
    <row r="918">
      <c r="D918" s="123"/>
      <c r="E918" s="123"/>
      <c r="F918" s="123"/>
      <c r="G918" s="135"/>
    </row>
    <row r="919">
      <c r="D919" s="123"/>
      <c r="E919" s="123"/>
      <c r="F919" s="123"/>
      <c r="G919" s="135"/>
    </row>
    <row r="920">
      <c r="D920" s="123"/>
      <c r="E920" s="123"/>
      <c r="F920" s="123"/>
      <c r="G920" s="135"/>
    </row>
    <row r="921">
      <c r="D921" s="123"/>
      <c r="E921" s="123"/>
      <c r="F921" s="123"/>
      <c r="G921" s="135"/>
    </row>
    <row r="922">
      <c r="D922" s="123"/>
      <c r="E922" s="123"/>
      <c r="F922" s="123"/>
      <c r="G922" s="135"/>
    </row>
    <row r="923">
      <c r="D923" s="123"/>
      <c r="E923" s="123"/>
      <c r="F923" s="123"/>
      <c r="G923" s="135"/>
    </row>
    <row r="924">
      <c r="D924" s="123"/>
      <c r="E924" s="123"/>
      <c r="F924" s="123"/>
      <c r="G924" s="135"/>
    </row>
    <row r="925">
      <c r="D925" s="123"/>
      <c r="E925" s="123"/>
      <c r="F925" s="123"/>
      <c r="G925" s="135"/>
    </row>
    <row r="926">
      <c r="D926" s="123"/>
      <c r="E926" s="123"/>
      <c r="F926" s="123"/>
      <c r="G926" s="135"/>
    </row>
    <row r="927">
      <c r="D927" s="123"/>
      <c r="E927" s="123"/>
      <c r="F927" s="123"/>
      <c r="G927" s="135"/>
    </row>
    <row r="928">
      <c r="D928" s="123"/>
      <c r="E928" s="123"/>
      <c r="F928" s="123"/>
      <c r="G928" s="135"/>
    </row>
    <row r="929">
      <c r="D929" s="123"/>
      <c r="E929" s="123"/>
      <c r="F929" s="123"/>
      <c r="G929" s="135"/>
    </row>
    <row r="930">
      <c r="D930" s="123"/>
      <c r="E930" s="123"/>
      <c r="F930" s="123"/>
      <c r="G930" s="135"/>
    </row>
    <row r="931">
      <c r="D931" s="123"/>
      <c r="E931" s="123"/>
      <c r="F931" s="123"/>
      <c r="G931" s="135"/>
    </row>
    <row r="932">
      <c r="D932" s="123"/>
      <c r="E932" s="123"/>
      <c r="F932" s="123"/>
      <c r="G932" s="135"/>
    </row>
    <row r="933">
      <c r="D933" s="123"/>
      <c r="E933" s="123"/>
      <c r="F933" s="123"/>
      <c r="G933" s="135"/>
    </row>
    <row r="934">
      <c r="D934" s="123"/>
      <c r="E934" s="123"/>
      <c r="F934" s="123"/>
      <c r="G934" s="135"/>
    </row>
    <row r="935">
      <c r="D935" s="123"/>
      <c r="E935" s="123"/>
      <c r="F935" s="123"/>
      <c r="G935" s="135"/>
    </row>
    <row r="936">
      <c r="D936" s="123"/>
      <c r="E936" s="123"/>
      <c r="F936" s="123"/>
      <c r="G936" s="135"/>
    </row>
    <row r="937">
      <c r="D937" s="123"/>
      <c r="E937" s="123"/>
      <c r="F937" s="123"/>
      <c r="G937" s="135"/>
    </row>
    <row r="938">
      <c r="D938" s="123"/>
      <c r="E938" s="123"/>
      <c r="F938" s="123"/>
      <c r="G938" s="135"/>
    </row>
    <row r="939">
      <c r="D939" s="123"/>
      <c r="E939" s="123"/>
      <c r="F939" s="123"/>
      <c r="G939" s="135"/>
    </row>
    <row r="940">
      <c r="D940" s="123"/>
      <c r="E940" s="123"/>
      <c r="F940" s="123"/>
      <c r="G940" s="135"/>
    </row>
    <row r="941">
      <c r="D941" s="123"/>
      <c r="E941" s="123"/>
      <c r="F941" s="123"/>
      <c r="G941" s="135"/>
    </row>
    <row r="942">
      <c r="D942" s="123"/>
      <c r="E942" s="123"/>
      <c r="F942" s="123"/>
      <c r="G942" s="135"/>
    </row>
    <row r="943">
      <c r="D943" s="123"/>
      <c r="E943" s="123"/>
      <c r="F943" s="123"/>
      <c r="G943" s="135"/>
    </row>
    <row r="944">
      <c r="D944" s="123"/>
      <c r="E944" s="123"/>
      <c r="F944" s="123"/>
      <c r="G944" s="135"/>
    </row>
    <row r="945">
      <c r="D945" s="123"/>
      <c r="E945" s="123"/>
      <c r="F945" s="123"/>
      <c r="G945" s="135"/>
    </row>
    <row r="946">
      <c r="D946" s="123"/>
      <c r="E946" s="123"/>
      <c r="F946" s="123"/>
      <c r="G946" s="135"/>
    </row>
    <row r="947">
      <c r="D947" s="123"/>
      <c r="E947" s="123"/>
      <c r="F947" s="123"/>
      <c r="G947" s="135"/>
    </row>
    <row r="948">
      <c r="D948" s="123"/>
      <c r="E948" s="123"/>
      <c r="F948" s="123"/>
      <c r="G948" s="135"/>
    </row>
    <row r="949">
      <c r="D949" s="123"/>
      <c r="E949" s="123"/>
      <c r="F949" s="123"/>
      <c r="G949" s="135"/>
    </row>
    <row r="950">
      <c r="D950" s="123"/>
      <c r="E950" s="123"/>
      <c r="F950" s="123"/>
      <c r="G950" s="135"/>
    </row>
    <row r="951">
      <c r="D951" s="123"/>
      <c r="E951" s="123"/>
      <c r="F951" s="123"/>
      <c r="G951" s="135"/>
    </row>
    <row r="952">
      <c r="D952" s="123"/>
      <c r="E952" s="123"/>
      <c r="F952" s="123"/>
      <c r="G952" s="135"/>
    </row>
    <row r="953">
      <c r="D953" s="123"/>
      <c r="E953" s="123"/>
      <c r="F953" s="123"/>
      <c r="G953" s="135"/>
    </row>
    <row r="954">
      <c r="D954" s="123"/>
      <c r="E954" s="123"/>
      <c r="F954" s="123"/>
      <c r="G954" s="135"/>
    </row>
    <row r="955">
      <c r="D955" s="123"/>
      <c r="E955" s="123"/>
      <c r="F955" s="123"/>
      <c r="G955" s="135"/>
    </row>
    <row r="956">
      <c r="D956" s="123"/>
      <c r="E956" s="123"/>
      <c r="F956" s="123"/>
      <c r="G956" s="135"/>
    </row>
    <row r="957">
      <c r="D957" s="123"/>
      <c r="E957" s="123"/>
      <c r="F957" s="123"/>
      <c r="G957" s="135"/>
    </row>
    <row r="958">
      <c r="D958" s="123"/>
      <c r="E958" s="123"/>
      <c r="F958" s="123"/>
      <c r="G958" s="135"/>
    </row>
    <row r="959">
      <c r="D959" s="123"/>
      <c r="E959" s="123"/>
      <c r="F959" s="123"/>
      <c r="G959" s="135"/>
    </row>
    <row r="960">
      <c r="D960" s="123"/>
      <c r="E960" s="123"/>
      <c r="F960" s="123"/>
      <c r="G960" s="135"/>
    </row>
    <row r="961">
      <c r="D961" s="123"/>
      <c r="E961" s="123"/>
      <c r="F961" s="123"/>
      <c r="G961" s="135"/>
    </row>
    <row r="962">
      <c r="D962" s="123"/>
      <c r="E962" s="123"/>
      <c r="F962" s="123"/>
      <c r="G962" s="135"/>
    </row>
    <row r="963">
      <c r="D963" s="123"/>
      <c r="E963" s="123"/>
      <c r="F963" s="123"/>
      <c r="G963" s="135"/>
    </row>
    <row r="964">
      <c r="D964" s="123"/>
      <c r="E964" s="123"/>
      <c r="F964" s="123"/>
      <c r="G964" s="135"/>
    </row>
    <row r="965">
      <c r="D965" s="123"/>
      <c r="E965" s="123"/>
      <c r="F965" s="123"/>
      <c r="G965" s="135"/>
    </row>
    <row r="966">
      <c r="D966" s="123"/>
      <c r="E966" s="123"/>
      <c r="F966" s="123"/>
      <c r="G966" s="135"/>
    </row>
    <row r="967">
      <c r="D967" s="123"/>
      <c r="E967" s="123"/>
      <c r="F967" s="123"/>
      <c r="G967" s="135"/>
    </row>
    <row r="968">
      <c r="D968" s="123"/>
      <c r="E968" s="123"/>
      <c r="F968" s="123"/>
      <c r="G968" s="135"/>
    </row>
    <row r="969">
      <c r="D969" s="123"/>
      <c r="E969" s="123"/>
      <c r="F969" s="123"/>
      <c r="G969" s="135"/>
    </row>
    <row r="970">
      <c r="D970" s="123"/>
      <c r="E970" s="123"/>
      <c r="F970" s="123"/>
      <c r="G970" s="135"/>
    </row>
    <row r="971">
      <c r="D971" s="123"/>
      <c r="E971" s="123"/>
      <c r="F971" s="123"/>
      <c r="G971" s="135"/>
    </row>
    <row r="972">
      <c r="D972" s="123"/>
      <c r="E972" s="123"/>
      <c r="F972" s="123"/>
      <c r="G972" s="135"/>
    </row>
    <row r="973">
      <c r="D973" s="123"/>
      <c r="E973" s="123"/>
      <c r="F973" s="123"/>
      <c r="G973" s="135"/>
    </row>
    <row r="974">
      <c r="D974" s="123"/>
      <c r="E974" s="123"/>
      <c r="F974" s="123"/>
      <c r="G974" s="135"/>
    </row>
    <row r="975">
      <c r="D975" s="123"/>
      <c r="E975" s="123"/>
      <c r="F975" s="123"/>
      <c r="G975" s="135"/>
    </row>
    <row r="976">
      <c r="D976" s="123"/>
      <c r="E976" s="123"/>
      <c r="F976" s="123"/>
      <c r="G976" s="135"/>
    </row>
    <row r="977">
      <c r="D977" s="123"/>
      <c r="E977" s="123"/>
      <c r="F977" s="123"/>
      <c r="G977" s="135"/>
    </row>
    <row r="978">
      <c r="D978" s="123"/>
      <c r="E978" s="123"/>
      <c r="F978" s="123"/>
      <c r="G978" s="135"/>
    </row>
    <row r="979">
      <c r="D979" s="123"/>
      <c r="E979" s="123"/>
      <c r="F979" s="123"/>
      <c r="G979" s="135"/>
    </row>
    <row r="980">
      <c r="D980" s="123"/>
      <c r="E980" s="123"/>
      <c r="F980" s="123"/>
      <c r="G980" s="135"/>
    </row>
    <row r="981">
      <c r="G981" s="135"/>
    </row>
    <row r="982">
      <c r="G982" s="135"/>
    </row>
    <row r="983">
      <c r="G983" s="135"/>
    </row>
    <row r="984">
      <c r="G984" s="135"/>
    </row>
    <row r="985">
      <c r="G985" s="135"/>
    </row>
    <row r="986">
      <c r="G986" s="135"/>
    </row>
    <row r="987">
      <c r="G987" s="135"/>
    </row>
    <row r="988">
      <c r="G988" s="135"/>
    </row>
    <row r="989">
      <c r="G989" s="135"/>
    </row>
    <row r="990">
      <c r="G990" s="135"/>
    </row>
    <row r="991">
      <c r="G991" s="135"/>
    </row>
    <row r="992">
      <c r="G992" s="135"/>
    </row>
    <row r="993">
      <c r="G993" s="135"/>
    </row>
    <row r="994">
      <c r="G994" s="135"/>
    </row>
    <row r="995">
      <c r="G995" s="135"/>
    </row>
    <row r="996">
      <c r="G996" s="135"/>
    </row>
    <row r="997">
      <c r="G997" s="135"/>
    </row>
    <row r="998">
      <c r="G998" s="135"/>
    </row>
  </sheetData>
  <mergeCells count="13">
    <mergeCell ref="B45:B46"/>
    <mergeCell ref="C45:C46"/>
    <mergeCell ref="A45:A46"/>
    <mergeCell ref="A109:A110"/>
    <mergeCell ref="B109:B110"/>
    <mergeCell ref="C109:C110"/>
    <mergeCell ref="A1:BD1"/>
    <mergeCell ref="A2:A4"/>
    <mergeCell ref="B2:B4"/>
    <mergeCell ref="C2:C4"/>
    <mergeCell ref="D2:BD2"/>
    <mergeCell ref="A44:BD44"/>
    <mergeCell ref="A108:BD10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37.25"/>
    <col customWidth="1" min="4" max="10" width="3.38"/>
    <col customWidth="1" min="11" max="11" width="3.5"/>
    <col customWidth="1" min="12" max="50" width="3.38"/>
  </cols>
  <sheetData>
    <row r="1">
      <c r="A1" s="136" t="s">
        <v>531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</row>
    <row r="2">
      <c r="A2" s="4" t="s">
        <v>1</v>
      </c>
      <c r="B2" s="5" t="s">
        <v>2</v>
      </c>
      <c r="C2" s="6" t="s">
        <v>3</v>
      </c>
      <c r="D2" s="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3"/>
    </row>
    <row r="3" ht="63.0" customHeight="1">
      <c r="A3" s="8"/>
      <c r="B3" s="8"/>
      <c r="C3" s="8"/>
      <c r="D3" s="79" t="s">
        <v>514</v>
      </c>
      <c r="E3" s="79" t="s">
        <v>514</v>
      </c>
      <c r="F3" s="79" t="s">
        <v>514</v>
      </c>
      <c r="G3" s="79" t="s">
        <v>514</v>
      </c>
      <c r="H3" s="79" t="s">
        <v>514</v>
      </c>
      <c r="I3" s="79" t="s">
        <v>514</v>
      </c>
      <c r="J3" s="79" t="s">
        <v>514</v>
      </c>
      <c r="K3" s="79" t="s">
        <v>514</v>
      </c>
      <c r="L3" s="79" t="s">
        <v>514</v>
      </c>
      <c r="M3" s="79" t="s">
        <v>514</v>
      </c>
      <c r="N3" s="79" t="s">
        <v>514</v>
      </c>
      <c r="O3" s="79" t="s">
        <v>514</v>
      </c>
      <c r="P3" s="79" t="s">
        <v>514</v>
      </c>
      <c r="Q3" s="79" t="s">
        <v>514</v>
      </c>
      <c r="R3" s="79" t="s">
        <v>514</v>
      </c>
      <c r="S3" s="79" t="s">
        <v>514</v>
      </c>
      <c r="T3" s="79" t="s">
        <v>514</v>
      </c>
      <c r="U3" s="79" t="s">
        <v>514</v>
      </c>
      <c r="V3" s="79" t="s">
        <v>514</v>
      </c>
      <c r="W3" s="79" t="s">
        <v>514</v>
      </c>
      <c r="X3" s="79" t="s">
        <v>514</v>
      </c>
      <c r="Y3" s="79" t="s">
        <v>514</v>
      </c>
      <c r="Z3" s="79" t="s">
        <v>514</v>
      </c>
      <c r="AA3" s="79" t="s">
        <v>514</v>
      </c>
      <c r="AB3" s="79" t="s">
        <v>514</v>
      </c>
      <c r="AC3" s="79" t="s">
        <v>514</v>
      </c>
      <c r="AD3" s="79" t="s">
        <v>514</v>
      </c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3"/>
      <c r="AR3" s="13"/>
      <c r="AS3" s="12"/>
      <c r="AT3" s="12"/>
      <c r="AU3" s="12"/>
      <c r="AV3" s="12"/>
      <c r="AW3" s="12"/>
      <c r="AX3" s="14"/>
    </row>
    <row r="4" ht="75.75" customHeight="1">
      <c r="A4" s="15"/>
      <c r="B4" s="15"/>
      <c r="C4" s="15"/>
      <c r="D4" s="65" t="s">
        <v>532</v>
      </c>
      <c r="E4" s="65" t="s">
        <v>533</v>
      </c>
      <c r="F4" s="65"/>
      <c r="G4" s="65"/>
      <c r="H4" s="65"/>
      <c r="I4" s="65"/>
      <c r="J4" s="87"/>
      <c r="K4" s="94"/>
      <c r="L4" s="87"/>
      <c r="M4" s="17"/>
      <c r="N4" s="13"/>
      <c r="O4" s="13"/>
      <c r="P4" s="13"/>
      <c r="Q4" s="13"/>
      <c r="R4" s="13"/>
      <c r="S4" s="13"/>
      <c r="T4" s="12"/>
      <c r="U4" s="12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2"/>
      <c r="AT4" s="18" t="s">
        <v>21</v>
      </c>
      <c r="AU4" s="19" t="s">
        <v>22</v>
      </c>
      <c r="AV4" s="20" t="s">
        <v>23</v>
      </c>
      <c r="AW4" s="21" t="s">
        <v>24</v>
      </c>
      <c r="AX4" s="22" t="s">
        <v>25</v>
      </c>
    </row>
    <row r="5">
      <c r="A5" s="95">
        <v>1.0</v>
      </c>
      <c r="B5" s="47" t="s">
        <v>301</v>
      </c>
      <c r="C5" s="137" t="s">
        <v>302</v>
      </c>
      <c r="D5" s="151" t="s">
        <v>28</v>
      </c>
      <c r="E5" s="151" t="s">
        <v>28</v>
      </c>
      <c r="F5" s="96"/>
      <c r="G5" s="96"/>
      <c r="H5" s="96"/>
      <c r="I5" s="82"/>
      <c r="J5" s="96"/>
      <c r="K5" s="96"/>
      <c r="L5" s="96"/>
      <c r="M5" s="43"/>
      <c r="N5" s="45"/>
      <c r="O5" s="45"/>
      <c r="P5" s="45"/>
      <c r="Q5" s="45"/>
      <c r="R5" s="45"/>
      <c r="S5" s="45"/>
      <c r="T5" s="45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32">
        <f t="shared" ref="AT5:AT39" si="1">COUNTIF(D5:AS5,"L")</f>
        <v>0</v>
      </c>
      <c r="AU5" s="32">
        <f t="shared" ref="AU5:AU39" si="2">COUNTIF(D5:AS5,"A")</f>
        <v>0</v>
      </c>
      <c r="AV5" s="32">
        <f t="shared" ref="AV5:AV39" si="3">COUNTIF(D5:AS5,"p")</f>
        <v>2</v>
      </c>
      <c r="AW5" s="32">
        <f t="shared" ref="AW5:AW39" si="4">SUM(AT5:AV5)</f>
        <v>2</v>
      </c>
      <c r="AX5" s="33">
        <f t="shared" ref="AX5:AX39" si="5">SUM(AT5,AV5)/AW5*100</f>
        <v>100</v>
      </c>
    </row>
    <row r="6">
      <c r="A6" s="95">
        <v>2.0</v>
      </c>
      <c r="B6" s="47" t="s">
        <v>47</v>
      </c>
      <c r="C6" s="137" t="s">
        <v>48</v>
      </c>
      <c r="D6" s="151" t="s">
        <v>28</v>
      </c>
      <c r="E6" s="151" t="s">
        <v>28</v>
      </c>
      <c r="F6" s="96"/>
      <c r="G6" s="82"/>
      <c r="H6" s="96"/>
      <c r="I6" s="96"/>
      <c r="J6" s="96"/>
      <c r="K6" s="96"/>
      <c r="L6" s="96"/>
      <c r="M6" s="43"/>
      <c r="N6" s="45"/>
      <c r="O6" s="45"/>
      <c r="P6" s="45"/>
      <c r="Q6" s="45"/>
      <c r="R6" s="45"/>
      <c r="S6" s="45"/>
      <c r="T6" s="45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32">
        <f t="shared" si="1"/>
        <v>0</v>
      </c>
      <c r="AU6" s="32">
        <f t="shared" si="2"/>
        <v>0</v>
      </c>
      <c r="AV6" s="32">
        <f t="shared" si="3"/>
        <v>2</v>
      </c>
      <c r="AW6" s="32">
        <f t="shared" si="4"/>
        <v>2</v>
      </c>
      <c r="AX6" s="33">
        <f t="shared" si="5"/>
        <v>100</v>
      </c>
    </row>
    <row r="7">
      <c r="A7" s="95">
        <v>3.0</v>
      </c>
      <c r="B7" s="47" t="s">
        <v>39</v>
      </c>
      <c r="C7" s="137" t="s">
        <v>40</v>
      </c>
      <c r="D7" s="151" t="s">
        <v>28</v>
      </c>
      <c r="E7" s="151" t="s">
        <v>28</v>
      </c>
      <c r="F7" s="96"/>
      <c r="G7" s="96"/>
      <c r="H7" s="96"/>
      <c r="I7" s="96"/>
      <c r="J7" s="96"/>
      <c r="K7" s="96"/>
      <c r="L7" s="96"/>
      <c r="M7" s="45"/>
      <c r="N7" s="45"/>
      <c r="O7" s="45"/>
      <c r="P7" s="45"/>
      <c r="Q7" s="45"/>
      <c r="R7" s="45"/>
      <c r="S7" s="45"/>
      <c r="T7" s="45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32">
        <f t="shared" si="1"/>
        <v>0</v>
      </c>
      <c r="AU7" s="32">
        <f t="shared" si="2"/>
        <v>0</v>
      </c>
      <c r="AV7" s="32">
        <f t="shared" si="3"/>
        <v>2</v>
      </c>
      <c r="AW7" s="32">
        <f t="shared" si="4"/>
        <v>2</v>
      </c>
      <c r="AX7" s="33">
        <f t="shared" si="5"/>
        <v>100</v>
      </c>
    </row>
    <row r="8">
      <c r="A8" s="95">
        <v>4.0</v>
      </c>
      <c r="B8" s="47" t="s">
        <v>71</v>
      </c>
      <c r="C8" s="137" t="s">
        <v>72</v>
      </c>
      <c r="D8" s="152" t="s">
        <v>22</v>
      </c>
      <c r="E8" s="152" t="s">
        <v>22</v>
      </c>
      <c r="F8" s="96"/>
      <c r="G8" s="82"/>
      <c r="H8" s="96"/>
      <c r="I8" s="82"/>
      <c r="J8" s="96"/>
      <c r="K8" s="96"/>
      <c r="L8" s="96"/>
      <c r="M8" s="45"/>
      <c r="N8" s="45"/>
      <c r="O8" s="45"/>
      <c r="P8" s="45"/>
      <c r="Q8" s="45"/>
      <c r="R8" s="45"/>
      <c r="S8" s="45"/>
      <c r="T8" s="45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32">
        <f t="shared" si="1"/>
        <v>0</v>
      </c>
      <c r="AU8" s="32">
        <f t="shared" si="2"/>
        <v>2</v>
      </c>
      <c r="AV8" s="32">
        <f t="shared" si="3"/>
        <v>0</v>
      </c>
      <c r="AW8" s="32">
        <f t="shared" si="4"/>
        <v>2</v>
      </c>
      <c r="AX8" s="33">
        <f t="shared" si="5"/>
        <v>0</v>
      </c>
    </row>
    <row r="9">
      <c r="A9" s="95">
        <v>5.0</v>
      </c>
      <c r="B9" s="47" t="s">
        <v>35</v>
      </c>
      <c r="C9" s="137" t="s">
        <v>36</v>
      </c>
      <c r="D9" s="151" t="s">
        <v>28</v>
      </c>
      <c r="E9" s="151" t="s">
        <v>28</v>
      </c>
      <c r="F9" s="96"/>
      <c r="G9" s="82"/>
      <c r="H9" s="96"/>
      <c r="I9" s="96"/>
      <c r="J9" s="96"/>
      <c r="K9" s="96"/>
      <c r="L9" s="96"/>
      <c r="M9" s="43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32">
        <f t="shared" si="1"/>
        <v>0</v>
      </c>
      <c r="AU9" s="32">
        <f t="shared" si="2"/>
        <v>0</v>
      </c>
      <c r="AV9" s="32">
        <f t="shared" si="3"/>
        <v>2</v>
      </c>
      <c r="AW9" s="32">
        <f t="shared" si="4"/>
        <v>2</v>
      </c>
      <c r="AX9" s="33">
        <f t="shared" si="5"/>
        <v>100</v>
      </c>
    </row>
    <row r="10">
      <c r="A10" s="95">
        <v>6.0</v>
      </c>
      <c r="B10" s="47" t="s">
        <v>63</v>
      </c>
      <c r="C10" s="137" t="s">
        <v>64</v>
      </c>
      <c r="D10" s="151" t="s">
        <v>28</v>
      </c>
      <c r="E10" s="152" t="s">
        <v>22</v>
      </c>
      <c r="F10" s="96"/>
      <c r="G10" s="96"/>
      <c r="H10" s="96"/>
      <c r="I10" s="96"/>
      <c r="J10" s="96"/>
      <c r="K10" s="96"/>
      <c r="L10" s="96"/>
      <c r="M10" s="43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32">
        <f t="shared" si="1"/>
        <v>0</v>
      </c>
      <c r="AU10" s="32">
        <f t="shared" si="2"/>
        <v>1</v>
      </c>
      <c r="AV10" s="32">
        <f t="shared" si="3"/>
        <v>1</v>
      </c>
      <c r="AW10" s="32">
        <f t="shared" si="4"/>
        <v>2</v>
      </c>
      <c r="AX10" s="33">
        <f t="shared" si="5"/>
        <v>50</v>
      </c>
    </row>
    <row r="11">
      <c r="A11" s="95">
        <v>7.0</v>
      </c>
      <c r="B11" s="47" t="s">
        <v>57</v>
      </c>
      <c r="C11" s="137" t="s">
        <v>58</v>
      </c>
      <c r="D11" s="151" t="s">
        <v>28</v>
      </c>
      <c r="E11" s="151" t="s">
        <v>28</v>
      </c>
      <c r="F11" s="96"/>
      <c r="G11" s="82"/>
      <c r="H11" s="96"/>
      <c r="I11" s="96"/>
      <c r="J11" s="96"/>
      <c r="K11" s="96"/>
      <c r="L11" s="96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32">
        <f t="shared" si="1"/>
        <v>0</v>
      </c>
      <c r="AU11" s="32">
        <f t="shared" si="2"/>
        <v>0</v>
      </c>
      <c r="AV11" s="32">
        <f t="shared" si="3"/>
        <v>2</v>
      </c>
      <c r="AW11" s="32">
        <f t="shared" si="4"/>
        <v>2</v>
      </c>
      <c r="AX11" s="33">
        <f t="shared" si="5"/>
        <v>100</v>
      </c>
    </row>
    <row r="12">
      <c r="A12" s="95">
        <v>8.0</v>
      </c>
      <c r="B12" s="47" t="s">
        <v>163</v>
      </c>
      <c r="C12" s="137" t="s">
        <v>164</v>
      </c>
      <c r="D12" s="151" t="s">
        <v>28</v>
      </c>
      <c r="E12" s="151" t="s">
        <v>28</v>
      </c>
      <c r="F12" s="96"/>
      <c r="G12" s="96"/>
      <c r="H12" s="96"/>
      <c r="I12" s="96"/>
      <c r="J12" s="96"/>
      <c r="K12" s="96"/>
      <c r="L12" s="96"/>
      <c r="M12" s="43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32">
        <f t="shared" si="1"/>
        <v>0</v>
      </c>
      <c r="AU12" s="32">
        <f t="shared" si="2"/>
        <v>0</v>
      </c>
      <c r="AV12" s="32">
        <f t="shared" si="3"/>
        <v>2</v>
      </c>
      <c r="AW12" s="32">
        <f t="shared" si="4"/>
        <v>2</v>
      </c>
      <c r="AX12" s="33">
        <f t="shared" si="5"/>
        <v>100</v>
      </c>
    </row>
    <row r="13">
      <c r="A13" s="95">
        <v>9.0</v>
      </c>
      <c r="B13" s="47" t="s">
        <v>127</v>
      </c>
      <c r="C13" s="137" t="s">
        <v>128</v>
      </c>
      <c r="D13" s="151" t="s">
        <v>28</v>
      </c>
      <c r="E13" s="151" t="s">
        <v>28</v>
      </c>
      <c r="F13" s="96"/>
      <c r="G13" s="96"/>
      <c r="H13" s="96"/>
      <c r="I13" s="96"/>
      <c r="J13" s="96"/>
      <c r="K13" s="96"/>
      <c r="L13" s="96"/>
      <c r="M13" s="71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32">
        <f t="shared" si="1"/>
        <v>0</v>
      </c>
      <c r="AU13" s="32">
        <f t="shared" si="2"/>
        <v>0</v>
      </c>
      <c r="AV13" s="32">
        <f t="shared" si="3"/>
        <v>2</v>
      </c>
      <c r="AW13" s="32">
        <f t="shared" si="4"/>
        <v>2</v>
      </c>
      <c r="AX13" s="33">
        <f t="shared" si="5"/>
        <v>100</v>
      </c>
    </row>
    <row r="14">
      <c r="A14" s="95">
        <v>10.0</v>
      </c>
      <c r="B14" s="47" t="s">
        <v>265</v>
      </c>
      <c r="C14" s="137" t="s">
        <v>266</v>
      </c>
      <c r="D14" s="151" t="s">
        <v>28</v>
      </c>
      <c r="E14" s="152" t="s">
        <v>22</v>
      </c>
      <c r="F14" s="96"/>
      <c r="G14" s="96"/>
      <c r="H14" s="96"/>
      <c r="I14" s="96"/>
      <c r="J14" s="96"/>
      <c r="K14" s="96"/>
      <c r="L14" s="96"/>
      <c r="M14" s="43"/>
      <c r="N14" s="45"/>
      <c r="O14" s="45"/>
      <c r="P14" s="45"/>
      <c r="Q14" s="45"/>
      <c r="R14" s="45"/>
      <c r="S14" s="45"/>
      <c r="T14" s="45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32">
        <f t="shared" si="1"/>
        <v>0</v>
      </c>
      <c r="AU14" s="32">
        <f t="shared" si="2"/>
        <v>1</v>
      </c>
      <c r="AV14" s="32">
        <f t="shared" si="3"/>
        <v>1</v>
      </c>
      <c r="AW14" s="32">
        <f t="shared" si="4"/>
        <v>2</v>
      </c>
      <c r="AX14" s="33">
        <f t="shared" si="5"/>
        <v>50</v>
      </c>
    </row>
    <row r="15">
      <c r="A15" s="95">
        <v>11.0</v>
      </c>
      <c r="B15" s="47" t="s">
        <v>135</v>
      </c>
      <c r="C15" s="137" t="s">
        <v>136</v>
      </c>
      <c r="D15" s="152" t="s">
        <v>22</v>
      </c>
      <c r="E15" s="151" t="s">
        <v>28</v>
      </c>
      <c r="F15" s="96"/>
      <c r="G15" s="96"/>
      <c r="H15" s="96"/>
      <c r="I15" s="96"/>
      <c r="J15" s="96"/>
      <c r="K15" s="96"/>
      <c r="L15" s="96"/>
      <c r="M15" s="43"/>
      <c r="N15" s="45"/>
      <c r="O15" s="45"/>
      <c r="P15" s="45"/>
      <c r="Q15" s="45"/>
      <c r="R15" s="45"/>
      <c r="S15" s="45"/>
      <c r="T15" s="45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32">
        <f t="shared" si="1"/>
        <v>0</v>
      </c>
      <c r="AU15" s="32">
        <f t="shared" si="2"/>
        <v>1</v>
      </c>
      <c r="AV15" s="32">
        <f t="shared" si="3"/>
        <v>1</v>
      </c>
      <c r="AW15" s="32">
        <f t="shared" si="4"/>
        <v>2</v>
      </c>
      <c r="AX15" s="33">
        <f t="shared" si="5"/>
        <v>50</v>
      </c>
    </row>
    <row r="16">
      <c r="A16" s="95">
        <v>12.0</v>
      </c>
      <c r="B16" s="47" t="s">
        <v>151</v>
      </c>
      <c r="C16" s="137" t="s">
        <v>392</v>
      </c>
      <c r="D16" s="152" t="s">
        <v>22</v>
      </c>
      <c r="E16" s="151" t="s">
        <v>28</v>
      </c>
      <c r="F16" s="96"/>
      <c r="G16" s="96"/>
      <c r="H16" s="96"/>
      <c r="I16" s="96"/>
      <c r="J16" s="96"/>
      <c r="K16" s="96"/>
      <c r="L16" s="96"/>
      <c r="M16" s="43"/>
      <c r="N16" s="45"/>
      <c r="O16" s="45"/>
      <c r="P16" s="45"/>
      <c r="Q16" s="45"/>
      <c r="R16" s="45"/>
      <c r="S16" s="45"/>
      <c r="T16" s="45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32">
        <f t="shared" si="1"/>
        <v>0</v>
      </c>
      <c r="AU16" s="32">
        <f t="shared" si="2"/>
        <v>1</v>
      </c>
      <c r="AV16" s="32">
        <f t="shared" si="3"/>
        <v>1</v>
      </c>
      <c r="AW16" s="32">
        <f t="shared" si="4"/>
        <v>2</v>
      </c>
      <c r="AX16" s="33">
        <f t="shared" si="5"/>
        <v>50</v>
      </c>
    </row>
    <row r="17">
      <c r="A17" s="95">
        <v>13.0</v>
      </c>
      <c r="B17" s="47" t="s">
        <v>239</v>
      </c>
      <c r="C17" s="137" t="s">
        <v>240</v>
      </c>
      <c r="D17" s="151" t="s">
        <v>28</v>
      </c>
      <c r="E17" s="152" t="s">
        <v>22</v>
      </c>
      <c r="F17" s="82"/>
      <c r="G17" s="96"/>
      <c r="H17" s="96"/>
      <c r="I17" s="96"/>
      <c r="J17" s="96"/>
      <c r="K17" s="43"/>
      <c r="L17" s="96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32">
        <f t="shared" si="1"/>
        <v>0</v>
      </c>
      <c r="AU17" s="32">
        <f t="shared" si="2"/>
        <v>1</v>
      </c>
      <c r="AV17" s="32">
        <f t="shared" si="3"/>
        <v>1</v>
      </c>
      <c r="AW17" s="32">
        <f t="shared" si="4"/>
        <v>2</v>
      </c>
      <c r="AX17" s="33">
        <f t="shared" si="5"/>
        <v>50</v>
      </c>
    </row>
    <row r="18">
      <c r="A18" s="95">
        <v>14.0</v>
      </c>
      <c r="B18" s="47" t="s">
        <v>351</v>
      </c>
      <c r="C18" s="137" t="s">
        <v>352</v>
      </c>
      <c r="D18" s="152" t="s">
        <v>22</v>
      </c>
      <c r="E18" s="151" t="s">
        <v>28</v>
      </c>
      <c r="F18" s="96"/>
      <c r="G18" s="96"/>
      <c r="H18" s="96"/>
      <c r="I18" s="96"/>
      <c r="J18" s="96"/>
      <c r="K18" s="96"/>
      <c r="L18" s="96"/>
      <c r="M18" s="43"/>
      <c r="N18" s="45"/>
      <c r="O18" s="45"/>
      <c r="P18" s="45"/>
      <c r="Q18" s="45"/>
      <c r="R18" s="45"/>
      <c r="S18" s="45"/>
      <c r="T18" s="45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32">
        <f t="shared" si="1"/>
        <v>0</v>
      </c>
      <c r="AU18" s="32">
        <f t="shared" si="2"/>
        <v>1</v>
      </c>
      <c r="AV18" s="32">
        <f t="shared" si="3"/>
        <v>1</v>
      </c>
      <c r="AW18" s="32">
        <f t="shared" si="4"/>
        <v>2</v>
      </c>
      <c r="AX18" s="33">
        <f t="shared" si="5"/>
        <v>50</v>
      </c>
    </row>
    <row r="19">
      <c r="A19" s="95">
        <v>15.0</v>
      </c>
      <c r="B19" s="47" t="s">
        <v>67</v>
      </c>
      <c r="C19" s="137" t="s">
        <v>68</v>
      </c>
      <c r="D19" s="152" t="s">
        <v>22</v>
      </c>
      <c r="E19" s="152" t="s">
        <v>22</v>
      </c>
      <c r="F19" s="96"/>
      <c r="G19" s="96"/>
      <c r="H19" s="96"/>
      <c r="I19" s="96"/>
      <c r="J19" s="96"/>
      <c r="K19" s="96"/>
      <c r="L19" s="96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32">
        <f t="shared" si="1"/>
        <v>0</v>
      </c>
      <c r="AU19" s="32">
        <f t="shared" si="2"/>
        <v>2</v>
      </c>
      <c r="AV19" s="32">
        <f t="shared" si="3"/>
        <v>0</v>
      </c>
      <c r="AW19" s="32">
        <f t="shared" si="4"/>
        <v>2</v>
      </c>
      <c r="AX19" s="33">
        <f t="shared" si="5"/>
        <v>0</v>
      </c>
    </row>
    <row r="20">
      <c r="A20" s="95">
        <v>16.0</v>
      </c>
      <c r="B20" s="47" t="s">
        <v>103</v>
      </c>
      <c r="C20" s="137" t="s">
        <v>104</v>
      </c>
      <c r="D20" s="151" t="s">
        <v>28</v>
      </c>
      <c r="E20" s="151" t="s">
        <v>28</v>
      </c>
      <c r="F20" s="96"/>
      <c r="G20" s="96"/>
      <c r="H20" s="96"/>
      <c r="I20" s="96"/>
      <c r="J20" s="96"/>
      <c r="K20" s="96"/>
      <c r="L20" s="96"/>
      <c r="M20" s="43"/>
      <c r="N20" s="45"/>
      <c r="O20" s="45"/>
      <c r="P20" s="45"/>
      <c r="Q20" s="45"/>
      <c r="R20" s="45"/>
      <c r="S20" s="45"/>
      <c r="T20" s="45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32">
        <f t="shared" si="1"/>
        <v>0</v>
      </c>
      <c r="AU20" s="32">
        <f t="shared" si="2"/>
        <v>0</v>
      </c>
      <c r="AV20" s="32">
        <f t="shared" si="3"/>
        <v>2</v>
      </c>
      <c r="AW20" s="32">
        <f t="shared" si="4"/>
        <v>2</v>
      </c>
      <c r="AX20" s="33">
        <f t="shared" si="5"/>
        <v>100</v>
      </c>
    </row>
    <row r="21">
      <c r="A21" s="95">
        <v>17.0</v>
      </c>
      <c r="B21" s="47" t="s">
        <v>249</v>
      </c>
      <c r="C21" s="137" t="s">
        <v>250</v>
      </c>
      <c r="D21" s="152" t="s">
        <v>22</v>
      </c>
      <c r="E21" s="151" t="s">
        <v>28</v>
      </c>
      <c r="F21" s="96"/>
      <c r="G21" s="96"/>
      <c r="H21" s="96"/>
      <c r="I21" s="96"/>
      <c r="J21" s="96"/>
      <c r="K21" s="96"/>
      <c r="L21" s="96"/>
      <c r="M21" s="43"/>
      <c r="N21" s="45"/>
      <c r="O21" s="45"/>
      <c r="P21" s="45"/>
      <c r="Q21" s="45"/>
      <c r="R21" s="45"/>
      <c r="S21" s="45"/>
      <c r="T21" s="45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32">
        <f t="shared" si="1"/>
        <v>0</v>
      </c>
      <c r="AU21" s="32">
        <f t="shared" si="2"/>
        <v>1</v>
      </c>
      <c r="AV21" s="32">
        <f t="shared" si="3"/>
        <v>1</v>
      </c>
      <c r="AW21" s="32">
        <f t="shared" si="4"/>
        <v>2</v>
      </c>
      <c r="AX21" s="33">
        <f t="shared" si="5"/>
        <v>50</v>
      </c>
    </row>
    <row r="22">
      <c r="A22" s="95">
        <v>18.0</v>
      </c>
      <c r="B22" s="47" t="s">
        <v>365</v>
      </c>
      <c r="C22" s="137" t="s">
        <v>366</v>
      </c>
      <c r="D22" s="151" t="s">
        <v>28</v>
      </c>
      <c r="E22" s="152" t="s">
        <v>22</v>
      </c>
      <c r="F22" s="96"/>
      <c r="G22" s="82"/>
      <c r="H22" s="96"/>
      <c r="I22" s="82"/>
      <c r="J22" s="96"/>
      <c r="K22" s="96"/>
      <c r="L22" s="96"/>
      <c r="M22" s="43"/>
      <c r="N22" s="45"/>
      <c r="O22" s="45"/>
      <c r="P22" s="45"/>
      <c r="Q22" s="45"/>
      <c r="R22" s="45"/>
      <c r="S22" s="45"/>
      <c r="T22" s="45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32">
        <f t="shared" si="1"/>
        <v>0</v>
      </c>
      <c r="AU22" s="32">
        <f t="shared" si="2"/>
        <v>1</v>
      </c>
      <c r="AV22" s="32">
        <f t="shared" si="3"/>
        <v>1</v>
      </c>
      <c r="AW22" s="32">
        <f t="shared" si="4"/>
        <v>2</v>
      </c>
      <c r="AX22" s="33">
        <f t="shared" si="5"/>
        <v>50</v>
      </c>
    </row>
    <row r="23">
      <c r="A23" s="95">
        <v>19.0</v>
      </c>
      <c r="B23" s="47" t="s">
        <v>283</v>
      </c>
      <c r="C23" s="137" t="s">
        <v>284</v>
      </c>
      <c r="D23" s="151" t="s">
        <v>28</v>
      </c>
      <c r="E23" s="151" t="s">
        <v>28</v>
      </c>
      <c r="F23" s="82"/>
      <c r="G23" s="96"/>
      <c r="H23" s="96"/>
      <c r="I23" s="96"/>
      <c r="J23" s="82"/>
      <c r="K23" s="96"/>
      <c r="L23" s="96"/>
      <c r="M23" s="43"/>
      <c r="N23" s="45"/>
      <c r="O23" s="45"/>
      <c r="P23" s="45"/>
      <c r="Q23" s="45"/>
      <c r="R23" s="45"/>
      <c r="S23" s="45"/>
      <c r="T23" s="45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32">
        <f t="shared" si="1"/>
        <v>0</v>
      </c>
      <c r="AU23" s="32">
        <f t="shared" si="2"/>
        <v>0</v>
      </c>
      <c r="AV23" s="32">
        <f t="shared" si="3"/>
        <v>2</v>
      </c>
      <c r="AW23" s="32">
        <f t="shared" si="4"/>
        <v>2</v>
      </c>
      <c r="AX23" s="33">
        <f t="shared" si="5"/>
        <v>100</v>
      </c>
    </row>
    <row r="24">
      <c r="A24" s="95">
        <v>20.0</v>
      </c>
      <c r="B24" s="47" t="s">
        <v>359</v>
      </c>
      <c r="C24" s="137" t="s">
        <v>360</v>
      </c>
      <c r="D24" s="152" t="s">
        <v>22</v>
      </c>
      <c r="E24" s="151" t="s">
        <v>28</v>
      </c>
      <c r="F24" s="96"/>
      <c r="G24" s="96"/>
      <c r="H24" s="96"/>
      <c r="I24" s="96"/>
      <c r="J24" s="96"/>
      <c r="K24" s="96"/>
      <c r="L24" s="96"/>
      <c r="M24" s="43"/>
      <c r="N24" s="45"/>
      <c r="O24" s="45"/>
      <c r="P24" s="45"/>
      <c r="Q24" s="45"/>
      <c r="R24" s="45"/>
      <c r="S24" s="45"/>
      <c r="T24" s="45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32">
        <f t="shared" si="1"/>
        <v>0</v>
      </c>
      <c r="AU24" s="32">
        <f t="shared" si="2"/>
        <v>1</v>
      </c>
      <c r="AV24" s="32">
        <f t="shared" si="3"/>
        <v>1</v>
      </c>
      <c r="AW24" s="32">
        <f t="shared" si="4"/>
        <v>2</v>
      </c>
      <c r="AX24" s="33">
        <f t="shared" si="5"/>
        <v>50</v>
      </c>
    </row>
    <row r="25">
      <c r="A25" s="95">
        <v>21.0</v>
      </c>
      <c r="B25" s="47" t="s">
        <v>69</v>
      </c>
      <c r="C25" s="137" t="s">
        <v>70</v>
      </c>
      <c r="D25" s="151" t="s">
        <v>28</v>
      </c>
      <c r="E25" s="151" t="s">
        <v>28</v>
      </c>
      <c r="F25" s="96"/>
      <c r="G25" s="96"/>
      <c r="H25" s="82"/>
      <c r="I25" s="96"/>
      <c r="J25" s="96"/>
      <c r="K25" s="96"/>
      <c r="L25" s="96"/>
      <c r="M25" s="43"/>
      <c r="N25" s="45"/>
      <c r="O25" s="45"/>
      <c r="P25" s="45"/>
      <c r="Q25" s="45"/>
      <c r="R25" s="45"/>
      <c r="S25" s="45"/>
      <c r="T25" s="45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32">
        <f t="shared" si="1"/>
        <v>0</v>
      </c>
      <c r="AU25" s="32">
        <f t="shared" si="2"/>
        <v>0</v>
      </c>
      <c r="AV25" s="32">
        <f t="shared" si="3"/>
        <v>2</v>
      </c>
      <c r="AW25" s="32">
        <f t="shared" si="4"/>
        <v>2</v>
      </c>
      <c r="AX25" s="33">
        <f t="shared" si="5"/>
        <v>100</v>
      </c>
    </row>
    <row r="26">
      <c r="A26" s="95">
        <v>22.0</v>
      </c>
      <c r="B26" s="47" t="s">
        <v>139</v>
      </c>
      <c r="C26" s="137" t="s">
        <v>140</v>
      </c>
      <c r="D26" s="152" t="s">
        <v>22</v>
      </c>
      <c r="E26" s="152" t="s">
        <v>22</v>
      </c>
      <c r="F26" s="96"/>
      <c r="G26" s="82"/>
      <c r="H26" s="96"/>
      <c r="I26" s="96"/>
      <c r="J26" s="96"/>
      <c r="K26" s="96"/>
      <c r="L26" s="96"/>
      <c r="M26" s="43"/>
      <c r="N26" s="45"/>
      <c r="O26" s="45"/>
      <c r="P26" s="45"/>
      <c r="Q26" s="45"/>
      <c r="R26" s="45"/>
      <c r="S26" s="45"/>
      <c r="T26" s="45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32">
        <f t="shared" si="1"/>
        <v>0</v>
      </c>
      <c r="AU26" s="32">
        <f t="shared" si="2"/>
        <v>2</v>
      </c>
      <c r="AV26" s="32">
        <f t="shared" si="3"/>
        <v>0</v>
      </c>
      <c r="AW26" s="32">
        <f t="shared" si="4"/>
        <v>2</v>
      </c>
      <c r="AX26" s="33">
        <f t="shared" si="5"/>
        <v>0</v>
      </c>
    </row>
    <row r="27">
      <c r="A27" s="95">
        <v>23.0</v>
      </c>
      <c r="B27" s="47" t="s">
        <v>29</v>
      </c>
      <c r="C27" s="137" t="s">
        <v>30</v>
      </c>
      <c r="D27" s="151" t="s">
        <v>28</v>
      </c>
      <c r="E27" s="151" t="s">
        <v>28</v>
      </c>
      <c r="F27" s="96"/>
      <c r="G27" s="96"/>
      <c r="H27" s="96"/>
      <c r="I27" s="96"/>
      <c r="J27" s="82"/>
      <c r="K27" s="96"/>
      <c r="L27" s="82"/>
      <c r="M27" s="43"/>
      <c r="N27" s="45"/>
      <c r="O27" s="45"/>
      <c r="P27" s="45"/>
      <c r="Q27" s="45"/>
      <c r="R27" s="45"/>
      <c r="S27" s="45"/>
      <c r="T27" s="45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32">
        <f t="shared" si="1"/>
        <v>0</v>
      </c>
      <c r="AU27" s="32">
        <f t="shared" si="2"/>
        <v>0</v>
      </c>
      <c r="AV27" s="32">
        <f t="shared" si="3"/>
        <v>2</v>
      </c>
      <c r="AW27" s="32">
        <f t="shared" si="4"/>
        <v>2</v>
      </c>
      <c r="AX27" s="33">
        <f t="shared" si="5"/>
        <v>100</v>
      </c>
    </row>
    <row r="28">
      <c r="A28" s="95">
        <v>24.0</v>
      </c>
      <c r="B28" s="47" t="s">
        <v>337</v>
      </c>
      <c r="C28" s="137" t="s">
        <v>338</v>
      </c>
      <c r="D28" s="151" t="s">
        <v>28</v>
      </c>
      <c r="E28" s="151" t="s">
        <v>28</v>
      </c>
      <c r="F28" s="96"/>
      <c r="G28" s="96"/>
      <c r="H28" s="96"/>
      <c r="I28" s="96"/>
      <c r="J28" s="96"/>
      <c r="K28" s="96"/>
      <c r="L28" s="96"/>
      <c r="M28" s="45"/>
      <c r="N28" s="45"/>
      <c r="O28" s="45"/>
      <c r="P28" s="45"/>
      <c r="Q28" s="45"/>
      <c r="R28" s="45"/>
      <c r="S28" s="45"/>
      <c r="T28" s="45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32">
        <f t="shared" si="1"/>
        <v>0</v>
      </c>
      <c r="AU28" s="32">
        <f t="shared" si="2"/>
        <v>0</v>
      </c>
      <c r="AV28" s="32">
        <f t="shared" si="3"/>
        <v>2</v>
      </c>
      <c r="AW28" s="32">
        <f t="shared" si="4"/>
        <v>2</v>
      </c>
      <c r="AX28" s="33">
        <f t="shared" si="5"/>
        <v>100</v>
      </c>
    </row>
    <row r="29">
      <c r="A29" s="95">
        <v>25.0</v>
      </c>
      <c r="B29" s="47" t="s">
        <v>145</v>
      </c>
      <c r="C29" s="137" t="s">
        <v>146</v>
      </c>
      <c r="D29" s="151" t="s">
        <v>28</v>
      </c>
      <c r="E29" s="151" t="s">
        <v>28</v>
      </c>
      <c r="F29" s="96"/>
      <c r="G29" s="96"/>
      <c r="H29" s="96"/>
      <c r="I29" s="96"/>
      <c r="J29" s="96"/>
      <c r="K29" s="96"/>
      <c r="L29" s="96"/>
      <c r="M29" s="43"/>
      <c r="N29" s="45"/>
      <c r="O29" s="45"/>
      <c r="P29" s="45"/>
      <c r="Q29" s="45"/>
      <c r="R29" s="45"/>
      <c r="S29" s="45"/>
      <c r="T29" s="45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32">
        <f t="shared" si="1"/>
        <v>0</v>
      </c>
      <c r="AU29" s="32">
        <f t="shared" si="2"/>
        <v>0</v>
      </c>
      <c r="AV29" s="32">
        <f t="shared" si="3"/>
        <v>2</v>
      </c>
      <c r="AW29" s="32">
        <f t="shared" si="4"/>
        <v>2</v>
      </c>
      <c r="AX29" s="33">
        <f t="shared" si="5"/>
        <v>100</v>
      </c>
    </row>
    <row r="30">
      <c r="A30" s="95">
        <v>26.0</v>
      </c>
      <c r="B30" s="47" t="s">
        <v>187</v>
      </c>
      <c r="C30" s="137" t="s">
        <v>188</v>
      </c>
      <c r="D30" s="152" t="s">
        <v>22</v>
      </c>
      <c r="E30" s="151" t="s">
        <v>28</v>
      </c>
      <c r="F30" s="96"/>
      <c r="G30" s="96"/>
      <c r="H30" s="96"/>
      <c r="I30" s="96"/>
      <c r="J30" s="96"/>
      <c r="K30" s="96"/>
      <c r="L30" s="96"/>
      <c r="M30" s="71"/>
      <c r="N30" s="45"/>
      <c r="O30" s="45"/>
      <c r="P30" s="45"/>
      <c r="Q30" s="45"/>
      <c r="R30" s="45"/>
      <c r="S30" s="45"/>
      <c r="T30" s="45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32">
        <f t="shared" si="1"/>
        <v>0</v>
      </c>
      <c r="AU30" s="32">
        <f t="shared" si="2"/>
        <v>1</v>
      </c>
      <c r="AV30" s="32">
        <f t="shared" si="3"/>
        <v>1</v>
      </c>
      <c r="AW30" s="32">
        <f t="shared" si="4"/>
        <v>2</v>
      </c>
      <c r="AX30" s="33">
        <f t="shared" si="5"/>
        <v>50</v>
      </c>
    </row>
    <row r="31">
      <c r="A31" s="95">
        <v>27.0</v>
      </c>
      <c r="B31" s="47" t="s">
        <v>129</v>
      </c>
      <c r="C31" s="137" t="s">
        <v>130</v>
      </c>
      <c r="D31" s="151" t="s">
        <v>28</v>
      </c>
      <c r="E31" s="152" t="s">
        <v>22</v>
      </c>
      <c r="F31" s="96"/>
      <c r="G31" s="96"/>
      <c r="H31" s="96"/>
      <c r="I31" s="96"/>
      <c r="J31" s="96"/>
      <c r="K31" s="96"/>
      <c r="L31" s="82"/>
      <c r="M31" s="43"/>
      <c r="N31" s="45"/>
      <c r="O31" s="45"/>
      <c r="P31" s="45"/>
      <c r="Q31" s="45"/>
      <c r="R31" s="45"/>
      <c r="S31" s="45"/>
      <c r="T31" s="45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32">
        <f t="shared" si="1"/>
        <v>0</v>
      </c>
      <c r="AU31" s="32">
        <f t="shared" si="2"/>
        <v>1</v>
      </c>
      <c r="AV31" s="32">
        <f t="shared" si="3"/>
        <v>1</v>
      </c>
      <c r="AW31" s="32">
        <f t="shared" si="4"/>
        <v>2</v>
      </c>
      <c r="AX31" s="33">
        <f t="shared" si="5"/>
        <v>50</v>
      </c>
    </row>
    <row r="32">
      <c r="A32" s="95">
        <v>28.0</v>
      </c>
      <c r="B32" s="47" t="s">
        <v>83</v>
      </c>
      <c r="C32" s="137" t="s">
        <v>84</v>
      </c>
      <c r="D32" s="151" t="s">
        <v>28</v>
      </c>
      <c r="E32" s="151" t="s">
        <v>28</v>
      </c>
      <c r="F32" s="96"/>
      <c r="G32" s="96"/>
      <c r="H32" s="96"/>
      <c r="I32" s="96"/>
      <c r="J32" s="96"/>
      <c r="K32" s="96"/>
      <c r="L32" s="82"/>
      <c r="M32" s="43"/>
      <c r="N32" s="45"/>
      <c r="O32" s="45"/>
      <c r="P32" s="45"/>
      <c r="Q32" s="45"/>
      <c r="R32" s="45"/>
      <c r="S32" s="45"/>
      <c r="T32" s="45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32">
        <f t="shared" si="1"/>
        <v>0</v>
      </c>
      <c r="AU32" s="32">
        <f t="shared" si="2"/>
        <v>0</v>
      </c>
      <c r="AV32" s="32">
        <f t="shared" si="3"/>
        <v>2</v>
      </c>
      <c r="AW32" s="32">
        <f t="shared" si="4"/>
        <v>2</v>
      </c>
      <c r="AX32" s="33">
        <f t="shared" si="5"/>
        <v>100</v>
      </c>
    </row>
    <row r="33">
      <c r="A33" s="95">
        <v>29.0</v>
      </c>
      <c r="B33" s="47" t="s">
        <v>33</v>
      </c>
      <c r="C33" s="137" t="s">
        <v>34</v>
      </c>
      <c r="D33" s="151" t="s">
        <v>28</v>
      </c>
      <c r="E33" s="151" t="s">
        <v>28</v>
      </c>
      <c r="F33" s="96"/>
      <c r="G33" s="96"/>
      <c r="H33" s="96"/>
      <c r="I33" s="96"/>
      <c r="J33" s="96"/>
      <c r="K33" s="96"/>
      <c r="L33" s="96"/>
      <c r="M33" s="43"/>
      <c r="N33" s="45"/>
      <c r="O33" s="45"/>
      <c r="P33" s="45"/>
      <c r="Q33" s="45"/>
      <c r="R33" s="45"/>
      <c r="S33" s="45"/>
      <c r="T33" s="45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32">
        <f t="shared" si="1"/>
        <v>0</v>
      </c>
      <c r="AU33" s="32">
        <f t="shared" si="2"/>
        <v>0</v>
      </c>
      <c r="AV33" s="32">
        <f t="shared" si="3"/>
        <v>2</v>
      </c>
      <c r="AW33" s="32">
        <f t="shared" si="4"/>
        <v>2</v>
      </c>
      <c r="AX33" s="33">
        <f t="shared" si="5"/>
        <v>100</v>
      </c>
    </row>
    <row r="34">
      <c r="A34" s="95">
        <v>30.0</v>
      </c>
      <c r="B34" s="47" t="s">
        <v>223</v>
      </c>
      <c r="C34" s="137" t="s">
        <v>224</v>
      </c>
      <c r="D34" s="151" t="s">
        <v>28</v>
      </c>
      <c r="E34" s="152" t="s">
        <v>22</v>
      </c>
      <c r="F34" s="96"/>
      <c r="G34" s="96"/>
      <c r="H34" s="96"/>
      <c r="I34" s="96"/>
      <c r="J34" s="96"/>
      <c r="K34" s="96"/>
      <c r="L34" s="96"/>
      <c r="M34" s="43"/>
      <c r="N34" s="45"/>
      <c r="O34" s="45"/>
      <c r="P34" s="45"/>
      <c r="Q34" s="45"/>
      <c r="R34" s="45"/>
      <c r="S34" s="45"/>
      <c r="T34" s="45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32">
        <f t="shared" si="1"/>
        <v>0</v>
      </c>
      <c r="AU34" s="32">
        <f t="shared" si="2"/>
        <v>1</v>
      </c>
      <c r="AV34" s="32">
        <f t="shared" si="3"/>
        <v>1</v>
      </c>
      <c r="AW34" s="32">
        <f t="shared" si="4"/>
        <v>2</v>
      </c>
      <c r="AX34" s="33">
        <f t="shared" si="5"/>
        <v>50</v>
      </c>
    </row>
    <row r="35">
      <c r="A35" s="95">
        <v>31.0</v>
      </c>
      <c r="B35" s="47" t="s">
        <v>101</v>
      </c>
      <c r="C35" s="137" t="s">
        <v>102</v>
      </c>
      <c r="D35" s="151" t="s">
        <v>28</v>
      </c>
      <c r="E35" s="151" t="s">
        <v>28</v>
      </c>
      <c r="F35" s="96"/>
      <c r="G35" s="82"/>
      <c r="H35" s="82"/>
      <c r="I35" s="82"/>
      <c r="J35" s="96"/>
      <c r="K35" s="96"/>
      <c r="L35" s="96"/>
      <c r="M35" s="45"/>
      <c r="N35" s="45"/>
      <c r="O35" s="45"/>
      <c r="P35" s="45"/>
      <c r="Q35" s="45"/>
      <c r="R35" s="45"/>
      <c r="S35" s="45"/>
      <c r="T35" s="45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32">
        <f t="shared" si="1"/>
        <v>0</v>
      </c>
      <c r="AU35" s="32">
        <f t="shared" si="2"/>
        <v>0</v>
      </c>
      <c r="AV35" s="32">
        <f t="shared" si="3"/>
        <v>2</v>
      </c>
      <c r="AW35" s="32">
        <f t="shared" si="4"/>
        <v>2</v>
      </c>
      <c r="AX35" s="33">
        <f t="shared" si="5"/>
        <v>100</v>
      </c>
    </row>
    <row r="36">
      <c r="A36" s="95">
        <v>32.0</v>
      </c>
      <c r="B36" s="47" t="s">
        <v>229</v>
      </c>
      <c r="C36" s="137" t="s">
        <v>230</v>
      </c>
      <c r="D36" s="151" t="s">
        <v>28</v>
      </c>
      <c r="E36" s="152" t="s">
        <v>22</v>
      </c>
      <c r="F36" s="96"/>
      <c r="G36" s="82"/>
      <c r="H36" s="96"/>
      <c r="I36" s="96"/>
      <c r="J36" s="96"/>
      <c r="K36" s="96"/>
      <c r="L36" s="96"/>
      <c r="M36" s="43"/>
      <c r="N36" s="45"/>
      <c r="O36" s="45"/>
      <c r="P36" s="45"/>
      <c r="Q36" s="45"/>
      <c r="R36" s="45"/>
      <c r="S36" s="45"/>
      <c r="T36" s="45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32">
        <f t="shared" si="1"/>
        <v>0</v>
      </c>
      <c r="AU36" s="32">
        <f t="shared" si="2"/>
        <v>1</v>
      </c>
      <c r="AV36" s="32">
        <f t="shared" si="3"/>
        <v>1</v>
      </c>
      <c r="AW36" s="32">
        <f t="shared" si="4"/>
        <v>2</v>
      </c>
      <c r="AX36" s="33">
        <f t="shared" si="5"/>
        <v>50</v>
      </c>
    </row>
    <row r="37">
      <c r="A37" s="95">
        <v>33.0</v>
      </c>
      <c r="B37" s="47" t="s">
        <v>73</v>
      </c>
      <c r="C37" s="137" t="s">
        <v>74</v>
      </c>
      <c r="D37" s="151" t="s">
        <v>28</v>
      </c>
      <c r="E37" s="151" t="s">
        <v>28</v>
      </c>
      <c r="F37" s="96"/>
      <c r="G37" s="96"/>
      <c r="H37" s="96"/>
      <c r="I37" s="96"/>
      <c r="J37" s="96"/>
      <c r="K37" s="96"/>
      <c r="L37" s="96"/>
      <c r="M37" s="43"/>
      <c r="N37" s="45"/>
      <c r="O37" s="45"/>
      <c r="P37" s="45"/>
      <c r="Q37" s="45"/>
      <c r="R37" s="45"/>
      <c r="S37" s="45"/>
      <c r="T37" s="45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32">
        <f t="shared" si="1"/>
        <v>0</v>
      </c>
      <c r="AU37" s="32">
        <f t="shared" si="2"/>
        <v>0</v>
      </c>
      <c r="AV37" s="32">
        <f t="shared" si="3"/>
        <v>2</v>
      </c>
      <c r="AW37" s="32">
        <f t="shared" si="4"/>
        <v>2</v>
      </c>
      <c r="AX37" s="33">
        <f t="shared" si="5"/>
        <v>100</v>
      </c>
    </row>
    <row r="38">
      <c r="A38" s="95">
        <v>34.0</v>
      </c>
      <c r="B38" s="47" t="s">
        <v>241</v>
      </c>
      <c r="C38" s="137" t="s">
        <v>242</v>
      </c>
      <c r="D38" s="152" t="s">
        <v>22</v>
      </c>
      <c r="E38" s="151" t="s">
        <v>28</v>
      </c>
      <c r="F38" s="96"/>
      <c r="G38" s="82"/>
      <c r="H38" s="96"/>
      <c r="I38" s="82"/>
      <c r="J38" s="96"/>
      <c r="K38" s="96"/>
      <c r="L38" s="82"/>
      <c r="M38" s="43"/>
      <c r="N38" s="45"/>
      <c r="O38" s="45"/>
      <c r="P38" s="45"/>
      <c r="Q38" s="45"/>
      <c r="R38" s="45"/>
      <c r="S38" s="45"/>
      <c r="T38" s="45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32">
        <f t="shared" si="1"/>
        <v>0</v>
      </c>
      <c r="AU38" s="32">
        <f t="shared" si="2"/>
        <v>1</v>
      </c>
      <c r="AV38" s="32">
        <f t="shared" si="3"/>
        <v>1</v>
      </c>
      <c r="AW38" s="32">
        <f t="shared" si="4"/>
        <v>2</v>
      </c>
      <c r="AX38" s="33">
        <f t="shared" si="5"/>
        <v>50</v>
      </c>
    </row>
    <row r="39">
      <c r="A39" s="95">
        <v>35.0</v>
      </c>
      <c r="B39" s="47" t="s">
        <v>321</v>
      </c>
      <c r="C39" s="137" t="s">
        <v>322</v>
      </c>
      <c r="D39" s="151" t="s">
        <v>28</v>
      </c>
      <c r="E39" s="151" t="s">
        <v>28</v>
      </c>
      <c r="F39" s="96"/>
      <c r="G39" s="82"/>
      <c r="H39" s="82"/>
      <c r="I39" s="82"/>
      <c r="J39" s="96"/>
      <c r="K39" s="82"/>
      <c r="L39" s="96"/>
      <c r="M39" s="43"/>
      <c r="N39" s="45"/>
      <c r="O39" s="45"/>
      <c r="P39" s="45"/>
      <c r="Q39" s="45"/>
      <c r="R39" s="45"/>
      <c r="S39" s="45"/>
      <c r="T39" s="45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110">
        <f t="shared" si="1"/>
        <v>0</v>
      </c>
      <c r="AU39" s="110">
        <f t="shared" si="2"/>
        <v>0</v>
      </c>
      <c r="AV39" s="110">
        <f t="shared" si="3"/>
        <v>2</v>
      </c>
      <c r="AW39" s="110">
        <f t="shared" si="4"/>
        <v>2</v>
      </c>
      <c r="AX39" s="111">
        <f t="shared" si="5"/>
        <v>100</v>
      </c>
    </row>
    <row r="40">
      <c r="A40" s="95">
        <v>36.0</v>
      </c>
      <c r="B40" s="47" t="s">
        <v>189</v>
      </c>
      <c r="C40" s="137" t="s">
        <v>190</v>
      </c>
      <c r="D40" s="151" t="s">
        <v>28</v>
      </c>
      <c r="E40" s="151" t="s">
        <v>28</v>
      </c>
      <c r="F40" s="142"/>
      <c r="G40" s="143"/>
      <c r="H40" s="143"/>
      <c r="I40" s="143"/>
      <c r="J40" s="142"/>
      <c r="K40" s="143"/>
      <c r="L40" s="142"/>
      <c r="M40" s="142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10"/>
      <c r="AU40" s="110"/>
      <c r="AV40" s="110"/>
      <c r="AW40" s="110"/>
      <c r="AX40" s="111"/>
    </row>
    <row r="41">
      <c r="A41" s="95"/>
      <c r="B41" s="47"/>
      <c r="C41" s="56" t="s">
        <v>191</v>
      </c>
      <c r="D41" s="57">
        <f t="shared" ref="D41:AS41" si="6">COUNTIF(#REF!,"P")+COUNTIF(#REF!,"L")</f>
        <v>0</v>
      </c>
      <c r="E41" s="57">
        <f t="shared" si="6"/>
        <v>0</v>
      </c>
      <c r="F41" s="57">
        <f t="shared" si="6"/>
        <v>0</v>
      </c>
      <c r="G41" s="57">
        <f t="shared" si="6"/>
        <v>0</v>
      </c>
      <c r="H41" s="57">
        <f t="shared" si="6"/>
        <v>0</v>
      </c>
      <c r="I41" s="57">
        <f t="shared" si="6"/>
        <v>0</v>
      </c>
      <c r="J41" s="57">
        <f t="shared" si="6"/>
        <v>0</v>
      </c>
      <c r="K41" s="57">
        <f t="shared" si="6"/>
        <v>0</v>
      </c>
      <c r="L41" s="57">
        <f t="shared" si="6"/>
        <v>0</v>
      </c>
      <c r="M41" s="57">
        <f t="shared" si="6"/>
        <v>0</v>
      </c>
      <c r="N41" s="57">
        <f t="shared" si="6"/>
        <v>0</v>
      </c>
      <c r="O41" s="57">
        <f t="shared" si="6"/>
        <v>0</v>
      </c>
      <c r="P41" s="57">
        <f t="shared" si="6"/>
        <v>0</v>
      </c>
      <c r="Q41" s="57">
        <f t="shared" si="6"/>
        <v>0</v>
      </c>
      <c r="R41" s="57">
        <f t="shared" si="6"/>
        <v>0</v>
      </c>
      <c r="S41" s="57">
        <f t="shared" si="6"/>
        <v>0</v>
      </c>
      <c r="T41" s="57">
        <f t="shared" si="6"/>
        <v>0</v>
      </c>
      <c r="U41" s="57">
        <f t="shared" si="6"/>
        <v>0</v>
      </c>
      <c r="V41" s="57">
        <f t="shared" si="6"/>
        <v>0</v>
      </c>
      <c r="W41" s="57">
        <f t="shared" si="6"/>
        <v>0</v>
      </c>
      <c r="X41" s="57">
        <f t="shared" si="6"/>
        <v>0</v>
      </c>
      <c r="Y41" s="57">
        <f t="shared" si="6"/>
        <v>0</v>
      </c>
      <c r="Z41" s="57">
        <f t="shared" si="6"/>
        <v>0</v>
      </c>
      <c r="AA41" s="57">
        <f t="shared" si="6"/>
        <v>0</v>
      </c>
      <c r="AB41" s="57">
        <f t="shared" si="6"/>
        <v>0</v>
      </c>
      <c r="AC41" s="57">
        <f t="shared" si="6"/>
        <v>0</v>
      </c>
      <c r="AD41" s="57">
        <f t="shared" si="6"/>
        <v>0</v>
      </c>
      <c r="AE41" s="57">
        <f t="shared" si="6"/>
        <v>0</v>
      </c>
      <c r="AF41" s="57">
        <f t="shared" si="6"/>
        <v>0</v>
      </c>
      <c r="AG41" s="57">
        <f t="shared" si="6"/>
        <v>0</v>
      </c>
      <c r="AH41" s="57">
        <f t="shared" si="6"/>
        <v>0</v>
      </c>
      <c r="AI41" s="57">
        <f t="shared" si="6"/>
        <v>0</v>
      </c>
      <c r="AJ41" s="57">
        <f t="shared" si="6"/>
        <v>0</v>
      </c>
      <c r="AK41" s="57">
        <f t="shared" si="6"/>
        <v>0</v>
      </c>
      <c r="AL41" s="57">
        <f t="shared" si="6"/>
        <v>0</v>
      </c>
      <c r="AM41" s="57">
        <f t="shared" si="6"/>
        <v>0</v>
      </c>
      <c r="AN41" s="57">
        <f t="shared" si="6"/>
        <v>0</v>
      </c>
      <c r="AO41" s="57">
        <f t="shared" si="6"/>
        <v>0</v>
      </c>
      <c r="AP41" s="57">
        <f t="shared" si="6"/>
        <v>0</v>
      </c>
      <c r="AQ41" s="57">
        <f t="shared" si="6"/>
        <v>0</v>
      </c>
      <c r="AR41" s="57">
        <f t="shared" si="6"/>
        <v>0</v>
      </c>
      <c r="AS41" s="57">
        <f t="shared" si="6"/>
        <v>0</v>
      </c>
      <c r="AT41" s="32"/>
      <c r="AU41" s="32"/>
      <c r="AV41" s="32"/>
      <c r="AW41" s="32"/>
      <c r="AX41" s="33"/>
    </row>
    <row r="42">
      <c r="A42" s="95"/>
      <c r="B42" s="47"/>
      <c r="C42" s="59" t="s">
        <v>192</v>
      </c>
      <c r="D42" s="114">
        <v>35.0</v>
      </c>
      <c r="E42" s="114">
        <v>35.0</v>
      </c>
      <c r="F42" s="114">
        <v>35.0</v>
      </c>
      <c r="G42" s="114">
        <v>35.0</v>
      </c>
      <c r="H42" s="114">
        <v>35.0</v>
      </c>
      <c r="I42" s="114">
        <v>35.0</v>
      </c>
      <c r="J42" s="114">
        <v>35.0</v>
      </c>
      <c r="K42" s="114">
        <v>35.0</v>
      </c>
      <c r="L42" s="114">
        <v>35.0</v>
      </c>
      <c r="M42" s="114">
        <v>35.0</v>
      </c>
      <c r="N42" s="114">
        <v>35.0</v>
      </c>
      <c r="O42" s="114">
        <v>35.0</v>
      </c>
      <c r="P42" s="114">
        <v>35.0</v>
      </c>
      <c r="Q42" s="114">
        <v>35.0</v>
      </c>
      <c r="R42" s="114">
        <v>35.0</v>
      </c>
      <c r="S42" s="114">
        <v>35.0</v>
      </c>
      <c r="T42" s="114">
        <v>35.0</v>
      </c>
      <c r="U42" s="114">
        <v>35.0</v>
      </c>
      <c r="V42" s="114">
        <v>35.0</v>
      </c>
      <c r="W42" s="114">
        <v>35.0</v>
      </c>
      <c r="X42" s="114">
        <v>35.0</v>
      </c>
      <c r="Y42" s="114">
        <v>35.0</v>
      </c>
      <c r="Z42" s="114">
        <v>35.0</v>
      </c>
      <c r="AA42" s="114">
        <v>35.0</v>
      </c>
      <c r="AB42" s="114">
        <v>35.0</v>
      </c>
      <c r="AC42" s="114">
        <v>35.0</v>
      </c>
      <c r="AD42" s="114">
        <v>35.0</v>
      </c>
      <c r="AE42" s="114">
        <v>35.0</v>
      </c>
      <c r="AF42" s="114">
        <v>35.0</v>
      </c>
      <c r="AG42" s="114">
        <v>35.0</v>
      </c>
      <c r="AH42" s="114">
        <v>35.0</v>
      </c>
      <c r="AI42" s="114">
        <v>35.0</v>
      </c>
      <c r="AJ42" s="114">
        <v>35.0</v>
      </c>
      <c r="AK42" s="114">
        <v>35.0</v>
      </c>
      <c r="AL42" s="114">
        <v>35.0</v>
      </c>
      <c r="AM42" s="114">
        <v>35.0</v>
      </c>
      <c r="AN42" s="114">
        <v>35.0</v>
      </c>
      <c r="AO42" s="114">
        <v>35.0</v>
      </c>
      <c r="AP42" s="114">
        <v>35.0</v>
      </c>
      <c r="AQ42" s="114">
        <v>35.0</v>
      </c>
      <c r="AR42" s="114">
        <v>35.0</v>
      </c>
      <c r="AS42" s="114">
        <v>35.0</v>
      </c>
      <c r="AT42" s="32"/>
      <c r="AU42" s="32"/>
      <c r="AV42" s="32"/>
      <c r="AW42" s="32"/>
      <c r="AX42" s="33"/>
    </row>
    <row r="43" ht="36.75" customHeight="1">
      <c r="A43" s="95"/>
      <c r="B43" s="47"/>
      <c r="C43" s="85"/>
      <c r="D43" s="128"/>
      <c r="E43" s="96"/>
      <c r="F43" s="96"/>
      <c r="G43" s="82"/>
      <c r="H43" s="96"/>
      <c r="I43" s="96"/>
      <c r="J43" s="96"/>
      <c r="K43" s="96"/>
      <c r="L43" s="96"/>
      <c r="M43" s="45"/>
      <c r="N43" s="45"/>
      <c r="O43" s="45"/>
      <c r="P43" s="45"/>
      <c r="Q43" s="45"/>
      <c r="R43" s="45"/>
      <c r="S43" s="45"/>
      <c r="T43" s="45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32">
        <f>COUNTIF(D43:AS43,"L")</f>
        <v>0</v>
      </c>
      <c r="AU43" s="32">
        <f>COUNTIF(D43:AS43,"A")</f>
        <v>0</v>
      </c>
      <c r="AV43" s="32">
        <f>COUNTIF(D43:AS43,"p")</f>
        <v>0</v>
      </c>
      <c r="AW43" s="32">
        <f>SUM(AT43:AV43)</f>
        <v>0</v>
      </c>
      <c r="AX43" s="33" t="str">
        <f>SUM(AT43,AV43)/AW43*100</f>
        <v>#DIV/0!</v>
      </c>
    </row>
    <row r="44" ht="49.5" customHeight="1">
      <c r="A44" s="145" t="s">
        <v>534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3"/>
    </row>
    <row r="45" ht="55.5" customHeight="1">
      <c r="A45" s="4"/>
      <c r="B45" s="5"/>
      <c r="C45" s="6"/>
      <c r="D45" s="79" t="s">
        <v>521</v>
      </c>
      <c r="E45" s="79"/>
      <c r="F45" s="79"/>
      <c r="G45" s="79"/>
      <c r="H45" s="79"/>
      <c r="I45" s="65"/>
      <c r="J45" s="79"/>
      <c r="K45" s="79"/>
      <c r="L45" s="65"/>
      <c r="M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3"/>
      <c r="AR45" s="13"/>
      <c r="AS45" s="12"/>
      <c r="AT45" s="12"/>
      <c r="AU45" s="12"/>
      <c r="AV45" s="12"/>
      <c r="AW45" s="12"/>
      <c r="AX45" s="14"/>
    </row>
    <row r="46" ht="71.25" customHeight="1">
      <c r="A46" s="15"/>
      <c r="B46" s="15"/>
      <c r="C46" s="15"/>
      <c r="D46" s="65" t="s">
        <v>535</v>
      </c>
      <c r="E46" s="65"/>
      <c r="F46" s="65"/>
      <c r="G46" s="65"/>
      <c r="H46" s="65"/>
      <c r="I46" s="65"/>
      <c r="J46" s="87"/>
      <c r="K46" s="94"/>
      <c r="L46" s="87"/>
      <c r="M46" s="17"/>
      <c r="N46" s="13"/>
      <c r="O46" s="13"/>
      <c r="P46" s="13"/>
      <c r="Q46" s="13"/>
      <c r="R46" s="13"/>
      <c r="S46" s="13"/>
      <c r="T46" s="12"/>
      <c r="U46" s="12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2"/>
      <c r="AT46" s="18" t="s">
        <v>21</v>
      </c>
      <c r="AU46" s="19" t="s">
        <v>22</v>
      </c>
      <c r="AV46" s="20" t="s">
        <v>23</v>
      </c>
      <c r="AW46" s="21" t="s">
        <v>24</v>
      </c>
      <c r="AX46" s="22" t="s">
        <v>25</v>
      </c>
    </row>
    <row r="47">
      <c r="A47" s="95">
        <v>1.0</v>
      </c>
      <c r="B47" s="47" t="s">
        <v>237</v>
      </c>
      <c r="C47" s="137" t="s">
        <v>238</v>
      </c>
      <c r="D47" s="151" t="s">
        <v>28</v>
      </c>
      <c r="E47" s="96"/>
      <c r="F47" s="96"/>
      <c r="G47" s="82"/>
      <c r="H47" s="96"/>
      <c r="I47" s="96"/>
      <c r="J47" s="96"/>
      <c r="K47" s="96"/>
      <c r="L47" s="96"/>
      <c r="M47" s="43"/>
      <c r="N47" s="45"/>
      <c r="O47" s="45"/>
      <c r="P47" s="45"/>
      <c r="Q47" s="45"/>
      <c r="R47" s="45"/>
      <c r="S47" s="45"/>
      <c r="T47" s="45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110">
        <f t="shared" ref="AT47:AT101" si="7">COUNTIF(D47:AS47,"L")</f>
        <v>0</v>
      </c>
      <c r="AU47" s="110">
        <f t="shared" ref="AU47:AU101" si="8">COUNTIF(D47:AS47,"A")</f>
        <v>0</v>
      </c>
      <c r="AV47" s="110">
        <f t="shared" ref="AV47:AV101" si="9">COUNTIF(D47:AS47,"p")</f>
        <v>1</v>
      </c>
      <c r="AW47" s="110">
        <f t="shared" ref="AW47:AW101" si="10">SUM(AT47:AV47)</f>
        <v>1</v>
      </c>
      <c r="AX47" s="111">
        <f t="shared" ref="AX47:AX101" si="11">SUM(AT47,AV47)/AW47*100</f>
        <v>100</v>
      </c>
    </row>
    <row r="48">
      <c r="A48" s="95">
        <v>2.0</v>
      </c>
      <c r="B48" s="47" t="s">
        <v>245</v>
      </c>
      <c r="C48" s="137" t="s">
        <v>246</v>
      </c>
      <c r="D48" s="152" t="s">
        <v>22</v>
      </c>
      <c r="E48" s="96"/>
      <c r="F48" s="96"/>
      <c r="G48" s="82"/>
      <c r="H48" s="96"/>
      <c r="I48" s="96"/>
      <c r="J48" s="96"/>
      <c r="K48" s="96"/>
      <c r="L48" s="96"/>
      <c r="M48" s="43"/>
      <c r="N48" s="45"/>
      <c r="O48" s="45"/>
      <c r="P48" s="45"/>
      <c r="Q48" s="45"/>
      <c r="R48" s="45"/>
      <c r="S48" s="45"/>
      <c r="T48" s="45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110">
        <f t="shared" si="7"/>
        <v>0</v>
      </c>
      <c r="AU48" s="110">
        <f t="shared" si="8"/>
        <v>1</v>
      </c>
      <c r="AV48" s="110">
        <f t="shared" si="9"/>
        <v>0</v>
      </c>
      <c r="AW48" s="110">
        <f t="shared" si="10"/>
        <v>1</v>
      </c>
      <c r="AX48" s="111">
        <f t="shared" si="11"/>
        <v>0</v>
      </c>
    </row>
    <row r="49">
      <c r="A49" s="95">
        <v>3.0</v>
      </c>
      <c r="B49" s="47" t="s">
        <v>349</v>
      </c>
      <c r="C49" s="137" t="s">
        <v>350</v>
      </c>
      <c r="D49" s="151" t="s">
        <v>28</v>
      </c>
      <c r="E49" s="96"/>
      <c r="F49" s="96"/>
      <c r="G49" s="82"/>
      <c r="H49" s="96"/>
      <c r="I49" s="96"/>
      <c r="J49" s="96"/>
      <c r="K49" s="96"/>
      <c r="L49" s="96"/>
      <c r="M49" s="43"/>
      <c r="N49" s="45"/>
      <c r="O49" s="45"/>
      <c r="P49" s="45"/>
      <c r="Q49" s="45"/>
      <c r="R49" s="45"/>
      <c r="S49" s="45"/>
      <c r="T49" s="45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110">
        <f t="shared" si="7"/>
        <v>0</v>
      </c>
      <c r="AU49" s="110">
        <f t="shared" si="8"/>
        <v>0</v>
      </c>
      <c r="AV49" s="110">
        <f t="shared" si="9"/>
        <v>1</v>
      </c>
      <c r="AW49" s="110">
        <f t="shared" si="10"/>
        <v>1</v>
      </c>
      <c r="AX49" s="111">
        <f t="shared" si="11"/>
        <v>100</v>
      </c>
    </row>
    <row r="50">
      <c r="A50" s="95">
        <v>4.0</v>
      </c>
      <c r="B50" s="47" t="s">
        <v>217</v>
      </c>
      <c r="C50" s="137" t="s">
        <v>218</v>
      </c>
      <c r="D50" s="151" t="s">
        <v>28</v>
      </c>
      <c r="E50" s="96"/>
      <c r="F50" s="96"/>
      <c r="G50" s="82"/>
      <c r="H50" s="96"/>
      <c r="I50" s="96"/>
      <c r="J50" s="96"/>
      <c r="K50" s="96"/>
      <c r="L50" s="96"/>
      <c r="M50" s="43"/>
      <c r="N50" s="45"/>
      <c r="O50" s="45"/>
      <c r="P50" s="45"/>
      <c r="Q50" s="45"/>
      <c r="R50" s="45"/>
      <c r="S50" s="45"/>
      <c r="T50" s="45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110">
        <f t="shared" si="7"/>
        <v>0</v>
      </c>
      <c r="AU50" s="110">
        <f t="shared" si="8"/>
        <v>0</v>
      </c>
      <c r="AV50" s="110">
        <f t="shared" si="9"/>
        <v>1</v>
      </c>
      <c r="AW50" s="110">
        <f t="shared" si="10"/>
        <v>1</v>
      </c>
      <c r="AX50" s="111">
        <f t="shared" si="11"/>
        <v>100</v>
      </c>
    </row>
    <row r="51">
      <c r="A51" s="95">
        <v>5.0</v>
      </c>
      <c r="B51" s="47" t="s">
        <v>243</v>
      </c>
      <c r="C51" s="137" t="s">
        <v>244</v>
      </c>
      <c r="D51" s="152" t="s">
        <v>22</v>
      </c>
      <c r="E51" s="96"/>
      <c r="F51" s="96"/>
      <c r="G51" s="82"/>
      <c r="H51" s="96"/>
      <c r="I51" s="96"/>
      <c r="J51" s="96"/>
      <c r="K51" s="96"/>
      <c r="L51" s="96"/>
      <c r="M51" s="43"/>
      <c r="N51" s="45"/>
      <c r="O51" s="45"/>
      <c r="P51" s="45"/>
      <c r="Q51" s="45"/>
      <c r="R51" s="45"/>
      <c r="S51" s="45"/>
      <c r="T51" s="45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110">
        <f t="shared" si="7"/>
        <v>0</v>
      </c>
      <c r="AU51" s="110">
        <f t="shared" si="8"/>
        <v>1</v>
      </c>
      <c r="AV51" s="110">
        <f t="shared" si="9"/>
        <v>0</v>
      </c>
      <c r="AW51" s="110">
        <f t="shared" si="10"/>
        <v>1</v>
      </c>
      <c r="AX51" s="111">
        <f t="shared" si="11"/>
        <v>0</v>
      </c>
    </row>
    <row r="52">
      <c r="A52" s="95">
        <v>6.0</v>
      </c>
      <c r="B52" s="47" t="s">
        <v>271</v>
      </c>
      <c r="C52" s="137" t="s">
        <v>272</v>
      </c>
      <c r="D52" s="151" t="s">
        <v>28</v>
      </c>
      <c r="E52" s="96"/>
      <c r="F52" s="96"/>
      <c r="G52" s="82"/>
      <c r="H52" s="96"/>
      <c r="I52" s="96"/>
      <c r="J52" s="96"/>
      <c r="K52" s="96"/>
      <c r="L52" s="96"/>
      <c r="M52" s="43"/>
      <c r="N52" s="45"/>
      <c r="O52" s="45"/>
      <c r="P52" s="45"/>
      <c r="Q52" s="45"/>
      <c r="R52" s="45"/>
      <c r="S52" s="45"/>
      <c r="T52" s="45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110">
        <f t="shared" si="7"/>
        <v>0</v>
      </c>
      <c r="AU52" s="110">
        <f t="shared" si="8"/>
        <v>0</v>
      </c>
      <c r="AV52" s="110">
        <f t="shared" si="9"/>
        <v>1</v>
      </c>
      <c r="AW52" s="110">
        <f t="shared" si="10"/>
        <v>1</v>
      </c>
      <c r="AX52" s="111">
        <f t="shared" si="11"/>
        <v>100</v>
      </c>
    </row>
    <row r="53">
      <c r="A53" s="95">
        <v>7.0</v>
      </c>
      <c r="B53" s="47" t="s">
        <v>273</v>
      </c>
      <c r="C53" s="137" t="s">
        <v>274</v>
      </c>
      <c r="D53" s="151" t="s">
        <v>28</v>
      </c>
      <c r="E53" s="96"/>
      <c r="F53" s="96"/>
      <c r="G53" s="82"/>
      <c r="H53" s="96"/>
      <c r="I53" s="96"/>
      <c r="J53" s="96"/>
      <c r="K53" s="96"/>
      <c r="L53" s="96"/>
      <c r="M53" s="43"/>
      <c r="N53" s="45"/>
      <c r="O53" s="45"/>
      <c r="P53" s="45"/>
      <c r="Q53" s="45"/>
      <c r="R53" s="45"/>
      <c r="S53" s="45"/>
      <c r="T53" s="45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110">
        <f t="shared" si="7"/>
        <v>0</v>
      </c>
      <c r="AU53" s="110">
        <f t="shared" si="8"/>
        <v>0</v>
      </c>
      <c r="AV53" s="110">
        <f t="shared" si="9"/>
        <v>1</v>
      </c>
      <c r="AW53" s="110">
        <f t="shared" si="10"/>
        <v>1</v>
      </c>
      <c r="AX53" s="111">
        <f t="shared" si="11"/>
        <v>100</v>
      </c>
    </row>
    <row r="54">
      <c r="A54" s="95">
        <v>8.0</v>
      </c>
      <c r="B54" s="47" t="s">
        <v>173</v>
      </c>
      <c r="C54" s="137" t="s">
        <v>174</v>
      </c>
      <c r="D54" s="151" t="s">
        <v>28</v>
      </c>
      <c r="E54" s="96"/>
      <c r="F54" s="96"/>
      <c r="G54" s="82"/>
      <c r="H54" s="96"/>
      <c r="I54" s="96"/>
      <c r="J54" s="96"/>
      <c r="K54" s="96"/>
      <c r="L54" s="96"/>
      <c r="M54" s="43"/>
      <c r="N54" s="45"/>
      <c r="O54" s="45"/>
      <c r="P54" s="45"/>
      <c r="Q54" s="45"/>
      <c r="R54" s="45"/>
      <c r="S54" s="45"/>
      <c r="T54" s="45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110">
        <f t="shared" si="7"/>
        <v>0</v>
      </c>
      <c r="AU54" s="110">
        <f t="shared" si="8"/>
        <v>0</v>
      </c>
      <c r="AV54" s="110">
        <f t="shared" si="9"/>
        <v>1</v>
      </c>
      <c r="AW54" s="110">
        <f t="shared" si="10"/>
        <v>1</v>
      </c>
      <c r="AX54" s="111">
        <f t="shared" si="11"/>
        <v>100</v>
      </c>
    </row>
    <row r="55">
      <c r="A55" s="95">
        <v>9.0</v>
      </c>
      <c r="B55" s="47" t="s">
        <v>95</v>
      </c>
      <c r="C55" s="137" t="s">
        <v>96</v>
      </c>
      <c r="D55" s="151" t="s">
        <v>28</v>
      </c>
      <c r="E55" s="96"/>
      <c r="F55" s="96"/>
      <c r="G55" s="82"/>
      <c r="H55" s="96"/>
      <c r="I55" s="96"/>
      <c r="J55" s="96"/>
      <c r="K55" s="96"/>
      <c r="L55" s="96"/>
      <c r="M55" s="43"/>
      <c r="N55" s="45"/>
      <c r="O55" s="45"/>
      <c r="P55" s="45"/>
      <c r="Q55" s="45"/>
      <c r="R55" s="45"/>
      <c r="S55" s="45"/>
      <c r="T55" s="45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110">
        <f t="shared" si="7"/>
        <v>0</v>
      </c>
      <c r="AU55" s="110">
        <f t="shared" si="8"/>
        <v>0</v>
      </c>
      <c r="AV55" s="110">
        <f t="shared" si="9"/>
        <v>1</v>
      </c>
      <c r="AW55" s="110">
        <f t="shared" si="10"/>
        <v>1</v>
      </c>
      <c r="AX55" s="111">
        <f t="shared" si="11"/>
        <v>100</v>
      </c>
    </row>
    <row r="56">
      <c r="A56" s="95">
        <v>10.0</v>
      </c>
      <c r="B56" s="47" t="s">
        <v>31</v>
      </c>
      <c r="C56" s="137" t="s">
        <v>32</v>
      </c>
      <c r="D56" s="152" t="s">
        <v>22</v>
      </c>
      <c r="E56" s="96"/>
      <c r="F56" s="96"/>
      <c r="G56" s="82"/>
      <c r="H56" s="96"/>
      <c r="I56" s="96"/>
      <c r="J56" s="96"/>
      <c r="K56" s="96"/>
      <c r="L56" s="96"/>
      <c r="M56" s="43"/>
      <c r="N56" s="45"/>
      <c r="O56" s="45"/>
      <c r="P56" s="45"/>
      <c r="Q56" s="45"/>
      <c r="R56" s="45"/>
      <c r="S56" s="45"/>
      <c r="T56" s="45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110">
        <f t="shared" si="7"/>
        <v>0</v>
      </c>
      <c r="AU56" s="110">
        <f t="shared" si="8"/>
        <v>1</v>
      </c>
      <c r="AV56" s="110">
        <f t="shared" si="9"/>
        <v>0</v>
      </c>
      <c r="AW56" s="110">
        <f t="shared" si="10"/>
        <v>1</v>
      </c>
      <c r="AX56" s="111">
        <f t="shared" si="11"/>
        <v>0</v>
      </c>
    </row>
    <row r="57">
      <c r="A57" s="95">
        <v>11.0</v>
      </c>
      <c r="B57" s="47" t="s">
        <v>523</v>
      </c>
      <c r="C57" s="137" t="s">
        <v>178</v>
      </c>
      <c r="D57" s="152" t="s">
        <v>22</v>
      </c>
      <c r="E57" s="96"/>
      <c r="F57" s="96"/>
      <c r="G57" s="82"/>
      <c r="H57" s="96"/>
      <c r="I57" s="96"/>
      <c r="J57" s="96"/>
      <c r="K57" s="96"/>
      <c r="L57" s="96"/>
      <c r="M57" s="43"/>
      <c r="N57" s="45"/>
      <c r="O57" s="45"/>
      <c r="P57" s="45"/>
      <c r="Q57" s="45"/>
      <c r="R57" s="45"/>
      <c r="S57" s="45"/>
      <c r="T57" s="45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110">
        <f t="shared" si="7"/>
        <v>0</v>
      </c>
      <c r="AU57" s="110">
        <f t="shared" si="8"/>
        <v>1</v>
      </c>
      <c r="AV57" s="110">
        <f t="shared" si="9"/>
        <v>0</v>
      </c>
      <c r="AW57" s="110">
        <f t="shared" si="10"/>
        <v>1</v>
      </c>
      <c r="AX57" s="111">
        <f t="shared" si="11"/>
        <v>0</v>
      </c>
    </row>
    <row r="58">
      <c r="A58" s="95">
        <v>12.0</v>
      </c>
      <c r="B58" s="47" t="s">
        <v>269</v>
      </c>
      <c r="C58" s="137" t="s">
        <v>270</v>
      </c>
      <c r="D58" s="151" t="s">
        <v>28</v>
      </c>
      <c r="E58" s="96"/>
      <c r="F58" s="96"/>
      <c r="G58" s="82"/>
      <c r="H58" s="96"/>
      <c r="I58" s="96"/>
      <c r="J58" s="96"/>
      <c r="K58" s="96"/>
      <c r="L58" s="96"/>
      <c r="M58" s="43"/>
      <c r="N58" s="45"/>
      <c r="O58" s="45"/>
      <c r="P58" s="45"/>
      <c r="Q58" s="45"/>
      <c r="R58" s="45"/>
      <c r="S58" s="45"/>
      <c r="T58" s="45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110">
        <f t="shared" si="7"/>
        <v>0</v>
      </c>
      <c r="AU58" s="110">
        <f t="shared" si="8"/>
        <v>0</v>
      </c>
      <c r="AV58" s="110">
        <f t="shared" si="9"/>
        <v>1</v>
      </c>
      <c r="AW58" s="110">
        <f t="shared" si="10"/>
        <v>1</v>
      </c>
      <c r="AX58" s="111">
        <f t="shared" si="11"/>
        <v>100</v>
      </c>
    </row>
    <row r="59">
      <c r="A59" s="95">
        <v>13.0</v>
      </c>
      <c r="B59" s="47" t="s">
        <v>225</v>
      </c>
      <c r="C59" s="137" t="s">
        <v>226</v>
      </c>
      <c r="D59" s="151" t="s">
        <v>28</v>
      </c>
      <c r="E59" s="96"/>
      <c r="F59" s="96"/>
      <c r="G59" s="82"/>
      <c r="H59" s="96"/>
      <c r="I59" s="96"/>
      <c r="J59" s="96"/>
      <c r="K59" s="96"/>
      <c r="L59" s="96"/>
      <c r="M59" s="43"/>
      <c r="N59" s="45"/>
      <c r="O59" s="45"/>
      <c r="P59" s="45"/>
      <c r="Q59" s="45"/>
      <c r="R59" s="45"/>
      <c r="S59" s="45"/>
      <c r="T59" s="45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110">
        <f t="shared" si="7"/>
        <v>0</v>
      </c>
      <c r="AU59" s="110">
        <f t="shared" si="8"/>
        <v>0</v>
      </c>
      <c r="AV59" s="110">
        <f t="shared" si="9"/>
        <v>1</v>
      </c>
      <c r="AW59" s="110">
        <f t="shared" si="10"/>
        <v>1</v>
      </c>
      <c r="AX59" s="111">
        <f t="shared" si="11"/>
        <v>100</v>
      </c>
    </row>
    <row r="60">
      <c r="A60" s="95">
        <v>14.0</v>
      </c>
      <c r="B60" s="47" t="s">
        <v>299</v>
      </c>
      <c r="C60" s="137" t="s">
        <v>300</v>
      </c>
      <c r="D60" s="151" t="s">
        <v>28</v>
      </c>
      <c r="E60" s="96"/>
      <c r="F60" s="96"/>
      <c r="G60" s="82"/>
      <c r="H60" s="96"/>
      <c r="I60" s="96"/>
      <c r="J60" s="96"/>
      <c r="K60" s="96"/>
      <c r="L60" s="96"/>
      <c r="M60" s="43"/>
      <c r="N60" s="45"/>
      <c r="O60" s="45"/>
      <c r="P60" s="45"/>
      <c r="Q60" s="45"/>
      <c r="R60" s="45"/>
      <c r="S60" s="45"/>
      <c r="T60" s="45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110">
        <f t="shared" si="7"/>
        <v>0</v>
      </c>
      <c r="AU60" s="110">
        <f t="shared" si="8"/>
        <v>0</v>
      </c>
      <c r="AV60" s="110">
        <f t="shared" si="9"/>
        <v>1</v>
      </c>
      <c r="AW60" s="110">
        <f t="shared" si="10"/>
        <v>1</v>
      </c>
      <c r="AX60" s="111">
        <f t="shared" si="11"/>
        <v>100</v>
      </c>
    </row>
    <row r="61">
      <c r="A61" s="95">
        <v>15.0</v>
      </c>
      <c r="B61" s="47" t="s">
        <v>169</v>
      </c>
      <c r="C61" s="137" t="s">
        <v>170</v>
      </c>
      <c r="D61" s="152" t="s">
        <v>22</v>
      </c>
      <c r="E61" s="96"/>
      <c r="F61" s="96"/>
      <c r="G61" s="82"/>
      <c r="H61" s="96"/>
      <c r="I61" s="96"/>
      <c r="J61" s="96"/>
      <c r="K61" s="96"/>
      <c r="L61" s="96"/>
      <c r="M61" s="43"/>
      <c r="N61" s="45"/>
      <c r="O61" s="45"/>
      <c r="P61" s="45"/>
      <c r="Q61" s="45"/>
      <c r="R61" s="45"/>
      <c r="S61" s="45"/>
      <c r="T61" s="45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110">
        <f t="shared" si="7"/>
        <v>0</v>
      </c>
      <c r="AU61" s="110">
        <f t="shared" si="8"/>
        <v>1</v>
      </c>
      <c r="AV61" s="110">
        <f t="shared" si="9"/>
        <v>0</v>
      </c>
      <c r="AW61" s="110">
        <f t="shared" si="10"/>
        <v>1</v>
      </c>
      <c r="AX61" s="111">
        <f t="shared" si="11"/>
        <v>0</v>
      </c>
    </row>
    <row r="62">
      <c r="A62" s="95">
        <v>16.0</v>
      </c>
      <c r="B62" s="47" t="s">
        <v>65</v>
      </c>
      <c r="C62" s="137" t="s">
        <v>66</v>
      </c>
      <c r="D62" s="151" t="s">
        <v>28</v>
      </c>
      <c r="E62" s="96"/>
      <c r="F62" s="96"/>
      <c r="G62" s="82"/>
      <c r="H62" s="96"/>
      <c r="I62" s="96"/>
      <c r="J62" s="96"/>
      <c r="K62" s="96"/>
      <c r="L62" s="96"/>
      <c r="M62" s="43"/>
      <c r="N62" s="45"/>
      <c r="O62" s="45"/>
      <c r="P62" s="45"/>
      <c r="Q62" s="45"/>
      <c r="R62" s="45"/>
      <c r="S62" s="45"/>
      <c r="T62" s="45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110">
        <f t="shared" si="7"/>
        <v>0</v>
      </c>
      <c r="AU62" s="110">
        <f t="shared" si="8"/>
        <v>0</v>
      </c>
      <c r="AV62" s="110">
        <f t="shared" si="9"/>
        <v>1</v>
      </c>
      <c r="AW62" s="110">
        <f t="shared" si="10"/>
        <v>1</v>
      </c>
      <c r="AX62" s="111">
        <f t="shared" si="11"/>
        <v>100</v>
      </c>
    </row>
    <row r="63">
      <c r="A63" s="95">
        <v>17.0</v>
      </c>
      <c r="B63" s="47" t="s">
        <v>227</v>
      </c>
      <c r="C63" s="137" t="s">
        <v>228</v>
      </c>
      <c r="D63" s="151" t="s">
        <v>28</v>
      </c>
      <c r="E63" s="96"/>
      <c r="F63" s="96"/>
      <c r="G63" s="82"/>
      <c r="H63" s="96"/>
      <c r="I63" s="96"/>
      <c r="J63" s="96"/>
      <c r="K63" s="96"/>
      <c r="L63" s="96"/>
      <c r="M63" s="43"/>
      <c r="N63" s="45"/>
      <c r="O63" s="45"/>
      <c r="P63" s="45"/>
      <c r="Q63" s="45"/>
      <c r="R63" s="45"/>
      <c r="S63" s="45"/>
      <c r="T63" s="45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110">
        <f t="shared" si="7"/>
        <v>0</v>
      </c>
      <c r="AU63" s="110">
        <f t="shared" si="8"/>
        <v>0</v>
      </c>
      <c r="AV63" s="110">
        <f t="shared" si="9"/>
        <v>1</v>
      </c>
      <c r="AW63" s="110">
        <f t="shared" si="10"/>
        <v>1</v>
      </c>
      <c r="AX63" s="111">
        <f t="shared" si="11"/>
        <v>100</v>
      </c>
    </row>
    <row r="64">
      <c r="A64" s="95">
        <v>18.0</v>
      </c>
      <c r="B64" s="47" t="s">
        <v>303</v>
      </c>
      <c r="C64" s="137" t="s">
        <v>304</v>
      </c>
      <c r="D64" s="151" t="s">
        <v>28</v>
      </c>
      <c r="E64" s="96"/>
      <c r="F64" s="96"/>
      <c r="G64" s="82"/>
      <c r="H64" s="96"/>
      <c r="I64" s="96"/>
      <c r="J64" s="96"/>
      <c r="K64" s="96"/>
      <c r="L64" s="96"/>
      <c r="M64" s="43"/>
      <c r="N64" s="45"/>
      <c r="O64" s="45"/>
      <c r="P64" s="45"/>
      <c r="Q64" s="45"/>
      <c r="R64" s="45"/>
      <c r="S64" s="45"/>
      <c r="T64" s="45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110">
        <f t="shared" si="7"/>
        <v>0</v>
      </c>
      <c r="AU64" s="110">
        <f t="shared" si="8"/>
        <v>0</v>
      </c>
      <c r="AV64" s="110">
        <f t="shared" si="9"/>
        <v>1</v>
      </c>
      <c r="AW64" s="110">
        <f t="shared" si="10"/>
        <v>1</v>
      </c>
      <c r="AX64" s="111">
        <f t="shared" si="11"/>
        <v>100</v>
      </c>
    </row>
    <row r="65">
      <c r="A65" s="95">
        <v>19.0</v>
      </c>
      <c r="B65" s="47" t="s">
        <v>307</v>
      </c>
      <c r="C65" s="137" t="s">
        <v>308</v>
      </c>
      <c r="D65" s="151" t="s">
        <v>28</v>
      </c>
      <c r="E65" s="96"/>
      <c r="F65" s="96"/>
      <c r="G65" s="82"/>
      <c r="H65" s="96"/>
      <c r="I65" s="96"/>
      <c r="J65" s="96"/>
      <c r="K65" s="96"/>
      <c r="L65" s="96"/>
      <c r="M65" s="43"/>
      <c r="N65" s="45"/>
      <c r="O65" s="45"/>
      <c r="P65" s="45"/>
      <c r="Q65" s="45"/>
      <c r="R65" s="45"/>
      <c r="S65" s="45"/>
      <c r="T65" s="45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110">
        <f t="shared" si="7"/>
        <v>0</v>
      </c>
      <c r="AU65" s="110">
        <f t="shared" si="8"/>
        <v>0</v>
      </c>
      <c r="AV65" s="110">
        <f t="shared" si="9"/>
        <v>1</v>
      </c>
      <c r="AW65" s="110">
        <f t="shared" si="10"/>
        <v>1</v>
      </c>
      <c r="AX65" s="111">
        <f t="shared" si="11"/>
        <v>100</v>
      </c>
    </row>
    <row r="66">
      <c r="A66" s="95">
        <v>20.0</v>
      </c>
      <c r="B66" s="47" t="s">
        <v>261</v>
      </c>
      <c r="C66" s="137" t="s">
        <v>262</v>
      </c>
      <c r="D66" s="152" t="s">
        <v>22</v>
      </c>
      <c r="E66" s="96"/>
      <c r="F66" s="96"/>
      <c r="G66" s="82"/>
      <c r="H66" s="96"/>
      <c r="I66" s="96"/>
      <c r="J66" s="96"/>
      <c r="K66" s="96"/>
      <c r="L66" s="96"/>
      <c r="M66" s="43"/>
      <c r="N66" s="45"/>
      <c r="O66" s="45"/>
      <c r="P66" s="45"/>
      <c r="Q66" s="45"/>
      <c r="R66" s="45"/>
      <c r="S66" s="45"/>
      <c r="T66" s="45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110">
        <f t="shared" si="7"/>
        <v>0</v>
      </c>
      <c r="AU66" s="110">
        <f t="shared" si="8"/>
        <v>1</v>
      </c>
      <c r="AV66" s="110">
        <f t="shared" si="9"/>
        <v>0</v>
      </c>
      <c r="AW66" s="110">
        <f t="shared" si="10"/>
        <v>1</v>
      </c>
      <c r="AX66" s="111">
        <f t="shared" si="11"/>
        <v>0</v>
      </c>
    </row>
    <row r="67">
      <c r="A67" s="95">
        <v>21.0</v>
      </c>
      <c r="B67" s="47" t="s">
        <v>97</v>
      </c>
      <c r="C67" s="137" t="s">
        <v>98</v>
      </c>
      <c r="D67" s="151" t="s">
        <v>28</v>
      </c>
      <c r="E67" s="96"/>
      <c r="F67" s="96"/>
      <c r="G67" s="82"/>
      <c r="H67" s="96"/>
      <c r="I67" s="96"/>
      <c r="J67" s="96"/>
      <c r="K67" s="96"/>
      <c r="L67" s="96"/>
      <c r="M67" s="43"/>
      <c r="N67" s="45"/>
      <c r="O67" s="45"/>
      <c r="P67" s="45"/>
      <c r="Q67" s="45"/>
      <c r="R67" s="45"/>
      <c r="S67" s="45"/>
      <c r="T67" s="45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110">
        <f t="shared" si="7"/>
        <v>0</v>
      </c>
      <c r="AU67" s="110">
        <f t="shared" si="8"/>
        <v>0</v>
      </c>
      <c r="AV67" s="110">
        <f t="shared" si="9"/>
        <v>1</v>
      </c>
      <c r="AW67" s="110">
        <f t="shared" si="10"/>
        <v>1</v>
      </c>
      <c r="AX67" s="111">
        <f t="shared" si="11"/>
        <v>100</v>
      </c>
    </row>
    <row r="68">
      <c r="A68" s="95">
        <v>22.0</v>
      </c>
      <c r="B68" s="47" t="s">
        <v>167</v>
      </c>
      <c r="C68" s="137" t="s">
        <v>168</v>
      </c>
      <c r="D68" s="152" t="s">
        <v>22</v>
      </c>
      <c r="E68" s="96"/>
      <c r="F68" s="96"/>
      <c r="G68" s="82"/>
      <c r="H68" s="96"/>
      <c r="I68" s="96"/>
      <c r="J68" s="96"/>
      <c r="K68" s="96"/>
      <c r="L68" s="96"/>
      <c r="M68" s="43"/>
      <c r="N68" s="45"/>
      <c r="O68" s="45"/>
      <c r="P68" s="45"/>
      <c r="Q68" s="45"/>
      <c r="R68" s="45"/>
      <c r="S68" s="45"/>
      <c r="T68" s="45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110">
        <f t="shared" si="7"/>
        <v>0</v>
      </c>
      <c r="AU68" s="110">
        <f t="shared" si="8"/>
        <v>1</v>
      </c>
      <c r="AV68" s="110">
        <f t="shared" si="9"/>
        <v>0</v>
      </c>
      <c r="AW68" s="110">
        <f t="shared" si="10"/>
        <v>1</v>
      </c>
      <c r="AX68" s="111">
        <f t="shared" si="11"/>
        <v>0</v>
      </c>
    </row>
    <row r="69">
      <c r="A69" s="95">
        <v>23.0</v>
      </c>
      <c r="B69" s="47" t="s">
        <v>87</v>
      </c>
      <c r="C69" s="137" t="s">
        <v>88</v>
      </c>
      <c r="D69" s="151" t="s">
        <v>28</v>
      </c>
      <c r="E69" s="96"/>
      <c r="F69" s="96"/>
      <c r="G69" s="82"/>
      <c r="H69" s="96"/>
      <c r="I69" s="96"/>
      <c r="J69" s="96"/>
      <c r="K69" s="96"/>
      <c r="L69" s="96"/>
      <c r="M69" s="43"/>
      <c r="N69" s="45"/>
      <c r="O69" s="45"/>
      <c r="P69" s="45"/>
      <c r="Q69" s="45"/>
      <c r="R69" s="45"/>
      <c r="S69" s="45"/>
      <c r="T69" s="45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110">
        <f t="shared" si="7"/>
        <v>0</v>
      </c>
      <c r="AU69" s="110">
        <f t="shared" si="8"/>
        <v>0</v>
      </c>
      <c r="AV69" s="110">
        <f t="shared" si="9"/>
        <v>1</v>
      </c>
      <c r="AW69" s="110">
        <f t="shared" si="10"/>
        <v>1</v>
      </c>
      <c r="AX69" s="111">
        <f t="shared" si="11"/>
        <v>100</v>
      </c>
    </row>
    <row r="70">
      <c r="A70" s="95">
        <v>24.0</v>
      </c>
      <c r="B70" s="47" t="s">
        <v>137</v>
      </c>
      <c r="C70" s="137" t="s">
        <v>138</v>
      </c>
      <c r="D70" s="151" t="s">
        <v>28</v>
      </c>
      <c r="E70" s="96"/>
      <c r="F70" s="96"/>
      <c r="G70" s="82"/>
      <c r="H70" s="96"/>
      <c r="I70" s="96"/>
      <c r="J70" s="96"/>
      <c r="K70" s="96"/>
      <c r="L70" s="96"/>
      <c r="M70" s="43"/>
      <c r="N70" s="45"/>
      <c r="O70" s="45"/>
      <c r="P70" s="45"/>
      <c r="Q70" s="45"/>
      <c r="R70" s="45"/>
      <c r="S70" s="45"/>
      <c r="T70" s="45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110">
        <f t="shared" si="7"/>
        <v>0</v>
      </c>
      <c r="AU70" s="110">
        <f t="shared" si="8"/>
        <v>0</v>
      </c>
      <c r="AV70" s="110">
        <f t="shared" si="9"/>
        <v>1</v>
      </c>
      <c r="AW70" s="110">
        <f t="shared" si="10"/>
        <v>1</v>
      </c>
      <c r="AX70" s="111">
        <f t="shared" si="11"/>
        <v>100</v>
      </c>
    </row>
    <row r="71">
      <c r="A71" s="95">
        <v>25.0</v>
      </c>
      <c r="B71" s="47" t="s">
        <v>231</v>
      </c>
      <c r="C71" s="137" t="s">
        <v>232</v>
      </c>
      <c r="D71" s="151" t="s">
        <v>28</v>
      </c>
      <c r="E71" s="96"/>
      <c r="F71" s="96"/>
      <c r="G71" s="82"/>
      <c r="H71" s="96"/>
      <c r="I71" s="96"/>
      <c r="J71" s="96"/>
      <c r="K71" s="96"/>
      <c r="L71" s="96"/>
      <c r="M71" s="43"/>
      <c r="N71" s="45"/>
      <c r="O71" s="45"/>
      <c r="P71" s="45"/>
      <c r="Q71" s="45"/>
      <c r="R71" s="45"/>
      <c r="S71" s="45"/>
      <c r="T71" s="45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110">
        <f t="shared" si="7"/>
        <v>0</v>
      </c>
      <c r="AU71" s="110">
        <f t="shared" si="8"/>
        <v>0</v>
      </c>
      <c r="AV71" s="110">
        <f t="shared" si="9"/>
        <v>1</v>
      </c>
      <c r="AW71" s="110">
        <f t="shared" si="10"/>
        <v>1</v>
      </c>
      <c r="AX71" s="111">
        <f t="shared" si="11"/>
        <v>100</v>
      </c>
    </row>
    <row r="72">
      <c r="A72" s="95">
        <v>26.0</v>
      </c>
      <c r="B72" s="47" t="s">
        <v>361</v>
      </c>
      <c r="C72" s="137" t="s">
        <v>362</v>
      </c>
      <c r="D72" s="152" t="s">
        <v>22</v>
      </c>
      <c r="E72" s="96"/>
      <c r="F72" s="96"/>
      <c r="G72" s="82"/>
      <c r="H72" s="96"/>
      <c r="I72" s="96"/>
      <c r="J72" s="96"/>
      <c r="K72" s="96"/>
      <c r="L72" s="96"/>
      <c r="M72" s="43"/>
      <c r="N72" s="45"/>
      <c r="O72" s="45"/>
      <c r="P72" s="45"/>
      <c r="Q72" s="45"/>
      <c r="R72" s="45"/>
      <c r="S72" s="45"/>
      <c r="T72" s="45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110">
        <f t="shared" si="7"/>
        <v>0</v>
      </c>
      <c r="AU72" s="110">
        <f t="shared" si="8"/>
        <v>1</v>
      </c>
      <c r="AV72" s="110">
        <f t="shared" si="9"/>
        <v>0</v>
      </c>
      <c r="AW72" s="110">
        <f t="shared" si="10"/>
        <v>1</v>
      </c>
      <c r="AX72" s="111">
        <f t="shared" si="11"/>
        <v>0</v>
      </c>
    </row>
    <row r="73">
      <c r="A73" s="95">
        <v>27.0</v>
      </c>
      <c r="B73" s="47" t="s">
        <v>93</v>
      </c>
      <c r="C73" s="137" t="s">
        <v>94</v>
      </c>
      <c r="D73" s="151" t="s">
        <v>28</v>
      </c>
      <c r="E73" s="96"/>
      <c r="F73" s="96"/>
      <c r="G73" s="82"/>
      <c r="H73" s="96"/>
      <c r="I73" s="96"/>
      <c r="J73" s="96"/>
      <c r="K73" s="96"/>
      <c r="L73" s="96"/>
      <c r="M73" s="43"/>
      <c r="N73" s="45"/>
      <c r="O73" s="45"/>
      <c r="P73" s="45"/>
      <c r="Q73" s="45"/>
      <c r="R73" s="45"/>
      <c r="S73" s="45"/>
      <c r="T73" s="45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110">
        <f t="shared" si="7"/>
        <v>0</v>
      </c>
      <c r="AU73" s="110">
        <f t="shared" si="8"/>
        <v>0</v>
      </c>
      <c r="AV73" s="110">
        <f t="shared" si="9"/>
        <v>1</v>
      </c>
      <c r="AW73" s="110">
        <f t="shared" si="10"/>
        <v>1</v>
      </c>
      <c r="AX73" s="111">
        <f t="shared" si="11"/>
        <v>100</v>
      </c>
    </row>
    <row r="74">
      <c r="A74" s="95">
        <v>28.0</v>
      </c>
      <c r="B74" s="47" t="s">
        <v>289</v>
      </c>
      <c r="C74" s="137" t="s">
        <v>290</v>
      </c>
      <c r="D74" s="151" t="s">
        <v>28</v>
      </c>
      <c r="E74" s="96"/>
      <c r="F74" s="96"/>
      <c r="G74" s="82"/>
      <c r="H74" s="96"/>
      <c r="I74" s="96"/>
      <c r="J74" s="96"/>
      <c r="K74" s="96"/>
      <c r="L74" s="96"/>
      <c r="M74" s="43"/>
      <c r="N74" s="45"/>
      <c r="O74" s="45"/>
      <c r="P74" s="45"/>
      <c r="Q74" s="45"/>
      <c r="R74" s="45"/>
      <c r="S74" s="45"/>
      <c r="T74" s="45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110">
        <f t="shared" si="7"/>
        <v>0</v>
      </c>
      <c r="AU74" s="110">
        <f t="shared" si="8"/>
        <v>0</v>
      </c>
      <c r="AV74" s="110">
        <f t="shared" si="9"/>
        <v>1</v>
      </c>
      <c r="AW74" s="110">
        <f t="shared" si="10"/>
        <v>1</v>
      </c>
      <c r="AX74" s="111">
        <f t="shared" si="11"/>
        <v>100</v>
      </c>
    </row>
    <row r="75">
      <c r="A75" s="95">
        <v>29.0</v>
      </c>
      <c r="B75" s="47" t="s">
        <v>317</v>
      </c>
      <c r="C75" s="137" t="s">
        <v>318</v>
      </c>
      <c r="D75" s="151" t="s">
        <v>28</v>
      </c>
      <c r="E75" s="96"/>
      <c r="F75" s="96"/>
      <c r="G75" s="82"/>
      <c r="H75" s="96"/>
      <c r="I75" s="96"/>
      <c r="J75" s="96"/>
      <c r="K75" s="96"/>
      <c r="L75" s="96"/>
      <c r="M75" s="43"/>
      <c r="N75" s="45"/>
      <c r="O75" s="45"/>
      <c r="P75" s="45"/>
      <c r="Q75" s="45"/>
      <c r="R75" s="45"/>
      <c r="S75" s="45"/>
      <c r="T75" s="45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110">
        <f t="shared" si="7"/>
        <v>0</v>
      </c>
      <c r="AU75" s="110">
        <f t="shared" si="8"/>
        <v>0</v>
      </c>
      <c r="AV75" s="110">
        <f t="shared" si="9"/>
        <v>1</v>
      </c>
      <c r="AW75" s="110">
        <f t="shared" si="10"/>
        <v>1</v>
      </c>
      <c r="AX75" s="111">
        <f t="shared" si="11"/>
        <v>100</v>
      </c>
    </row>
    <row r="76">
      <c r="A76" s="95">
        <v>30.0</v>
      </c>
      <c r="B76" s="47" t="s">
        <v>524</v>
      </c>
      <c r="C76" s="137" t="s">
        <v>278</v>
      </c>
      <c r="D76" s="152" t="s">
        <v>22</v>
      </c>
      <c r="E76" s="96"/>
      <c r="F76" s="96"/>
      <c r="G76" s="82"/>
      <c r="H76" s="96"/>
      <c r="I76" s="96"/>
      <c r="J76" s="96"/>
      <c r="K76" s="96"/>
      <c r="L76" s="96"/>
      <c r="M76" s="43"/>
      <c r="N76" s="45"/>
      <c r="O76" s="45"/>
      <c r="P76" s="45"/>
      <c r="Q76" s="45"/>
      <c r="R76" s="45"/>
      <c r="S76" s="45"/>
      <c r="T76" s="45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110">
        <f t="shared" si="7"/>
        <v>0</v>
      </c>
      <c r="AU76" s="110">
        <f t="shared" si="8"/>
        <v>1</v>
      </c>
      <c r="AV76" s="110">
        <f t="shared" si="9"/>
        <v>0</v>
      </c>
      <c r="AW76" s="110">
        <f t="shared" si="10"/>
        <v>1</v>
      </c>
      <c r="AX76" s="111">
        <f t="shared" si="11"/>
        <v>0</v>
      </c>
    </row>
    <row r="77">
      <c r="A77" s="95">
        <v>31.0</v>
      </c>
      <c r="B77" s="47" t="s">
        <v>313</v>
      </c>
      <c r="C77" s="137" t="s">
        <v>314</v>
      </c>
      <c r="D77" s="151" t="s">
        <v>28</v>
      </c>
      <c r="E77" s="96"/>
      <c r="F77" s="96"/>
      <c r="G77" s="82"/>
      <c r="H77" s="96"/>
      <c r="I77" s="96"/>
      <c r="J77" s="96"/>
      <c r="K77" s="96"/>
      <c r="L77" s="96"/>
      <c r="M77" s="43"/>
      <c r="N77" s="45"/>
      <c r="O77" s="45"/>
      <c r="P77" s="45"/>
      <c r="Q77" s="45"/>
      <c r="R77" s="45"/>
      <c r="S77" s="45"/>
      <c r="T77" s="45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110">
        <f t="shared" si="7"/>
        <v>0</v>
      </c>
      <c r="AU77" s="110">
        <f t="shared" si="8"/>
        <v>0</v>
      </c>
      <c r="AV77" s="110">
        <f t="shared" si="9"/>
        <v>1</v>
      </c>
      <c r="AW77" s="110">
        <f t="shared" si="10"/>
        <v>1</v>
      </c>
      <c r="AX77" s="111">
        <f t="shared" si="11"/>
        <v>100</v>
      </c>
    </row>
    <row r="78">
      <c r="A78" s="95">
        <v>32.0</v>
      </c>
      <c r="B78" s="47" t="s">
        <v>209</v>
      </c>
      <c r="C78" s="137" t="s">
        <v>210</v>
      </c>
      <c r="D78" s="151" t="s">
        <v>28</v>
      </c>
      <c r="E78" s="96"/>
      <c r="F78" s="96"/>
      <c r="G78" s="82"/>
      <c r="H78" s="96"/>
      <c r="I78" s="96"/>
      <c r="J78" s="96"/>
      <c r="K78" s="96"/>
      <c r="L78" s="96"/>
      <c r="M78" s="43"/>
      <c r="N78" s="45"/>
      <c r="O78" s="45"/>
      <c r="P78" s="45"/>
      <c r="Q78" s="45"/>
      <c r="R78" s="45"/>
      <c r="S78" s="45"/>
      <c r="T78" s="45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110">
        <f t="shared" si="7"/>
        <v>0</v>
      </c>
      <c r="AU78" s="110">
        <f t="shared" si="8"/>
        <v>0</v>
      </c>
      <c r="AV78" s="110">
        <f t="shared" si="9"/>
        <v>1</v>
      </c>
      <c r="AW78" s="110">
        <f t="shared" si="10"/>
        <v>1</v>
      </c>
      <c r="AX78" s="111">
        <f t="shared" si="11"/>
        <v>100</v>
      </c>
    </row>
    <row r="79">
      <c r="A79" s="95">
        <v>33.0</v>
      </c>
      <c r="B79" s="47" t="s">
        <v>263</v>
      </c>
      <c r="C79" s="137" t="s">
        <v>264</v>
      </c>
      <c r="D79" s="152" t="s">
        <v>22</v>
      </c>
      <c r="E79" s="96"/>
      <c r="F79" s="96"/>
      <c r="G79" s="82"/>
      <c r="H79" s="96"/>
      <c r="I79" s="96"/>
      <c r="J79" s="96"/>
      <c r="K79" s="96"/>
      <c r="L79" s="96"/>
      <c r="M79" s="43"/>
      <c r="N79" s="45"/>
      <c r="O79" s="45"/>
      <c r="P79" s="45"/>
      <c r="Q79" s="45"/>
      <c r="R79" s="45"/>
      <c r="S79" s="45"/>
      <c r="T79" s="45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110">
        <f t="shared" si="7"/>
        <v>0</v>
      </c>
      <c r="AU79" s="110">
        <f t="shared" si="8"/>
        <v>1</v>
      </c>
      <c r="AV79" s="110">
        <f t="shared" si="9"/>
        <v>0</v>
      </c>
      <c r="AW79" s="110">
        <f t="shared" si="10"/>
        <v>1</v>
      </c>
      <c r="AX79" s="111">
        <f t="shared" si="11"/>
        <v>0</v>
      </c>
    </row>
    <row r="80">
      <c r="A80" s="95">
        <v>34.0</v>
      </c>
      <c r="B80" s="47" t="s">
        <v>275</v>
      </c>
      <c r="C80" s="137" t="s">
        <v>276</v>
      </c>
      <c r="D80" s="151" t="s">
        <v>28</v>
      </c>
      <c r="E80" s="96"/>
      <c r="F80" s="96"/>
      <c r="G80" s="82"/>
      <c r="H80" s="96"/>
      <c r="I80" s="96"/>
      <c r="J80" s="96"/>
      <c r="K80" s="96"/>
      <c r="L80" s="96"/>
      <c r="M80" s="43"/>
      <c r="N80" s="45"/>
      <c r="O80" s="45"/>
      <c r="P80" s="45"/>
      <c r="Q80" s="45"/>
      <c r="R80" s="45"/>
      <c r="S80" s="45"/>
      <c r="T80" s="45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110">
        <f t="shared" si="7"/>
        <v>0</v>
      </c>
      <c r="AU80" s="110">
        <f t="shared" si="8"/>
        <v>0</v>
      </c>
      <c r="AV80" s="110">
        <f t="shared" si="9"/>
        <v>1</v>
      </c>
      <c r="AW80" s="110">
        <f t="shared" si="10"/>
        <v>1</v>
      </c>
      <c r="AX80" s="111">
        <f t="shared" si="11"/>
        <v>100</v>
      </c>
    </row>
    <row r="81">
      <c r="A81" s="95">
        <v>35.0</v>
      </c>
      <c r="B81" s="47" t="s">
        <v>357</v>
      </c>
      <c r="C81" s="137" t="s">
        <v>358</v>
      </c>
      <c r="D81" s="152" t="s">
        <v>22</v>
      </c>
      <c r="E81" s="96"/>
      <c r="F81" s="96"/>
      <c r="G81" s="82"/>
      <c r="H81" s="96"/>
      <c r="I81" s="96"/>
      <c r="J81" s="96"/>
      <c r="K81" s="96"/>
      <c r="L81" s="96"/>
      <c r="M81" s="43"/>
      <c r="N81" s="45"/>
      <c r="O81" s="45"/>
      <c r="P81" s="45"/>
      <c r="Q81" s="45"/>
      <c r="R81" s="45"/>
      <c r="S81" s="45"/>
      <c r="T81" s="45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110">
        <f t="shared" si="7"/>
        <v>0</v>
      </c>
      <c r="AU81" s="110">
        <f t="shared" si="8"/>
        <v>1</v>
      </c>
      <c r="AV81" s="110">
        <f t="shared" si="9"/>
        <v>0</v>
      </c>
      <c r="AW81" s="110">
        <f t="shared" si="10"/>
        <v>1</v>
      </c>
      <c r="AX81" s="111">
        <f t="shared" si="11"/>
        <v>0</v>
      </c>
    </row>
    <row r="82">
      <c r="A82" s="95">
        <v>36.0</v>
      </c>
      <c r="B82" s="47" t="s">
        <v>75</v>
      </c>
      <c r="C82" s="137" t="s">
        <v>76</v>
      </c>
      <c r="D82" s="151" t="s">
        <v>28</v>
      </c>
      <c r="E82" s="96"/>
      <c r="F82" s="96"/>
      <c r="G82" s="82"/>
      <c r="H82" s="96"/>
      <c r="I82" s="96"/>
      <c r="J82" s="96"/>
      <c r="K82" s="96"/>
      <c r="L82" s="96"/>
      <c r="M82" s="43"/>
      <c r="N82" s="45"/>
      <c r="O82" s="45"/>
      <c r="P82" s="45"/>
      <c r="Q82" s="45"/>
      <c r="R82" s="45"/>
      <c r="S82" s="45"/>
      <c r="T82" s="45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110">
        <f t="shared" si="7"/>
        <v>0</v>
      </c>
      <c r="AU82" s="110">
        <f t="shared" si="8"/>
        <v>0</v>
      </c>
      <c r="AV82" s="110">
        <f t="shared" si="9"/>
        <v>1</v>
      </c>
      <c r="AW82" s="110">
        <f t="shared" si="10"/>
        <v>1</v>
      </c>
      <c r="AX82" s="111">
        <f t="shared" si="11"/>
        <v>100</v>
      </c>
    </row>
    <row r="83">
      <c r="A83" s="95">
        <v>37.0</v>
      </c>
      <c r="B83" s="47" t="s">
        <v>149</v>
      </c>
      <c r="C83" s="137" t="s">
        <v>150</v>
      </c>
      <c r="D83" s="151" t="s">
        <v>28</v>
      </c>
      <c r="E83" s="96"/>
      <c r="F83" s="96"/>
      <c r="G83" s="82"/>
      <c r="H83" s="96"/>
      <c r="I83" s="96"/>
      <c r="J83" s="96"/>
      <c r="K83" s="96"/>
      <c r="L83" s="96"/>
      <c r="M83" s="43"/>
      <c r="N83" s="45"/>
      <c r="O83" s="45"/>
      <c r="P83" s="45"/>
      <c r="Q83" s="45"/>
      <c r="R83" s="45"/>
      <c r="S83" s="45"/>
      <c r="T83" s="45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110">
        <f t="shared" si="7"/>
        <v>0</v>
      </c>
      <c r="AU83" s="110">
        <f t="shared" si="8"/>
        <v>0</v>
      </c>
      <c r="AV83" s="110">
        <f t="shared" si="9"/>
        <v>1</v>
      </c>
      <c r="AW83" s="110">
        <f t="shared" si="10"/>
        <v>1</v>
      </c>
      <c r="AX83" s="111">
        <f t="shared" si="11"/>
        <v>100</v>
      </c>
    </row>
    <row r="84">
      <c r="A84" s="95">
        <v>38.0</v>
      </c>
      <c r="B84" s="47" t="s">
        <v>221</v>
      </c>
      <c r="C84" s="137" t="s">
        <v>222</v>
      </c>
      <c r="D84" s="151" t="s">
        <v>28</v>
      </c>
      <c r="E84" s="96"/>
      <c r="F84" s="96"/>
      <c r="G84" s="82"/>
      <c r="H84" s="96"/>
      <c r="I84" s="96"/>
      <c r="J84" s="96"/>
      <c r="K84" s="96"/>
      <c r="L84" s="96"/>
      <c r="M84" s="43"/>
      <c r="N84" s="45"/>
      <c r="O84" s="45"/>
      <c r="P84" s="45"/>
      <c r="Q84" s="45"/>
      <c r="R84" s="45"/>
      <c r="S84" s="45"/>
      <c r="T84" s="45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110">
        <f t="shared" si="7"/>
        <v>0</v>
      </c>
      <c r="AU84" s="110">
        <f t="shared" si="8"/>
        <v>0</v>
      </c>
      <c r="AV84" s="110">
        <f t="shared" si="9"/>
        <v>1</v>
      </c>
      <c r="AW84" s="110">
        <f t="shared" si="10"/>
        <v>1</v>
      </c>
      <c r="AX84" s="111">
        <f t="shared" si="11"/>
        <v>100</v>
      </c>
    </row>
    <row r="85">
      <c r="A85" s="95">
        <v>39.0</v>
      </c>
      <c r="B85" s="47" t="s">
        <v>207</v>
      </c>
      <c r="C85" s="137" t="s">
        <v>208</v>
      </c>
      <c r="D85" s="151" t="s">
        <v>28</v>
      </c>
      <c r="E85" s="96"/>
      <c r="F85" s="96"/>
      <c r="G85" s="82"/>
      <c r="H85" s="96"/>
      <c r="I85" s="96"/>
      <c r="J85" s="96"/>
      <c r="K85" s="96"/>
      <c r="L85" s="96"/>
      <c r="M85" s="43"/>
      <c r="N85" s="45"/>
      <c r="O85" s="45"/>
      <c r="P85" s="45"/>
      <c r="Q85" s="45"/>
      <c r="R85" s="45"/>
      <c r="S85" s="45"/>
      <c r="T85" s="45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110">
        <f t="shared" si="7"/>
        <v>0</v>
      </c>
      <c r="AU85" s="110">
        <f t="shared" si="8"/>
        <v>0</v>
      </c>
      <c r="AV85" s="110">
        <f t="shared" si="9"/>
        <v>1</v>
      </c>
      <c r="AW85" s="110">
        <f t="shared" si="10"/>
        <v>1</v>
      </c>
      <c r="AX85" s="111">
        <f t="shared" si="11"/>
        <v>100</v>
      </c>
    </row>
    <row r="86">
      <c r="A86" s="95">
        <v>40.0</v>
      </c>
      <c r="B86" s="47" t="s">
        <v>235</v>
      </c>
      <c r="C86" s="137" t="s">
        <v>236</v>
      </c>
      <c r="D86" s="151" t="s">
        <v>28</v>
      </c>
      <c r="E86" s="96"/>
      <c r="F86" s="96"/>
      <c r="G86" s="82"/>
      <c r="H86" s="96"/>
      <c r="I86" s="96"/>
      <c r="J86" s="96"/>
      <c r="K86" s="96"/>
      <c r="L86" s="96"/>
      <c r="M86" s="43"/>
      <c r="N86" s="45"/>
      <c r="O86" s="45"/>
      <c r="P86" s="45"/>
      <c r="Q86" s="45"/>
      <c r="R86" s="45"/>
      <c r="S86" s="45"/>
      <c r="T86" s="45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110">
        <f t="shared" si="7"/>
        <v>0</v>
      </c>
      <c r="AU86" s="110">
        <f t="shared" si="8"/>
        <v>0</v>
      </c>
      <c r="AV86" s="110">
        <f t="shared" si="9"/>
        <v>1</v>
      </c>
      <c r="AW86" s="110">
        <f t="shared" si="10"/>
        <v>1</v>
      </c>
      <c r="AX86" s="111">
        <f t="shared" si="11"/>
        <v>100</v>
      </c>
    </row>
    <row r="87">
      <c r="A87" s="95">
        <v>41.0</v>
      </c>
      <c r="B87" s="47" t="s">
        <v>153</v>
      </c>
      <c r="C87" s="137" t="s">
        <v>154</v>
      </c>
      <c r="D87" s="151" t="s">
        <v>28</v>
      </c>
      <c r="E87" s="96"/>
      <c r="F87" s="96"/>
      <c r="G87" s="82"/>
      <c r="H87" s="96"/>
      <c r="I87" s="96"/>
      <c r="J87" s="96"/>
      <c r="K87" s="96"/>
      <c r="L87" s="96"/>
      <c r="M87" s="43"/>
      <c r="N87" s="45"/>
      <c r="O87" s="45"/>
      <c r="P87" s="45"/>
      <c r="Q87" s="45"/>
      <c r="R87" s="45"/>
      <c r="S87" s="45"/>
      <c r="T87" s="45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110">
        <f t="shared" si="7"/>
        <v>0</v>
      </c>
      <c r="AU87" s="110">
        <f t="shared" si="8"/>
        <v>0</v>
      </c>
      <c r="AV87" s="110">
        <f t="shared" si="9"/>
        <v>1</v>
      </c>
      <c r="AW87" s="110">
        <f t="shared" si="10"/>
        <v>1</v>
      </c>
      <c r="AX87" s="111">
        <f t="shared" si="11"/>
        <v>100</v>
      </c>
    </row>
    <row r="88">
      <c r="A88" s="95">
        <v>42.0</v>
      </c>
      <c r="B88" s="47" t="s">
        <v>61</v>
      </c>
      <c r="C88" s="137" t="s">
        <v>62</v>
      </c>
      <c r="D88" s="151" t="s">
        <v>28</v>
      </c>
      <c r="E88" s="96"/>
      <c r="F88" s="96"/>
      <c r="G88" s="82"/>
      <c r="H88" s="96"/>
      <c r="I88" s="82"/>
      <c r="J88" s="82"/>
      <c r="K88" s="96"/>
      <c r="L88" s="96"/>
      <c r="M88" s="43"/>
      <c r="N88" s="45"/>
      <c r="O88" s="45"/>
      <c r="P88" s="45"/>
      <c r="Q88" s="45"/>
      <c r="R88" s="45"/>
      <c r="S88" s="45"/>
      <c r="T88" s="45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110">
        <f t="shared" si="7"/>
        <v>0</v>
      </c>
      <c r="AU88" s="110">
        <f t="shared" si="8"/>
        <v>0</v>
      </c>
      <c r="AV88" s="110">
        <f t="shared" si="9"/>
        <v>1</v>
      </c>
      <c r="AW88" s="110">
        <f t="shared" si="10"/>
        <v>1</v>
      </c>
      <c r="AX88" s="111">
        <f t="shared" si="11"/>
        <v>100</v>
      </c>
    </row>
    <row r="89">
      <c r="A89" s="95">
        <v>43.0</v>
      </c>
      <c r="B89" s="47" t="s">
        <v>155</v>
      </c>
      <c r="C89" s="137" t="s">
        <v>156</v>
      </c>
      <c r="D89" s="152" t="s">
        <v>22</v>
      </c>
      <c r="E89" s="96"/>
      <c r="F89" s="96"/>
      <c r="G89" s="96"/>
      <c r="H89" s="96"/>
      <c r="I89" s="96"/>
      <c r="J89" s="96"/>
      <c r="K89" s="96"/>
      <c r="L89" s="96"/>
      <c r="M89" s="43"/>
      <c r="N89" s="45"/>
      <c r="O89" s="45"/>
      <c r="P89" s="45"/>
      <c r="Q89" s="45"/>
      <c r="R89" s="45"/>
      <c r="S89" s="45"/>
      <c r="T89" s="45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110">
        <f t="shared" si="7"/>
        <v>0</v>
      </c>
      <c r="AU89" s="110">
        <f t="shared" si="8"/>
        <v>1</v>
      </c>
      <c r="AV89" s="110">
        <f t="shared" si="9"/>
        <v>0</v>
      </c>
      <c r="AW89" s="110">
        <f t="shared" si="10"/>
        <v>1</v>
      </c>
      <c r="AX89" s="111">
        <f t="shared" si="11"/>
        <v>0</v>
      </c>
    </row>
    <row r="90">
      <c r="A90" s="95">
        <v>44.0</v>
      </c>
      <c r="B90" s="47" t="s">
        <v>109</v>
      </c>
      <c r="C90" s="137" t="s">
        <v>110</v>
      </c>
      <c r="D90" s="152" t="s">
        <v>22</v>
      </c>
      <c r="E90" s="96"/>
      <c r="F90" s="96"/>
      <c r="G90" s="96"/>
      <c r="H90" s="96"/>
      <c r="I90" s="96"/>
      <c r="J90" s="96"/>
      <c r="K90" s="96"/>
      <c r="L90" s="96"/>
      <c r="M90" s="71"/>
      <c r="N90" s="45"/>
      <c r="O90" s="45"/>
      <c r="P90" s="45"/>
      <c r="Q90" s="45"/>
      <c r="R90" s="45"/>
      <c r="S90" s="45"/>
      <c r="T90" s="45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110">
        <f t="shared" si="7"/>
        <v>0</v>
      </c>
      <c r="AU90" s="110">
        <f t="shared" si="8"/>
        <v>1</v>
      </c>
      <c r="AV90" s="110">
        <f t="shared" si="9"/>
        <v>0</v>
      </c>
      <c r="AW90" s="110">
        <f t="shared" si="10"/>
        <v>1</v>
      </c>
      <c r="AX90" s="111">
        <f t="shared" si="11"/>
        <v>0</v>
      </c>
    </row>
    <row r="91">
      <c r="A91" s="95">
        <v>45.0</v>
      </c>
      <c r="B91" s="47" t="s">
        <v>259</v>
      </c>
      <c r="C91" s="137" t="s">
        <v>260</v>
      </c>
      <c r="D91" s="151" t="s">
        <v>28</v>
      </c>
      <c r="E91" s="96"/>
      <c r="F91" s="96"/>
      <c r="G91" s="96"/>
      <c r="H91" s="96"/>
      <c r="I91" s="96"/>
      <c r="J91" s="96"/>
      <c r="K91" s="96"/>
      <c r="L91" s="96"/>
      <c r="M91" s="43"/>
      <c r="N91" s="45"/>
      <c r="O91" s="45"/>
      <c r="P91" s="45"/>
      <c r="Q91" s="45"/>
      <c r="R91" s="45"/>
      <c r="S91" s="45"/>
      <c r="T91" s="45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110">
        <f t="shared" si="7"/>
        <v>0</v>
      </c>
      <c r="AU91" s="110">
        <f t="shared" si="8"/>
        <v>0</v>
      </c>
      <c r="AV91" s="110">
        <f t="shared" si="9"/>
        <v>1</v>
      </c>
      <c r="AW91" s="110">
        <f t="shared" si="10"/>
        <v>1</v>
      </c>
      <c r="AX91" s="111">
        <f t="shared" si="11"/>
        <v>100</v>
      </c>
    </row>
    <row r="92">
      <c r="A92" s="95">
        <v>46.0</v>
      </c>
      <c r="B92" s="47" t="s">
        <v>293</v>
      </c>
      <c r="C92" s="137" t="s">
        <v>294</v>
      </c>
      <c r="D92" s="152" t="s">
        <v>22</v>
      </c>
      <c r="E92" s="96"/>
      <c r="F92" s="96"/>
      <c r="G92" s="82"/>
      <c r="H92" s="96"/>
      <c r="I92" s="96"/>
      <c r="J92" s="96"/>
      <c r="K92" s="96"/>
      <c r="L92" s="96"/>
      <c r="M92" s="45"/>
      <c r="N92" s="45"/>
      <c r="O92" s="45"/>
      <c r="P92" s="45"/>
      <c r="Q92" s="45"/>
      <c r="R92" s="45"/>
      <c r="S92" s="45"/>
      <c r="T92" s="45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110">
        <f t="shared" si="7"/>
        <v>0</v>
      </c>
      <c r="AU92" s="110">
        <f t="shared" si="8"/>
        <v>1</v>
      </c>
      <c r="AV92" s="110">
        <f t="shared" si="9"/>
        <v>0</v>
      </c>
      <c r="AW92" s="110">
        <f t="shared" si="10"/>
        <v>1</v>
      </c>
      <c r="AX92" s="111">
        <f t="shared" si="11"/>
        <v>0</v>
      </c>
    </row>
    <row r="93">
      <c r="A93" s="95">
        <v>47.0</v>
      </c>
      <c r="B93" s="47" t="s">
        <v>309</v>
      </c>
      <c r="C93" s="137" t="s">
        <v>310</v>
      </c>
      <c r="D93" s="151" t="s">
        <v>28</v>
      </c>
      <c r="E93" s="96"/>
      <c r="F93" s="96"/>
      <c r="G93" s="82"/>
      <c r="H93" s="96"/>
      <c r="I93" s="82"/>
      <c r="J93" s="96"/>
      <c r="K93" s="96"/>
      <c r="L93" s="96"/>
      <c r="M93" s="45"/>
      <c r="N93" s="45"/>
      <c r="O93" s="45"/>
      <c r="P93" s="45"/>
      <c r="Q93" s="45"/>
      <c r="R93" s="45"/>
      <c r="S93" s="45"/>
      <c r="T93" s="45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110">
        <f t="shared" si="7"/>
        <v>0</v>
      </c>
      <c r="AU93" s="110">
        <f t="shared" si="8"/>
        <v>0</v>
      </c>
      <c r="AV93" s="110">
        <f t="shared" si="9"/>
        <v>1</v>
      </c>
      <c r="AW93" s="110">
        <f t="shared" si="10"/>
        <v>1</v>
      </c>
      <c r="AX93" s="111">
        <f t="shared" si="11"/>
        <v>100</v>
      </c>
    </row>
    <row r="94">
      <c r="A94" s="95">
        <v>48.0</v>
      </c>
      <c r="B94" s="47" t="s">
        <v>315</v>
      </c>
      <c r="C94" s="137" t="s">
        <v>316</v>
      </c>
      <c r="D94" s="151" t="s">
        <v>28</v>
      </c>
      <c r="E94" s="96"/>
      <c r="F94" s="96"/>
      <c r="G94" s="96"/>
      <c r="H94" s="96"/>
      <c r="I94" s="96"/>
      <c r="J94" s="96"/>
      <c r="K94" s="96"/>
      <c r="L94" s="96"/>
      <c r="M94" s="43"/>
      <c r="N94" s="45"/>
      <c r="O94" s="45"/>
      <c r="P94" s="45"/>
      <c r="Q94" s="45"/>
      <c r="R94" s="45"/>
      <c r="S94" s="45"/>
      <c r="T94" s="45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110">
        <f t="shared" si="7"/>
        <v>0</v>
      </c>
      <c r="AU94" s="110">
        <f t="shared" si="8"/>
        <v>0</v>
      </c>
      <c r="AV94" s="110">
        <f t="shared" si="9"/>
        <v>1</v>
      </c>
      <c r="AW94" s="110">
        <f t="shared" si="10"/>
        <v>1</v>
      </c>
      <c r="AX94" s="111">
        <f t="shared" si="11"/>
        <v>100</v>
      </c>
    </row>
    <row r="95">
      <c r="A95" s="95">
        <v>49.0</v>
      </c>
      <c r="B95" s="47" t="s">
        <v>253</v>
      </c>
      <c r="C95" s="137" t="s">
        <v>254</v>
      </c>
      <c r="D95" s="151" t="s">
        <v>28</v>
      </c>
      <c r="E95" s="96"/>
      <c r="F95" s="96"/>
      <c r="G95" s="96"/>
      <c r="H95" s="96"/>
      <c r="I95" s="96"/>
      <c r="J95" s="96"/>
      <c r="K95" s="96"/>
      <c r="L95" s="96"/>
      <c r="M95" s="43"/>
      <c r="N95" s="45"/>
      <c r="O95" s="45"/>
      <c r="P95" s="45"/>
      <c r="Q95" s="45"/>
      <c r="R95" s="45"/>
      <c r="S95" s="45"/>
      <c r="T95" s="45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110">
        <f t="shared" si="7"/>
        <v>0</v>
      </c>
      <c r="AU95" s="110">
        <f t="shared" si="8"/>
        <v>0</v>
      </c>
      <c r="AV95" s="110">
        <f t="shared" si="9"/>
        <v>1</v>
      </c>
      <c r="AW95" s="110">
        <f t="shared" si="10"/>
        <v>1</v>
      </c>
      <c r="AX95" s="111">
        <f t="shared" si="11"/>
        <v>100</v>
      </c>
    </row>
    <row r="96">
      <c r="A96" s="95">
        <v>50.0</v>
      </c>
      <c r="B96" s="47" t="s">
        <v>281</v>
      </c>
      <c r="C96" s="137" t="s">
        <v>282</v>
      </c>
      <c r="D96" s="151" t="s">
        <v>28</v>
      </c>
      <c r="E96" s="96"/>
      <c r="F96" s="82"/>
      <c r="G96" s="96"/>
      <c r="H96" s="96"/>
      <c r="I96" s="96"/>
      <c r="J96" s="96"/>
      <c r="K96" s="96"/>
      <c r="L96" s="96"/>
      <c r="M96" s="43"/>
      <c r="N96" s="45"/>
      <c r="O96" s="45"/>
      <c r="P96" s="45"/>
      <c r="Q96" s="45"/>
      <c r="R96" s="45"/>
      <c r="S96" s="45"/>
      <c r="T96" s="45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110">
        <f t="shared" si="7"/>
        <v>0</v>
      </c>
      <c r="AU96" s="110">
        <f t="shared" si="8"/>
        <v>0</v>
      </c>
      <c r="AV96" s="110">
        <f t="shared" si="9"/>
        <v>1</v>
      </c>
      <c r="AW96" s="110">
        <f t="shared" si="10"/>
        <v>1</v>
      </c>
      <c r="AX96" s="111">
        <f t="shared" si="11"/>
        <v>100</v>
      </c>
    </row>
    <row r="97">
      <c r="A97" s="95">
        <v>51.0</v>
      </c>
      <c r="B97" s="47" t="s">
        <v>125</v>
      </c>
      <c r="C97" s="137" t="s">
        <v>126</v>
      </c>
      <c r="D97" s="151" t="s">
        <v>28</v>
      </c>
      <c r="E97" s="96"/>
      <c r="F97" s="96"/>
      <c r="G97" s="96"/>
      <c r="H97" s="96"/>
      <c r="I97" s="96"/>
      <c r="J97" s="96"/>
      <c r="K97" s="96"/>
      <c r="L97" s="82"/>
      <c r="M97" s="43"/>
      <c r="N97" s="45"/>
      <c r="O97" s="45"/>
      <c r="P97" s="45"/>
      <c r="Q97" s="45"/>
      <c r="R97" s="45"/>
      <c r="S97" s="45"/>
      <c r="T97" s="45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110">
        <f t="shared" si="7"/>
        <v>0</v>
      </c>
      <c r="AU97" s="110">
        <f t="shared" si="8"/>
        <v>0</v>
      </c>
      <c r="AV97" s="110">
        <f t="shared" si="9"/>
        <v>1</v>
      </c>
      <c r="AW97" s="110">
        <f t="shared" si="10"/>
        <v>1</v>
      </c>
      <c r="AX97" s="111">
        <f t="shared" si="11"/>
        <v>100</v>
      </c>
    </row>
    <row r="98">
      <c r="A98" s="95">
        <v>52.0</v>
      </c>
      <c r="B98" s="47" t="s">
        <v>41</v>
      </c>
      <c r="C98" s="137" t="s">
        <v>42</v>
      </c>
      <c r="D98" s="151" t="s">
        <v>28</v>
      </c>
      <c r="E98" s="96"/>
      <c r="F98" s="96"/>
      <c r="G98" s="82"/>
      <c r="H98" s="96"/>
      <c r="I98" s="96"/>
      <c r="J98" s="82"/>
      <c r="K98" s="96"/>
      <c r="L98" s="96"/>
      <c r="M98" s="43"/>
      <c r="N98" s="45"/>
      <c r="O98" s="45"/>
      <c r="P98" s="45"/>
      <c r="Q98" s="45"/>
      <c r="R98" s="45"/>
      <c r="S98" s="45"/>
      <c r="T98" s="45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110">
        <f t="shared" si="7"/>
        <v>0</v>
      </c>
      <c r="AU98" s="110">
        <f t="shared" si="8"/>
        <v>0</v>
      </c>
      <c r="AV98" s="110">
        <f t="shared" si="9"/>
        <v>1</v>
      </c>
      <c r="AW98" s="110">
        <f t="shared" si="10"/>
        <v>1</v>
      </c>
      <c r="AX98" s="111">
        <f t="shared" si="11"/>
        <v>100</v>
      </c>
    </row>
    <row r="99">
      <c r="A99" s="95">
        <v>53.0</v>
      </c>
      <c r="B99" s="47" t="s">
        <v>51</v>
      </c>
      <c r="C99" s="137" t="s">
        <v>52</v>
      </c>
      <c r="D99" s="151" t="s">
        <v>28</v>
      </c>
      <c r="E99" s="96"/>
      <c r="F99" s="96"/>
      <c r="G99" s="96"/>
      <c r="H99" s="96"/>
      <c r="I99" s="96"/>
      <c r="J99" s="96"/>
      <c r="K99" s="96"/>
      <c r="L99" s="82"/>
      <c r="M99" s="51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110">
        <f t="shared" si="7"/>
        <v>0</v>
      </c>
      <c r="AU99" s="110">
        <f t="shared" si="8"/>
        <v>0</v>
      </c>
      <c r="AV99" s="110">
        <f t="shared" si="9"/>
        <v>1</v>
      </c>
      <c r="AW99" s="110">
        <f t="shared" si="10"/>
        <v>1</v>
      </c>
      <c r="AX99" s="111">
        <f t="shared" si="11"/>
        <v>100</v>
      </c>
    </row>
    <row r="100">
      <c r="A100" s="95">
        <v>54.0</v>
      </c>
      <c r="B100" s="47" t="s">
        <v>311</v>
      </c>
      <c r="C100" s="137" t="s">
        <v>312</v>
      </c>
      <c r="D100" s="151" t="s">
        <v>28</v>
      </c>
      <c r="E100" s="82"/>
      <c r="F100" s="96"/>
      <c r="G100" s="96"/>
      <c r="H100" s="96"/>
      <c r="I100" s="96"/>
      <c r="J100" s="96"/>
      <c r="K100" s="96"/>
      <c r="L100" s="96"/>
      <c r="M100" s="51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110">
        <f t="shared" si="7"/>
        <v>0</v>
      </c>
      <c r="AU100" s="110">
        <f t="shared" si="8"/>
        <v>0</v>
      </c>
      <c r="AV100" s="110">
        <f t="shared" si="9"/>
        <v>1</v>
      </c>
      <c r="AW100" s="110">
        <f t="shared" si="10"/>
        <v>1</v>
      </c>
      <c r="AX100" s="111">
        <f t="shared" si="11"/>
        <v>100</v>
      </c>
    </row>
    <row r="101">
      <c r="A101" s="95">
        <v>55.0</v>
      </c>
      <c r="B101" s="47" t="s">
        <v>161</v>
      </c>
      <c r="C101" s="137" t="s">
        <v>162</v>
      </c>
      <c r="D101" s="151" t="s">
        <v>28</v>
      </c>
      <c r="E101" s="96"/>
      <c r="F101" s="96"/>
      <c r="G101" s="96"/>
      <c r="H101" s="96"/>
      <c r="I101" s="96"/>
      <c r="J101" s="96"/>
      <c r="K101" s="96"/>
      <c r="L101" s="96"/>
      <c r="M101" s="51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110">
        <f t="shared" si="7"/>
        <v>0</v>
      </c>
      <c r="AU101" s="110">
        <f t="shared" si="8"/>
        <v>0</v>
      </c>
      <c r="AV101" s="110">
        <f t="shared" si="9"/>
        <v>1</v>
      </c>
      <c r="AW101" s="110">
        <f t="shared" si="10"/>
        <v>1</v>
      </c>
      <c r="AX101" s="111">
        <f t="shared" si="11"/>
        <v>100</v>
      </c>
    </row>
    <row r="102">
      <c r="A102" s="55"/>
      <c r="B102" s="55"/>
      <c r="C102" s="56" t="s">
        <v>191</v>
      </c>
      <c r="D102" s="57">
        <f t="shared" ref="D102:AS102" si="12">COUNTIF(D5:D101,"P")+COUNTIF(D5:D101,"L")</f>
        <v>67</v>
      </c>
      <c r="E102" s="57">
        <f t="shared" si="12"/>
        <v>26</v>
      </c>
      <c r="F102" s="57">
        <f t="shared" si="12"/>
        <v>0</v>
      </c>
      <c r="G102" s="57">
        <f t="shared" si="12"/>
        <v>0</v>
      </c>
      <c r="H102" s="57">
        <f t="shared" si="12"/>
        <v>0</v>
      </c>
      <c r="I102" s="57">
        <f t="shared" si="12"/>
        <v>0</v>
      </c>
      <c r="J102" s="57">
        <f t="shared" si="12"/>
        <v>0</v>
      </c>
      <c r="K102" s="57">
        <f t="shared" si="12"/>
        <v>0</v>
      </c>
      <c r="L102" s="57">
        <f t="shared" si="12"/>
        <v>0</v>
      </c>
      <c r="M102" s="57">
        <f t="shared" si="12"/>
        <v>0</v>
      </c>
      <c r="N102" s="57">
        <f t="shared" si="12"/>
        <v>0</v>
      </c>
      <c r="O102" s="57">
        <f t="shared" si="12"/>
        <v>0</v>
      </c>
      <c r="P102" s="57">
        <f t="shared" si="12"/>
        <v>0</v>
      </c>
      <c r="Q102" s="57">
        <f t="shared" si="12"/>
        <v>0</v>
      </c>
      <c r="R102" s="57">
        <f t="shared" si="12"/>
        <v>0</v>
      </c>
      <c r="S102" s="57">
        <f t="shared" si="12"/>
        <v>0</v>
      </c>
      <c r="T102" s="57">
        <f t="shared" si="12"/>
        <v>0</v>
      </c>
      <c r="U102" s="57">
        <f t="shared" si="12"/>
        <v>0</v>
      </c>
      <c r="V102" s="57">
        <f t="shared" si="12"/>
        <v>0</v>
      </c>
      <c r="W102" s="57">
        <f t="shared" si="12"/>
        <v>0</v>
      </c>
      <c r="X102" s="57">
        <f t="shared" si="12"/>
        <v>0</v>
      </c>
      <c r="Y102" s="57">
        <f t="shared" si="12"/>
        <v>0</v>
      </c>
      <c r="Z102" s="57">
        <f t="shared" si="12"/>
        <v>0</v>
      </c>
      <c r="AA102" s="57">
        <f t="shared" si="12"/>
        <v>0</v>
      </c>
      <c r="AB102" s="57">
        <f t="shared" si="12"/>
        <v>0</v>
      </c>
      <c r="AC102" s="57">
        <f t="shared" si="12"/>
        <v>0</v>
      </c>
      <c r="AD102" s="57">
        <f t="shared" si="12"/>
        <v>0</v>
      </c>
      <c r="AE102" s="57">
        <f t="shared" si="12"/>
        <v>0</v>
      </c>
      <c r="AF102" s="57">
        <f t="shared" si="12"/>
        <v>0</v>
      </c>
      <c r="AG102" s="57">
        <f t="shared" si="12"/>
        <v>0</v>
      </c>
      <c r="AH102" s="57">
        <f t="shared" si="12"/>
        <v>0</v>
      </c>
      <c r="AI102" s="57">
        <f t="shared" si="12"/>
        <v>0</v>
      </c>
      <c r="AJ102" s="57">
        <f t="shared" si="12"/>
        <v>0</v>
      </c>
      <c r="AK102" s="57">
        <f t="shared" si="12"/>
        <v>0</v>
      </c>
      <c r="AL102" s="57">
        <f t="shared" si="12"/>
        <v>0</v>
      </c>
      <c r="AM102" s="57">
        <f t="shared" si="12"/>
        <v>0</v>
      </c>
      <c r="AN102" s="57">
        <f t="shared" si="12"/>
        <v>0</v>
      </c>
      <c r="AO102" s="57">
        <f t="shared" si="12"/>
        <v>0</v>
      </c>
      <c r="AP102" s="57">
        <f t="shared" si="12"/>
        <v>0</v>
      </c>
      <c r="AQ102" s="57">
        <f t="shared" si="12"/>
        <v>0</v>
      </c>
      <c r="AR102" s="57">
        <f t="shared" si="12"/>
        <v>0</v>
      </c>
      <c r="AS102" s="57">
        <f t="shared" si="12"/>
        <v>0</v>
      </c>
      <c r="AT102" s="32"/>
      <c r="AU102" s="32"/>
      <c r="AV102" s="32"/>
      <c r="AW102" s="32"/>
      <c r="AX102" s="33"/>
    </row>
    <row r="103">
      <c r="A103" s="83"/>
      <c r="B103" s="55"/>
      <c r="C103" s="59" t="s">
        <v>192</v>
      </c>
      <c r="D103" s="114">
        <v>56.0</v>
      </c>
      <c r="E103" s="114">
        <v>56.0</v>
      </c>
      <c r="F103" s="114">
        <v>56.0</v>
      </c>
      <c r="G103" s="114">
        <v>56.0</v>
      </c>
      <c r="H103" s="114">
        <v>56.0</v>
      </c>
      <c r="I103" s="114">
        <v>56.0</v>
      </c>
      <c r="J103" s="114">
        <v>56.0</v>
      </c>
      <c r="K103" s="114">
        <v>56.0</v>
      </c>
      <c r="L103" s="114">
        <v>56.0</v>
      </c>
      <c r="M103" s="114">
        <v>56.0</v>
      </c>
      <c r="N103" s="114">
        <v>56.0</v>
      </c>
      <c r="O103" s="114">
        <v>56.0</v>
      </c>
      <c r="P103" s="114">
        <v>56.0</v>
      </c>
      <c r="Q103" s="114">
        <v>56.0</v>
      </c>
      <c r="R103" s="114">
        <v>56.0</v>
      </c>
      <c r="S103" s="114">
        <v>56.0</v>
      </c>
      <c r="T103" s="114">
        <v>56.0</v>
      </c>
      <c r="U103" s="114">
        <v>56.0</v>
      </c>
      <c r="V103" s="114">
        <v>56.0</v>
      </c>
      <c r="W103" s="114">
        <v>56.0</v>
      </c>
      <c r="X103" s="114">
        <v>56.0</v>
      </c>
      <c r="Y103" s="114">
        <v>56.0</v>
      </c>
      <c r="Z103" s="114">
        <v>56.0</v>
      </c>
      <c r="AA103" s="114">
        <v>56.0</v>
      </c>
      <c r="AB103" s="114">
        <v>56.0</v>
      </c>
      <c r="AC103" s="114">
        <v>56.0</v>
      </c>
      <c r="AD103" s="114">
        <v>56.0</v>
      </c>
      <c r="AE103" s="114">
        <v>56.0</v>
      </c>
      <c r="AF103" s="114">
        <v>56.0</v>
      </c>
      <c r="AG103" s="114">
        <v>56.0</v>
      </c>
      <c r="AH103" s="114">
        <v>56.0</v>
      </c>
      <c r="AI103" s="114">
        <v>56.0</v>
      </c>
      <c r="AJ103" s="114">
        <v>56.0</v>
      </c>
      <c r="AK103" s="114">
        <v>56.0</v>
      </c>
      <c r="AL103" s="114">
        <v>56.0</v>
      </c>
      <c r="AM103" s="114">
        <v>56.0</v>
      </c>
      <c r="AN103" s="114">
        <v>56.0</v>
      </c>
      <c r="AO103" s="114">
        <v>56.0</v>
      </c>
      <c r="AP103" s="114">
        <v>56.0</v>
      </c>
      <c r="AQ103" s="114">
        <v>56.0</v>
      </c>
      <c r="AR103" s="114">
        <v>56.0</v>
      </c>
      <c r="AS103" s="114">
        <v>56.0</v>
      </c>
      <c r="AT103" s="34"/>
      <c r="AU103" s="34"/>
      <c r="AV103" s="34"/>
      <c r="AW103" s="34"/>
      <c r="AX103" s="61"/>
    </row>
    <row r="104">
      <c r="A104" s="64"/>
      <c r="B104" s="64"/>
      <c r="C104" s="64"/>
      <c r="D104" s="130"/>
      <c r="E104" s="130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</row>
    <row r="105">
      <c r="A105" s="64"/>
      <c r="B105" s="64"/>
      <c r="C105" s="64"/>
      <c r="D105" s="130"/>
      <c r="E105" s="130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</row>
    <row r="106">
      <c r="A106" s="64"/>
      <c r="B106" s="64"/>
      <c r="C106" s="64"/>
      <c r="D106" s="130"/>
      <c r="E106" s="130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</row>
    <row r="107">
      <c r="A107" s="64"/>
      <c r="B107" s="64"/>
      <c r="C107" s="64"/>
      <c r="D107" s="130"/>
      <c r="E107" s="130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</row>
    <row r="108">
      <c r="A108" s="136" t="s">
        <v>536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3"/>
    </row>
    <row r="109" ht="62.25" customHeight="1">
      <c r="A109" s="4"/>
      <c r="B109" s="5"/>
      <c r="C109" s="6"/>
      <c r="D109" s="79" t="s">
        <v>526</v>
      </c>
      <c r="E109" s="79" t="s">
        <v>526</v>
      </c>
      <c r="F109" s="65"/>
      <c r="G109" s="65"/>
      <c r="H109" s="65"/>
      <c r="I109" s="65"/>
      <c r="J109" s="65"/>
      <c r="K109" s="79"/>
      <c r="L109" s="65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9"/>
      <c r="AR109" s="69"/>
      <c r="AS109" s="68"/>
      <c r="AT109" s="18"/>
      <c r="AU109" s="19"/>
      <c r="AV109" s="20"/>
      <c r="AW109" s="147"/>
      <c r="AX109" s="148"/>
    </row>
    <row r="110" ht="57.75" customHeight="1">
      <c r="A110" s="15"/>
      <c r="B110" s="15"/>
      <c r="C110" s="15"/>
      <c r="D110" s="65" t="s">
        <v>537</v>
      </c>
      <c r="E110" s="66" t="s">
        <v>533</v>
      </c>
      <c r="F110" s="66"/>
      <c r="G110" s="66"/>
      <c r="H110" s="66"/>
      <c r="I110" s="66"/>
      <c r="J110" s="84"/>
      <c r="K110" s="94"/>
      <c r="L110" s="87"/>
      <c r="M110" s="69"/>
      <c r="N110" s="69"/>
      <c r="O110" s="69"/>
      <c r="P110" s="69"/>
      <c r="Q110" s="69"/>
      <c r="R110" s="69"/>
      <c r="S110" s="69"/>
      <c r="T110" s="68"/>
      <c r="U110" s="68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8"/>
      <c r="AT110" s="18" t="s">
        <v>21</v>
      </c>
      <c r="AU110" s="19" t="s">
        <v>22</v>
      </c>
      <c r="AV110" s="20" t="s">
        <v>23</v>
      </c>
      <c r="AW110" s="21" t="s">
        <v>24</v>
      </c>
      <c r="AX110" s="22" t="s">
        <v>25</v>
      </c>
    </row>
    <row r="111">
      <c r="A111" s="47">
        <v>1.0</v>
      </c>
      <c r="B111" s="47" t="s">
        <v>59</v>
      </c>
      <c r="C111" s="137" t="s">
        <v>60</v>
      </c>
      <c r="D111" s="151" t="s">
        <v>28</v>
      </c>
      <c r="E111" s="151" t="s">
        <v>28</v>
      </c>
      <c r="F111" s="82"/>
      <c r="G111" s="96"/>
      <c r="H111" s="96"/>
      <c r="I111" s="96"/>
      <c r="J111" s="96"/>
      <c r="K111" s="96"/>
      <c r="L111" s="96"/>
      <c r="M111" s="45"/>
      <c r="N111" s="45"/>
      <c r="O111" s="45"/>
      <c r="P111" s="45"/>
      <c r="Q111" s="45"/>
      <c r="R111" s="45"/>
      <c r="S111" s="45"/>
      <c r="T111" s="45"/>
      <c r="U111" s="71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110">
        <f t="shared" ref="AT111:AT140" si="13">COUNTIF(D111:AS111,"L")</f>
        <v>0</v>
      </c>
      <c r="AU111" s="110">
        <f t="shared" ref="AU111:AU140" si="14">COUNTIF(D111:AS111,"A")</f>
        <v>0</v>
      </c>
      <c r="AV111" s="110">
        <f t="shared" ref="AV111:AV140" si="15">COUNTIF(D111:AS111,"p")</f>
        <v>2</v>
      </c>
      <c r="AW111" s="110">
        <f t="shared" ref="AW111:AW140" si="16">SUM(AT111:AV111)</f>
        <v>2</v>
      </c>
      <c r="AX111" s="111">
        <f t="shared" ref="AX111:AX140" si="17">SUM(AT111,AV111)/AW111*100</f>
        <v>100</v>
      </c>
    </row>
    <row r="112">
      <c r="A112" s="47">
        <v>2.0</v>
      </c>
      <c r="B112" s="47" t="s">
        <v>79</v>
      </c>
      <c r="C112" s="137" t="s">
        <v>80</v>
      </c>
      <c r="D112" s="151" t="s">
        <v>28</v>
      </c>
      <c r="E112" s="151" t="s">
        <v>28</v>
      </c>
      <c r="F112" s="96"/>
      <c r="G112" s="96"/>
      <c r="H112" s="96"/>
      <c r="I112" s="96"/>
      <c r="J112" s="96"/>
      <c r="K112" s="96"/>
      <c r="L112" s="96"/>
      <c r="M112" s="45"/>
      <c r="N112" s="45"/>
      <c r="O112" s="45"/>
      <c r="P112" s="45"/>
      <c r="Q112" s="45"/>
      <c r="R112" s="45"/>
      <c r="S112" s="45"/>
      <c r="T112" s="45"/>
      <c r="U112" s="46"/>
      <c r="V112" s="46"/>
      <c r="W112" s="46"/>
      <c r="X112" s="55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110">
        <f t="shared" si="13"/>
        <v>0</v>
      </c>
      <c r="AU112" s="110">
        <f t="shared" si="14"/>
        <v>0</v>
      </c>
      <c r="AV112" s="110">
        <f t="shared" si="15"/>
        <v>2</v>
      </c>
      <c r="AW112" s="110">
        <f t="shared" si="16"/>
        <v>2</v>
      </c>
      <c r="AX112" s="111">
        <f t="shared" si="17"/>
        <v>100</v>
      </c>
    </row>
    <row r="113">
      <c r="A113" s="47">
        <v>3.0</v>
      </c>
      <c r="B113" s="47" t="s">
        <v>157</v>
      </c>
      <c r="C113" s="137" t="s">
        <v>158</v>
      </c>
      <c r="D113" s="152" t="s">
        <v>22</v>
      </c>
      <c r="E113" s="151" t="s">
        <v>28</v>
      </c>
      <c r="F113" s="96"/>
      <c r="G113" s="96"/>
      <c r="H113" s="96"/>
      <c r="I113" s="96"/>
      <c r="J113" s="96"/>
      <c r="K113" s="96"/>
      <c r="L113" s="96"/>
      <c r="M113" s="43"/>
      <c r="N113" s="45"/>
      <c r="O113" s="45"/>
      <c r="P113" s="45"/>
      <c r="Q113" s="45"/>
      <c r="R113" s="45"/>
      <c r="S113" s="45"/>
      <c r="T113" s="45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110">
        <f t="shared" si="13"/>
        <v>0</v>
      </c>
      <c r="AU113" s="110">
        <f t="shared" si="14"/>
        <v>1</v>
      </c>
      <c r="AV113" s="110">
        <f t="shared" si="15"/>
        <v>1</v>
      </c>
      <c r="AW113" s="110">
        <f t="shared" si="16"/>
        <v>2</v>
      </c>
      <c r="AX113" s="111">
        <f t="shared" si="17"/>
        <v>50</v>
      </c>
    </row>
    <row r="114">
      <c r="A114" s="47">
        <v>4.0</v>
      </c>
      <c r="B114" s="47" t="s">
        <v>341</v>
      </c>
      <c r="C114" s="137" t="s">
        <v>342</v>
      </c>
      <c r="D114" s="152" t="s">
        <v>22</v>
      </c>
      <c r="E114" s="151" t="s">
        <v>28</v>
      </c>
      <c r="F114" s="96"/>
      <c r="G114" s="96"/>
      <c r="H114" s="96"/>
      <c r="I114" s="96"/>
      <c r="J114" s="96"/>
      <c r="K114" s="96"/>
      <c r="L114" s="96"/>
      <c r="M114" s="71"/>
      <c r="N114" s="45"/>
      <c r="O114" s="45"/>
      <c r="P114" s="45"/>
      <c r="Q114" s="45"/>
      <c r="R114" s="45"/>
      <c r="S114" s="45"/>
      <c r="T114" s="45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110">
        <f t="shared" si="13"/>
        <v>0</v>
      </c>
      <c r="AU114" s="110">
        <f t="shared" si="14"/>
        <v>1</v>
      </c>
      <c r="AV114" s="110">
        <f t="shared" si="15"/>
        <v>1</v>
      </c>
      <c r="AW114" s="110">
        <f t="shared" si="16"/>
        <v>2</v>
      </c>
      <c r="AX114" s="111">
        <f t="shared" si="17"/>
        <v>50</v>
      </c>
    </row>
    <row r="115">
      <c r="A115" s="47">
        <v>5.0</v>
      </c>
      <c r="B115" s="47" t="s">
        <v>329</v>
      </c>
      <c r="C115" s="137" t="s">
        <v>330</v>
      </c>
      <c r="D115" s="152" t="s">
        <v>22</v>
      </c>
      <c r="E115" s="151" t="s">
        <v>28</v>
      </c>
      <c r="F115" s="96"/>
      <c r="G115" s="96"/>
      <c r="H115" s="96"/>
      <c r="I115" s="96"/>
      <c r="J115" s="96"/>
      <c r="K115" s="96"/>
      <c r="L115" s="82"/>
      <c r="M115" s="45"/>
      <c r="N115" s="45"/>
      <c r="O115" s="45"/>
      <c r="P115" s="45"/>
      <c r="Q115" s="45"/>
      <c r="R115" s="45"/>
      <c r="S115" s="45"/>
      <c r="T115" s="45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110">
        <f t="shared" si="13"/>
        <v>0</v>
      </c>
      <c r="AU115" s="110">
        <f t="shared" si="14"/>
        <v>1</v>
      </c>
      <c r="AV115" s="110">
        <f t="shared" si="15"/>
        <v>1</v>
      </c>
      <c r="AW115" s="110">
        <f t="shared" si="16"/>
        <v>2</v>
      </c>
      <c r="AX115" s="111">
        <f t="shared" si="17"/>
        <v>50</v>
      </c>
    </row>
    <row r="116">
      <c r="A116" s="47">
        <v>6.0</v>
      </c>
      <c r="B116" s="47" t="s">
        <v>287</v>
      </c>
      <c r="C116" s="137" t="s">
        <v>288</v>
      </c>
      <c r="D116" s="152" t="s">
        <v>22</v>
      </c>
      <c r="E116" s="151" t="s">
        <v>28</v>
      </c>
      <c r="F116" s="96"/>
      <c r="G116" s="96"/>
      <c r="H116" s="96"/>
      <c r="I116" s="96"/>
      <c r="J116" s="96"/>
      <c r="K116" s="96"/>
      <c r="L116" s="96"/>
      <c r="M116" s="45"/>
      <c r="N116" s="45"/>
      <c r="O116" s="45"/>
      <c r="P116" s="45"/>
      <c r="Q116" s="45"/>
      <c r="R116" s="45"/>
      <c r="S116" s="45"/>
      <c r="T116" s="45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110">
        <f t="shared" si="13"/>
        <v>0</v>
      </c>
      <c r="AU116" s="110">
        <f t="shared" si="14"/>
        <v>1</v>
      </c>
      <c r="AV116" s="110">
        <f t="shared" si="15"/>
        <v>1</v>
      </c>
      <c r="AW116" s="110">
        <f t="shared" si="16"/>
        <v>2</v>
      </c>
      <c r="AX116" s="111">
        <f t="shared" si="17"/>
        <v>50</v>
      </c>
    </row>
    <row r="117">
      <c r="A117" s="47">
        <v>7.0</v>
      </c>
      <c r="B117" s="47" t="s">
        <v>81</v>
      </c>
      <c r="C117" s="137" t="s">
        <v>82</v>
      </c>
      <c r="D117" s="151" t="s">
        <v>28</v>
      </c>
      <c r="E117" s="151" t="s">
        <v>28</v>
      </c>
      <c r="F117" s="96"/>
      <c r="G117" s="96"/>
      <c r="H117" s="96"/>
      <c r="I117" s="96"/>
      <c r="J117" s="96"/>
      <c r="K117" s="96"/>
      <c r="L117" s="96"/>
      <c r="M117" s="45"/>
      <c r="N117" s="45"/>
      <c r="O117" s="45"/>
      <c r="P117" s="45"/>
      <c r="Q117" s="45"/>
      <c r="R117" s="45"/>
      <c r="S117" s="45"/>
      <c r="T117" s="45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110">
        <f t="shared" si="13"/>
        <v>0</v>
      </c>
      <c r="AU117" s="110">
        <f t="shared" si="14"/>
        <v>0</v>
      </c>
      <c r="AV117" s="110">
        <f t="shared" si="15"/>
        <v>2</v>
      </c>
      <c r="AW117" s="110">
        <f t="shared" si="16"/>
        <v>2</v>
      </c>
      <c r="AX117" s="111">
        <f t="shared" si="17"/>
        <v>100</v>
      </c>
    </row>
    <row r="118">
      <c r="A118" s="47">
        <v>8.0</v>
      </c>
      <c r="B118" s="47" t="s">
        <v>295</v>
      </c>
      <c r="C118" s="137" t="s">
        <v>296</v>
      </c>
      <c r="D118" s="151" t="s">
        <v>28</v>
      </c>
      <c r="E118" s="151" t="s">
        <v>28</v>
      </c>
      <c r="F118" s="96"/>
      <c r="G118" s="96"/>
      <c r="H118" s="96"/>
      <c r="I118" s="96"/>
      <c r="J118" s="96"/>
      <c r="K118" s="96"/>
      <c r="L118" s="96"/>
      <c r="M118" s="45"/>
      <c r="N118" s="45"/>
      <c r="O118" s="45"/>
      <c r="P118" s="45"/>
      <c r="Q118" s="45"/>
      <c r="R118" s="45"/>
      <c r="S118" s="45"/>
      <c r="T118" s="45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110">
        <f t="shared" si="13"/>
        <v>0</v>
      </c>
      <c r="AU118" s="110">
        <f t="shared" si="14"/>
        <v>0</v>
      </c>
      <c r="AV118" s="110">
        <f t="shared" si="15"/>
        <v>2</v>
      </c>
      <c r="AW118" s="110">
        <f t="shared" si="16"/>
        <v>2</v>
      </c>
      <c r="AX118" s="111">
        <f t="shared" si="17"/>
        <v>100</v>
      </c>
    </row>
    <row r="119">
      <c r="A119" s="47">
        <v>9.0</v>
      </c>
      <c r="B119" s="47" t="s">
        <v>133</v>
      </c>
      <c r="C119" s="137" t="s">
        <v>134</v>
      </c>
      <c r="D119" s="151" t="s">
        <v>28</v>
      </c>
      <c r="E119" s="151" t="s">
        <v>28</v>
      </c>
      <c r="F119" s="96"/>
      <c r="G119" s="96"/>
      <c r="H119" s="96"/>
      <c r="I119" s="96"/>
      <c r="J119" s="96"/>
      <c r="K119" s="96"/>
      <c r="L119" s="96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110">
        <f t="shared" si="13"/>
        <v>0</v>
      </c>
      <c r="AU119" s="110">
        <f t="shared" si="14"/>
        <v>0</v>
      </c>
      <c r="AV119" s="110">
        <f t="shared" si="15"/>
        <v>2</v>
      </c>
      <c r="AW119" s="110">
        <f t="shared" si="16"/>
        <v>2</v>
      </c>
      <c r="AX119" s="111">
        <f t="shared" si="17"/>
        <v>100</v>
      </c>
    </row>
    <row r="120">
      <c r="A120" s="47">
        <v>10.0</v>
      </c>
      <c r="B120" s="47" t="s">
        <v>171</v>
      </c>
      <c r="C120" s="137" t="s">
        <v>172</v>
      </c>
      <c r="D120" s="151" t="s">
        <v>28</v>
      </c>
      <c r="E120" s="151" t="s">
        <v>28</v>
      </c>
      <c r="F120" s="96"/>
      <c r="G120" s="96"/>
      <c r="H120" s="96"/>
      <c r="I120" s="96"/>
      <c r="J120" s="96"/>
      <c r="K120" s="96"/>
      <c r="L120" s="82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110">
        <f t="shared" si="13"/>
        <v>0</v>
      </c>
      <c r="AU120" s="110">
        <f t="shared" si="14"/>
        <v>0</v>
      </c>
      <c r="AV120" s="110">
        <f t="shared" si="15"/>
        <v>2</v>
      </c>
      <c r="AW120" s="110">
        <f t="shared" si="16"/>
        <v>2</v>
      </c>
      <c r="AX120" s="111">
        <f t="shared" si="17"/>
        <v>100</v>
      </c>
    </row>
    <row r="121">
      <c r="A121" s="47">
        <v>11.0</v>
      </c>
      <c r="B121" s="47" t="s">
        <v>91</v>
      </c>
      <c r="C121" s="137" t="s">
        <v>92</v>
      </c>
      <c r="D121" s="151" t="s">
        <v>28</v>
      </c>
      <c r="E121" s="151" t="s">
        <v>28</v>
      </c>
      <c r="F121" s="96"/>
      <c r="G121" s="96"/>
      <c r="H121" s="96"/>
      <c r="I121" s="96"/>
      <c r="J121" s="96"/>
      <c r="K121" s="96"/>
      <c r="L121" s="96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110">
        <f t="shared" si="13"/>
        <v>0</v>
      </c>
      <c r="AU121" s="110">
        <f t="shared" si="14"/>
        <v>0</v>
      </c>
      <c r="AV121" s="110">
        <f t="shared" si="15"/>
        <v>2</v>
      </c>
      <c r="AW121" s="110">
        <f t="shared" si="16"/>
        <v>2</v>
      </c>
      <c r="AX121" s="111">
        <f t="shared" si="17"/>
        <v>100</v>
      </c>
    </row>
    <row r="122">
      <c r="A122" s="47">
        <v>12.0</v>
      </c>
      <c r="B122" s="47" t="s">
        <v>285</v>
      </c>
      <c r="C122" s="137" t="s">
        <v>286</v>
      </c>
      <c r="D122" s="151" t="s">
        <v>28</v>
      </c>
      <c r="E122" s="151" t="s">
        <v>28</v>
      </c>
      <c r="F122" s="96"/>
      <c r="G122" s="96"/>
      <c r="H122" s="82"/>
      <c r="I122" s="96"/>
      <c r="J122" s="96"/>
      <c r="K122" s="96"/>
      <c r="L122" s="96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110">
        <f t="shared" si="13"/>
        <v>0</v>
      </c>
      <c r="AU122" s="110">
        <f t="shared" si="14"/>
        <v>0</v>
      </c>
      <c r="AV122" s="110">
        <f t="shared" si="15"/>
        <v>2</v>
      </c>
      <c r="AW122" s="110">
        <f t="shared" si="16"/>
        <v>2</v>
      </c>
      <c r="AX122" s="111">
        <f t="shared" si="17"/>
        <v>100</v>
      </c>
    </row>
    <row r="123">
      <c r="A123" s="47">
        <v>13.0</v>
      </c>
      <c r="B123" s="149" t="s">
        <v>291</v>
      </c>
      <c r="C123" s="150" t="s">
        <v>292</v>
      </c>
      <c r="D123" s="152" t="s">
        <v>22</v>
      </c>
      <c r="E123" s="151" t="s">
        <v>28</v>
      </c>
      <c r="F123" s="96"/>
      <c r="G123" s="82"/>
      <c r="H123" s="96"/>
      <c r="I123" s="82"/>
      <c r="J123" s="96"/>
      <c r="K123" s="96"/>
      <c r="L123" s="82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110">
        <f t="shared" si="13"/>
        <v>0</v>
      </c>
      <c r="AU123" s="110">
        <f t="shared" si="14"/>
        <v>1</v>
      </c>
      <c r="AV123" s="110">
        <f t="shared" si="15"/>
        <v>1</v>
      </c>
      <c r="AW123" s="110">
        <f t="shared" si="16"/>
        <v>2</v>
      </c>
      <c r="AX123" s="111">
        <f t="shared" si="17"/>
        <v>50</v>
      </c>
    </row>
    <row r="124">
      <c r="A124" s="47">
        <v>14.0</v>
      </c>
      <c r="B124" s="47" t="s">
        <v>257</v>
      </c>
      <c r="C124" s="137" t="s">
        <v>258</v>
      </c>
      <c r="D124" s="151" t="s">
        <v>28</v>
      </c>
      <c r="E124" s="151" t="s">
        <v>28</v>
      </c>
      <c r="F124" s="96"/>
      <c r="G124" s="96"/>
      <c r="H124" s="96"/>
      <c r="I124" s="96"/>
      <c r="J124" s="96"/>
      <c r="K124" s="96"/>
      <c r="L124" s="96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110">
        <f t="shared" si="13"/>
        <v>0</v>
      </c>
      <c r="AU124" s="110">
        <f t="shared" si="14"/>
        <v>0</v>
      </c>
      <c r="AV124" s="110">
        <f t="shared" si="15"/>
        <v>2</v>
      </c>
      <c r="AW124" s="110">
        <f t="shared" si="16"/>
        <v>2</v>
      </c>
      <c r="AX124" s="111">
        <f t="shared" si="17"/>
        <v>100</v>
      </c>
    </row>
    <row r="125">
      <c r="A125" s="47">
        <v>15.0</v>
      </c>
      <c r="B125" s="47" t="s">
        <v>85</v>
      </c>
      <c r="C125" s="137" t="s">
        <v>86</v>
      </c>
      <c r="D125" s="151" t="s">
        <v>28</v>
      </c>
      <c r="E125" s="151" t="s">
        <v>28</v>
      </c>
      <c r="F125" s="96"/>
      <c r="G125" s="96"/>
      <c r="H125" s="96"/>
      <c r="I125" s="82"/>
      <c r="J125" s="96"/>
      <c r="K125" s="96"/>
      <c r="L125" s="96"/>
      <c r="M125" s="45"/>
      <c r="N125" s="45"/>
      <c r="O125" s="45"/>
      <c r="P125" s="45"/>
      <c r="Q125" s="45"/>
      <c r="R125" s="45"/>
      <c r="S125" s="45"/>
      <c r="T125" s="45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110">
        <f t="shared" si="13"/>
        <v>0</v>
      </c>
      <c r="AU125" s="110">
        <f t="shared" si="14"/>
        <v>0</v>
      </c>
      <c r="AV125" s="110">
        <f t="shared" si="15"/>
        <v>2</v>
      </c>
      <c r="AW125" s="110">
        <f t="shared" si="16"/>
        <v>2</v>
      </c>
      <c r="AX125" s="111">
        <f t="shared" si="17"/>
        <v>100</v>
      </c>
    </row>
    <row r="126">
      <c r="A126" s="47">
        <v>16.0</v>
      </c>
      <c r="B126" s="47" t="s">
        <v>215</v>
      </c>
      <c r="C126" s="137" t="s">
        <v>216</v>
      </c>
      <c r="D126" s="151" t="s">
        <v>28</v>
      </c>
      <c r="E126" s="151" t="s">
        <v>28</v>
      </c>
      <c r="F126" s="96"/>
      <c r="G126" s="96"/>
      <c r="H126" s="96"/>
      <c r="I126" s="82"/>
      <c r="J126" s="96"/>
      <c r="K126" s="96"/>
      <c r="L126" s="82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110">
        <f t="shared" si="13"/>
        <v>0</v>
      </c>
      <c r="AU126" s="110">
        <f t="shared" si="14"/>
        <v>0</v>
      </c>
      <c r="AV126" s="110">
        <f t="shared" si="15"/>
        <v>2</v>
      </c>
      <c r="AW126" s="110">
        <f t="shared" si="16"/>
        <v>2</v>
      </c>
      <c r="AX126" s="111">
        <f t="shared" si="17"/>
        <v>100</v>
      </c>
    </row>
    <row r="127">
      <c r="A127" s="47">
        <v>17.0</v>
      </c>
      <c r="B127" s="47" t="s">
        <v>45</v>
      </c>
      <c r="C127" s="137" t="s">
        <v>46</v>
      </c>
      <c r="D127" s="152" t="s">
        <v>22</v>
      </c>
      <c r="E127" s="151" t="s">
        <v>28</v>
      </c>
      <c r="F127" s="82"/>
      <c r="G127" s="96"/>
      <c r="H127" s="82"/>
      <c r="I127" s="82"/>
      <c r="J127" s="96"/>
      <c r="K127" s="96"/>
      <c r="L127" s="82"/>
      <c r="M127" s="45"/>
      <c r="N127" s="45"/>
      <c r="O127" s="45"/>
      <c r="P127" s="45"/>
      <c r="Q127" s="45"/>
      <c r="R127" s="45"/>
      <c r="S127" s="45"/>
      <c r="T127" s="45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110">
        <f t="shared" si="13"/>
        <v>0</v>
      </c>
      <c r="AU127" s="110">
        <f t="shared" si="14"/>
        <v>1</v>
      </c>
      <c r="AV127" s="110">
        <f t="shared" si="15"/>
        <v>1</v>
      </c>
      <c r="AW127" s="110">
        <f t="shared" si="16"/>
        <v>2</v>
      </c>
      <c r="AX127" s="111">
        <f t="shared" si="17"/>
        <v>50</v>
      </c>
    </row>
    <row r="128">
      <c r="A128" s="47">
        <v>18.0</v>
      </c>
      <c r="B128" s="47" t="s">
        <v>179</v>
      </c>
      <c r="C128" s="137" t="s">
        <v>180</v>
      </c>
      <c r="D128" s="152" t="s">
        <v>22</v>
      </c>
      <c r="E128" s="151" t="s">
        <v>28</v>
      </c>
      <c r="F128" s="96"/>
      <c r="G128" s="96"/>
      <c r="H128" s="96"/>
      <c r="I128" s="96"/>
      <c r="J128" s="96"/>
      <c r="K128" s="96"/>
      <c r="L128" s="82"/>
      <c r="M128" s="45"/>
      <c r="N128" s="45"/>
      <c r="O128" s="45"/>
      <c r="P128" s="45"/>
      <c r="Q128" s="45"/>
      <c r="R128" s="45"/>
      <c r="S128" s="45"/>
      <c r="T128" s="45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110">
        <f t="shared" si="13"/>
        <v>0</v>
      </c>
      <c r="AU128" s="110">
        <f t="shared" si="14"/>
        <v>1</v>
      </c>
      <c r="AV128" s="110">
        <f t="shared" si="15"/>
        <v>1</v>
      </c>
      <c r="AW128" s="110">
        <f t="shared" si="16"/>
        <v>2</v>
      </c>
      <c r="AX128" s="111">
        <f t="shared" si="17"/>
        <v>50</v>
      </c>
    </row>
    <row r="129">
      <c r="A129" s="47">
        <v>19.0</v>
      </c>
      <c r="B129" s="47" t="s">
        <v>319</v>
      </c>
      <c r="C129" s="137" t="s">
        <v>320</v>
      </c>
      <c r="D129" s="151" t="s">
        <v>28</v>
      </c>
      <c r="E129" s="151" t="s">
        <v>28</v>
      </c>
      <c r="F129" s="96"/>
      <c r="G129" s="96"/>
      <c r="H129" s="96"/>
      <c r="I129" s="96"/>
      <c r="J129" s="96"/>
      <c r="K129" s="82"/>
      <c r="L129" s="82"/>
      <c r="M129" s="45"/>
      <c r="N129" s="45"/>
      <c r="O129" s="45"/>
      <c r="P129" s="45"/>
      <c r="Q129" s="45"/>
      <c r="R129" s="45"/>
      <c r="S129" s="45"/>
      <c r="T129" s="45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110">
        <f t="shared" si="13"/>
        <v>0</v>
      </c>
      <c r="AU129" s="110">
        <f t="shared" si="14"/>
        <v>0</v>
      </c>
      <c r="AV129" s="110">
        <f t="shared" si="15"/>
        <v>2</v>
      </c>
      <c r="AW129" s="110">
        <f t="shared" si="16"/>
        <v>2</v>
      </c>
      <c r="AX129" s="111">
        <f t="shared" si="17"/>
        <v>100</v>
      </c>
    </row>
    <row r="130">
      <c r="A130" s="47">
        <v>20.0</v>
      </c>
      <c r="B130" s="47" t="s">
        <v>211</v>
      </c>
      <c r="C130" s="137" t="s">
        <v>212</v>
      </c>
      <c r="D130" s="151" t="s">
        <v>28</v>
      </c>
      <c r="E130" s="151" t="s">
        <v>28</v>
      </c>
      <c r="F130" s="82"/>
      <c r="G130" s="96"/>
      <c r="H130" s="96"/>
      <c r="I130" s="96"/>
      <c r="J130" s="82"/>
      <c r="K130" s="96"/>
      <c r="L130" s="96"/>
      <c r="M130" s="45"/>
      <c r="N130" s="45"/>
      <c r="O130" s="45"/>
      <c r="P130" s="45"/>
      <c r="Q130" s="45"/>
      <c r="R130" s="45"/>
      <c r="S130" s="45"/>
      <c r="T130" s="45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110">
        <f t="shared" si="13"/>
        <v>0</v>
      </c>
      <c r="AU130" s="110">
        <f t="shared" si="14"/>
        <v>0</v>
      </c>
      <c r="AV130" s="110">
        <f t="shared" si="15"/>
        <v>2</v>
      </c>
      <c r="AW130" s="110">
        <f t="shared" si="16"/>
        <v>2</v>
      </c>
      <c r="AX130" s="111">
        <f t="shared" si="17"/>
        <v>100</v>
      </c>
    </row>
    <row r="131">
      <c r="A131" s="47">
        <v>21.0</v>
      </c>
      <c r="B131" s="47" t="s">
        <v>213</v>
      </c>
      <c r="C131" s="137" t="s">
        <v>214</v>
      </c>
      <c r="D131" s="151" t="s">
        <v>28</v>
      </c>
      <c r="E131" s="151" t="s">
        <v>28</v>
      </c>
      <c r="F131" s="82"/>
      <c r="G131" s="82"/>
      <c r="H131" s="96"/>
      <c r="I131" s="96"/>
      <c r="J131" s="96"/>
      <c r="K131" s="96"/>
      <c r="L131" s="96"/>
      <c r="M131" s="45"/>
      <c r="N131" s="45"/>
      <c r="O131" s="45"/>
      <c r="P131" s="45"/>
      <c r="Q131" s="45"/>
      <c r="R131" s="45"/>
      <c r="S131" s="45"/>
      <c r="T131" s="45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110">
        <f t="shared" si="13"/>
        <v>0</v>
      </c>
      <c r="AU131" s="110">
        <f t="shared" si="14"/>
        <v>0</v>
      </c>
      <c r="AV131" s="110">
        <f t="shared" si="15"/>
        <v>2</v>
      </c>
      <c r="AW131" s="110">
        <f t="shared" si="16"/>
        <v>2</v>
      </c>
      <c r="AX131" s="111">
        <f t="shared" si="17"/>
        <v>100</v>
      </c>
    </row>
    <row r="132">
      <c r="A132" s="47">
        <v>22.0</v>
      </c>
      <c r="B132" s="47" t="s">
        <v>279</v>
      </c>
      <c r="C132" s="137" t="s">
        <v>280</v>
      </c>
      <c r="D132" s="151" t="s">
        <v>28</v>
      </c>
      <c r="E132" s="151" t="s">
        <v>28</v>
      </c>
      <c r="F132" s="96"/>
      <c r="G132" s="82"/>
      <c r="H132" s="96"/>
      <c r="I132" s="96"/>
      <c r="J132" s="96"/>
      <c r="K132" s="96"/>
      <c r="L132" s="82"/>
      <c r="M132" s="45"/>
      <c r="N132" s="45"/>
      <c r="O132" s="45"/>
      <c r="P132" s="45"/>
      <c r="Q132" s="45"/>
      <c r="R132" s="45"/>
      <c r="S132" s="45"/>
      <c r="T132" s="45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110">
        <f t="shared" si="13"/>
        <v>0</v>
      </c>
      <c r="AU132" s="110">
        <f t="shared" si="14"/>
        <v>0</v>
      </c>
      <c r="AV132" s="110">
        <f t="shared" si="15"/>
        <v>2</v>
      </c>
      <c r="AW132" s="110">
        <f t="shared" si="16"/>
        <v>2</v>
      </c>
      <c r="AX132" s="111">
        <f t="shared" si="17"/>
        <v>100</v>
      </c>
    </row>
    <row r="133">
      <c r="A133" s="47">
        <v>23.0</v>
      </c>
      <c r="B133" s="47" t="s">
        <v>255</v>
      </c>
      <c r="C133" s="137" t="s">
        <v>256</v>
      </c>
      <c r="D133" s="152" t="s">
        <v>22</v>
      </c>
      <c r="E133" s="152" t="s">
        <v>22</v>
      </c>
      <c r="F133" s="96"/>
      <c r="G133" s="82"/>
      <c r="H133" s="96"/>
      <c r="I133" s="96"/>
      <c r="J133" s="96"/>
      <c r="K133" s="96"/>
      <c r="L133" s="82"/>
      <c r="M133" s="45"/>
      <c r="N133" s="45"/>
      <c r="O133" s="45"/>
      <c r="P133" s="45"/>
      <c r="Q133" s="45"/>
      <c r="R133" s="45"/>
      <c r="S133" s="45"/>
      <c r="T133" s="45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110">
        <f t="shared" si="13"/>
        <v>0</v>
      </c>
      <c r="AU133" s="110">
        <f t="shared" si="14"/>
        <v>2</v>
      </c>
      <c r="AV133" s="110">
        <f t="shared" si="15"/>
        <v>0</v>
      </c>
      <c r="AW133" s="110">
        <f t="shared" si="16"/>
        <v>2</v>
      </c>
      <c r="AX133" s="111">
        <f t="shared" si="17"/>
        <v>0</v>
      </c>
    </row>
    <row r="134">
      <c r="A134" s="47">
        <v>24.0</v>
      </c>
      <c r="B134" s="47" t="s">
        <v>233</v>
      </c>
      <c r="C134" s="137" t="s">
        <v>234</v>
      </c>
      <c r="D134" s="152" t="s">
        <v>22</v>
      </c>
      <c r="E134" s="152" t="s">
        <v>22</v>
      </c>
      <c r="F134" s="96"/>
      <c r="G134" s="96"/>
      <c r="H134" s="96"/>
      <c r="I134" s="96"/>
      <c r="J134" s="96"/>
      <c r="K134" s="96"/>
      <c r="L134" s="82"/>
      <c r="M134" s="45"/>
      <c r="N134" s="45"/>
      <c r="O134" s="45"/>
      <c r="P134" s="45"/>
      <c r="Q134" s="45"/>
      <c r="R134" s="45"/>
      <c r="S134" s="45"/>
      <c r="T134" s="45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110">
        <f t="shared" si="13"/>
        <v>0</v>
      </c>
      <c r="AU134" s="110">
        <f t="shared" si="14"/>
        <v>2</v>
      </c>
      <c r="AV134" s="110">
        <f t="shared" si="15"/>
        <v>0</v>
      </c>
      <c r="AW134" s="110">
        <f t="shared" si="16"/>
        <v>2</v>
      </c>
      <c r="AX134" s="111">
        <f t="shared" si="17"/>
        <v>0</v>
      </c>
    </row>
    <row r="135">
      <c r="A135" s="47">
        <v>25.0</v>
      </c>
      <c r="B135" s="47" t="s">
        <v>165</v>
      </c>
      <c r="C135" s="137" t="s">
        <v>166</v>
      </c>
      <c r="D135" s="151" t="s">
        <v>28</v>
      </c>
      <c r="E135" s="151" t="s">
        <v>28</v>
      </c>
      <c r="F135" s="96"/>
      <c r="G135" s="96"/>
      <c r="H135" s="96"/>
      <c r="I135" s="96"/>
      <c r="J135" s="96"/>
      <c r="K135" s="96"/>
      <c r="L135" s="96"/>
      <c r="M135" s="45"/>
      <c r="N135" s="45"/>
      <c r="O135" s="45"/>
      <c r="P135" s="45"/>
      <c r="Q135" s="45"/>
      <c r="R135" s="45"/>
      <c r="S135" s="45"/>
      <c r="T135" s="45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110">
        <f t="shared" si="13"/>
        <v>0</v>
      </c>
      <c r="AU135" s="110">
        <f t="shared" si="14"/>
        <v>0</v>
      </c>
      <c r="AV135" s="110">
        <f t="shared" si="15"/>
        <v>2</v>
      </c>
      <c r="AW135" s="110">
        <f t="shared" si="16"/>
        <v>2</v>
      </c>
      <c r="AX135" s="111">
        <f t="shared" si="17"/>
        <v>100</v>
      </c>
    </row>
    <row r="136">
      <c r="A136" s="47">
        <v>26.0</v>
      </c>
      <c r="B136" s="47" t="s">
        <v>131</v>
      </c>
      <c r="C136" s="137" t="s">
        <v>132</v>
      </c>
      <c r="D136" s="152" t="s">
        <v>22</v>
      </c>
      <c r="E136" s="151" t="s">
        <v>28</v>
      </c>
      <c r="F136" s="96"/>
      <c r="G136" s="96"/>
      <c r="H136" s="96"/>
      <c r="I136" s="96"/>
      <c r="J136" s="96"/>
      <c r="K136" s="96"/>
      <c r="L136" s="82"/>
      <c r="M136" s="45"/>
      <c r="N136" s="45"/>
      <c r="O136" s="45"/>
      <c r="P136" s="45"/>
      <c r="Q136" s="45"/>
      <c r="R136" s="45"/>
      <c r="S136" s="45"/>
      <c r="T136" s="45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110">
        <f t="shared" si="13"/>
        <v>0</v>
      </c>
      <c r="AU136" s="110">
        <f t="shared" si="14"/>
        <v>1</v>
      </c>
      <c r="AV136" s="110">
        <f t="shared" si="15"/>
        <v>1</v>
      </c>
      <c r="AW136" s="110">
        <f t="shared" si="16"/>
        <v>2</v>
      </c>
      <c r="AX136" s="111">
        <f t="shared" si="17"/>
        <v>50</v>
      </c>
    </row>
    <row r="137">
      <c r="A137" s="47">
        <v>27.0</v>
      </c>
      <c r="B137" s="47" t="s">
        <v>143</v>
      </c>
      <c r="C137" s="137" t="s">
        <v>144</v>
      </c>
      <c r="D137" s="151" t="s">
        <v>28</v>
      </c>
      <c r="E137" s="152" t="s">
        <v>22</v>
      </c>
      <c r="F137" s="96"/>
      <c r="G137" s="82"/>
      <c r="H137" s="96"/>
      <c r="I137" s="96"/>
      <c r="J137" s="96"/>
      <c r="K137" s="96"/>
      <c r="L137" s="96"/>
      <c r="M137" s="45"/>
      <c r="N137" s="45"/>
      <c r="O137" s="45"/>
      <c r="P137" s="45"/>
      <c r="Q137" s="45"/>
      <c r="R137" s="45"/>
      <c r="S137" s="45"/>
      <c r="T137" s="45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110">
        <f t="shared" si="13"/>
        <v>0</v>
      </c>
      <c r="AU137" s="110">
        <f t="shared" si="14"/>
        <v>1</v>
      </c>
      <c r="AV137" s="110">
        <f t="shared" si="15"/>
        <v>1</v>
      </c>
      <c r="AW137" s="110">
        <f t="shared" si="16"/>
        <v>2</v>
      </c>
      <c r="AX137" s="111">
        <f t="shared" si="17"/>
        <v>50</v>
      </c>
    </row>
    <row r="138">
      <c r="A138" s="47">
        <v>28.0</v>
      </c>
      <c r="B138" s="47" t="s">
        <v>141</v>
      </c>
      <c r="C138" s="137" t="s">
        <v>142</v>
      </c>
      <c r="D138" s="151" t="s">
        <v>28</v>
      </c>
      <c r="E138" s="151" t="s">
        <v>28</v>
      </c>
      <c r="F138" s="96"/>
      <c r="G138" s="96"/>
      <c r="H138" s="96"/>
      <c r="I138" s="96"/>
      <c r="J138" s="96"/>
      <c r="K138" s="96"/>
      <c r="L138" s="82"/>
      <c r="M138" s="45"/>
      <c r="N138" s="45"/>
      <c r="O138" s="45"/>
      <c r="P138" s="45"/>
      <c r="Q138" s="45"/>
      <c r="R138" s="45"/>
      <c r="S138" s="45"/>
      <c r="T138" s="45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110">
        <f t="shared" si="13"/>
        <v>0</v>
      </c>
      <c r="AU138" s="110">
        <f t="shared" si="14"/>
        <v>0</v>
      </c>
      <c r="AV138" s="110">
        <f t="shared" si="15"/>
        <v>2</v>
      </c>
      <c r="AW138" s="110">
        <f t="shared" si="16"/>
        <v>2</v>
      </c>
      <c r="AX138" s="111">
        <f t="shared" si="17"/>
        <v>100</v>
      </c>
    </row>
    <row r="139">
      <c r="A139" s="47">
        <v>29.0</v>
      </c>
      <c r="B139" s="47" t="s">
        <v>247</v>
      </c>
      <c r="C139" s="137" t="s">
        <v>248</v>
      </c>
      <c r="D139" s="151" t="s">
        <v>28</v>
      </c>
      <c r="E139" s="151" t="s">
        <v>28</v>
      </c>
      <c r="F139" s="96"/>
      <c r="G139" s="96"/>
      <c r="H139" s="96"/>
      <c r="I139" s="96"/>
      <c r="J139" s="96"/>
      <c r="K139" s="96"/>
      <c r="L139" s="82"/>
      <c r="M139" s="45"/>
      <c r="N139" s="45"/>
      <c r="O139" s="45"/>
      <c r="P139" s="45"/>
      <c r="Q139" s="45"/>
      <c r="R139" s="45"/>
      <c r="S139" s="45"/>
      <c r="T139" s="45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110">
        <f t="shared" si="13"/>
        <v>0</v>
      </c>
      <c r="AU139" s="110">
        <f t="shared" si="14"/>
        <v>0</v>
      </c>
      <c r="AV139" s="110">
        <f t="shared" si="15"/>
        <v>2</v>
      </c>
      <c r="AW139" s="110">
        <f t="shared" si="16"/>
        <v>2</v>
      </c>
      <c r="AX139" s="111">
        <f t="shared" si="17"/>
        <v>100</v>
      </c>
    </row>
    <row r="140">
      <c r="A140" s="47">
        <v>30.0</v>
      </c>
      <c r="B140" s="47" t="s">
        <v>181</v>
      </c>
      <c r="C140" s="137" t="s">
        <v>182</v>
      </c>
      <c r="D140" s="151" t="s">
        <v>28</v>
      </c>
      <c r="E140" s="151" t="s">
        <v>28</v>
      </c>
      <c r="F140" s="82"/>
      <c r="G140" s="82"/>
      <c r="H140" s="96"/>
      <c r="I140" s="96"/>
      <c r="J140" s="82"/>
      <c r="K140" s="96"/>
      <c r="L140" s="82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110">
        <f t="shared" si="13"/>
        <v>0</v>
      </c>
      <c r="AU140" s="110">
        <f t="shared" si="14"/>
        <v>0</v>
      </c>
      <c r="AV140" s="110">
        <f t="shared" si="15"/>
        <v>2</v>
      </c>
      <c r="AW140" s="110">
        <f t="shared" si="16"/>
        <v>2</v>
      </c>
      <c r="AX140" s="111">
        <f t="shared" si="17"/>
        <v>100</v>
      </c>
    </row>
    <row r="141">
      <c r="A141" s="55"/>
      <c r="B141" s="55"/>
      <c r="C141" s="56" t="s">
        <v>191</v>
      </c>
      <c r="D141" s="112">
        <f t="shared" ref="D141:AS141" si="18">COUNTIF(D111:D140,"P")+COUNTIF(D111:D140,"L")</f>
        <v>20</v>
      </c>
      <c r="E141" s="112">
        <f t="shared" si="18"/>
        <v>27</v>
      </c>
      <c r="F141" s="112">
        <f t="shared" si="18"/>
        <v>0</v>
      </c>
      <c r="G141" s="112">
        <f t="shared" si="18"/>
        <v>0</v>
      </c>
      <c r="H141" s="112">
        <f t="shared" si="18"/>
        <v>0</v>
      </c>
      <c r="I141" s="112">
        <f t="shared" si="18"/>
        <v>0</v>
      </c>
      <c r="J141" s="112">
        <f t="shared" si="18"/>
        <v>0</v>
      </c>
      <c r="K141" s="112">
        <f t="shared" si="18"/>
        <v>0</v>
      </c>
      <c r="L141" s="112">
        <f t="shared" si="18"/>
        <v>0</v>
      </c>
      <c r="M141" s="112">
        <f t="shared" si="18"/>
        <v>0</v>
      </c>
      <c r="N141" s="112">
        <f t="shared" si="18"/>
        <v>0</v>
      </c>
      <c r="O141" s="112">
        <f t="shared" si="18"/>
        <v>0</v>
      </c>
      <c r="P141" s="112">
        <f t="shared" si="18"/>
        <v>0</v>
      </c>
      <c r="Q141" s="112">
        <f t="shared" si="18"/>
        <v>0</v>
      </c>
      <c r="R141" s="112">
        <f t="shared" si="18"/>
        <v>0</v>
      </c>
      <c r="S141" s="112">
        <f t="shared" si="18"/>
        <v>0</v>
      </c>
      <c r="T141" s="112">
        <f t="shared" si="18"/>
        <v>0</v>
      </c>
      <c r="U141" s="112">
        <f t="shared" si="18"/>
        <v>0</v>
      </c>
      <c r="V141" s="112">
        <f t="shared" si="18"/>
        <v>0</v>
      </c>
      <c r="W141" s="112">
        <f t="shared" si="18"/>
        <v>0</v>
      </c>
      <c r="X141" s="112">
        <f t="shared" si="18"/>
        <v>0</v>
      </c>
      <c r="Y141" s="112">
        <f t="shared" si="18"/>
        <v>0</v>
      </c>
      <c r="Z141" s="112">
        <f t="shared" si="18"/>
        <v>0</v>
      </c>
      <c r="AA141" s="112">
        <f t="shared" si="18"/>
        <v>0</v>
      </c>
      <c r="AB141" s="112">
        <f t="shared" si="18"/>
        <v>0</v>
      </c>
      <c r="AC141" s="112">
        <f t="shared" si="18"/>
        <v>0</v>
      </c>
      <c r="AD141" s="112">
        <f t="shared" si="18"/>
        <v>0</v>
      </c>
      <c r="AE141" s="112">
        <f t="shared" si="18"/>
        <v>0</v>
      </c>
      <c r="AF141" s="112">
        <f t="shared" si="18"/>
        <v>0</v>
      </c>
      <c r="AG141" s="112">
        <f t="shared" si="18"/>
        <v>0</v>
      </c>
      <c r="AH141" s="112">
        <f t="shared" si="18"/>
        <v>0</v>
      </c>
      <c r="AI141" s="112">
        <f t="shared" si="18"/>
        <v>0</v>
      </c>
      <c r="AJ141" s="112">
        <f t="shared" si="18"/>
        <v>0</v>
      </c>
      <c r="AK141" s="112">
        <f t="shared" si="18"/>
        <v>0</v>
      </c>
      <c r="AL141" s="112">
        <f t="shared" si="18"/>
        <v>0</v>
      </c>
      <c r="AM141" s="112">
        <f t="shared" si="18"/>
        <v>0</v>
      </c>
      <c r="AN141" s="112">
        <f t="shared" si="18"/>
        <v>0</v>
      </c>
      <c r="AO141" s="112">
        <f t="shared" si="18"/>
        <v>0</v>
      </c>
      <c r="AP141" s="112">
        <f t="shared" si="18"/>
        <v>0</v>
      </c>
      <c r="AQ141" s="112">
        <f t="shared" si="18"/>
        <v>0</v>
      </c>
      <c r="AR141" s="112">
        <f t="shared" si="18"/>
        <v>0</v>
      </c>
      <c r="AS141" s="112">
        <f t="shared" si="18"/>
        <v>0</v>
      </c>
      <c r="AT141" s="32"/>
      <c r="AU141" s="32"/>
      <c r="AV141" s="32"/>
      <c r="AW141" s="33"/>
    </row>
    <row r="142">
      <c r="A142" s="83"/>
      <c r="B142" s="55"/>
      <c r="C142" s="59" t="s">
        <v>192</v>
      </c>
      <c r="D142" s="114">
        <v>30.0</v>
      </c>
      <c r="E142" s="114">
        <v>30.0</v>
      </c>
      <c r="F142" s="114">
        <v>30.0</v>
      </c>
      <c r="G142" s="114">
        <v>30.0</v>
      </c>
      <c r="H142" s="114">
        <v>30.0</v>
      </c>
      <c r="I142" s="114">
        <v>30.0</v>
      </c>
      <c r="J142" s="114">
        <v>30.0</v>
      </c>
      <c r="K142" s="114">
        <v>30.0</v>
      </c>
      <c r="L142" s="114">
        <v>30.0</v>
      </c>
      <c r="M142" s="114">
        <v>30.0</v>
      </c>
      <c r="N142" s="114">
        <v>30.0</v>
      </c>
      <c r="O142" s="114">
        <v>30.0</v>
      </c>
      <c r="P142" s="114">
        <v>30.0</v>
      </c>
      <c r="Q142" s="114">
        <v>30.0</v>
      </c>
      <c r="R142" s="114">
        <v>30.0</v>
      </c>
      <c r="S142" s="114">
        <v>30.0</v>
      </c>
      <c r="T142" s="114">
        <v>30.0</v>
      </c>
      <c r="U142" s="114">
        <v>30.0</v>
      </c>
      <c r="V142" s="114">
        <v>30.0</v>
      </c>
      <c r="W142" s="114">
        <v>30.0</v>
      </c>
      <c r="X142" s="114">
        <v>30.0</v>
      </c>
      <c r="Y142" s="114">
        <v>30.0</v>
      </c>
      <c r="Z142" s="114">
        <v>30.0</v>
      </c>
      <c r="AA142" s="114">
        <v>30.0</v>
      </c>
      <c r="AB142" s="114">
        <v>30.0</v>
      </c>
      <c r="AC142" s="114">
        <v>30.0</v>
      </c>
      <c r="AD142" s="114">
        <v>30.0</v>
      </c>
      <c r="AE142" s="114">
        <v>30.0</v>
      </c>
      <c r="AF142" s="114">
        <v>30.0</v>
      </c>
      <c r="AG142" s="114">
        <v>30.0</v>
      </c>
      <c r="AH142" s="114">
        <v>30.0</v>
      </c>
      <c r="AI142" s="114">
        <v>30.0</v>
      </c>
      <c r="AJ142" s="114">
        <v>30.0</v>
      </c>
      <c r="AK142" s="114">
        <v>30.0</v>
      </c>
      <c r="AL142" s="114">
        <v>30.0</v>
      </c>
      <c r="AM142" s="114">
        <v>30.0</v>
      </c>
      <c r="AN142" s="114">
        <v>30.0</v>
      </c>
      <c r="AO142" s="114">
        <v>30.0</v>
      </c>
      <c r="AP142" s="114">
        <v>30.0</v>
      </c>
      <c r="AQ142" s="114">
        <v>30.0</v>
      </c>
      <c r="AR142" s="114">
        <v>30.0</v>
      </c>
      <c r="AS142" s="114">
        <v>30.0</v>
      </c>
      <c r="AT142" s="55"/>
      <c r="AU142" s="55"/>
      <c r="AV142" s="55"/>
      <c r="AW142" s="55"/>
      <c r="AX142" s="76"/>
    </row>
    <row r="143">
      <c r="D143" s="135"/>
      <c r="E143" s="135"/>
    </row>
    <row r="144">
      <c r="D144" s="135"/>
      <c r="E144" s="135"/>
    </row>
    <row r="145">
      <c r="D145" s="135"/>
      <c r="E145" s="135"/>
    </row>
    <row r="146">
      <c r="D146" s="135"/>
      <c r="E146" s="135"/>
    </row>
    <row r="147">
      <c r="D147" s="135"/>
      <c r="E147" s="135"/>
    </row>
    <row r="148">
      <c r="D148" s="135"/>
      <c r="E148" s="135"/>
    </row>
    <row r="149">
      <c r="D149" s="135"/>
      <c r="E149" s="135"/>
    </row>
    <row r="150">
      <c r="D150" s="135"/>
      <c r="E150" s="135"/>
    </row>
    <row r="151">
      <c r="D151" s="135"/>
      <c r="E151" s="135"/>
    </row>
    <row r="152">
      <c r="D152" s="135"/>
      <c r="E152" s="135"/>
    </row>
    <row r="153">
      <c r="D153" s="135"/>
      <c r="E153" s="135"/>
    </row>
    <row r="154">
      <c r="D154" s="135"/>
      <c r="E154" s="135"/>
    </row>
    <row r="155">
      <c r="D155" s="135"/>
      <c r="E155" s="135"/>
    </row>
    <row r="156">
      <c r="D156" s="135"/>
      <c r="E156" s="153" t="s">
        <v>492</v>
      </c>
    </row>
    <row r="157">
      <c r="D157" s="135"/>
      <c r="E157" s="135"/>
    </row>
    <row r="158">
      <c r="D158" s="135"/>
      <c r="E158" s="135"/>
    </row>
    <row r="159">
      <c r="D159" s="135"/>
      <c r="E159" s="135"/>
    </row>
    <row r="160">
      <c r="D160" s="135"/>
      <c r="E160" s="135"/>
    </row>
    <row r="161">
      <c r="D161" s="135"/>
      <c r="E161" s="135"/>
    </row>
    <row r="162">
      <c r="D162" s="135"/>
      <c r="E162" s="135"/>
    </row>
    <row r="163">
      <c r="D163" s="135"/>
      <c r="E163" s="135"/>
    </row>
    <row r="164">
      <c r="D164" s="135"/>
      <c r="E164" s="135"/>
    </row>
    <row r="165">
      <c r="D165" s="135"/>
      <c r="E165" s="135"/>
    </row>
    <row r="166">
      <c r="D166" s="135"/>
      <c r="E166" s="135"/>
    </row>
    <row r="167">
      <c r="D167" s="135"/>
      <c r="E167" s="135"/>
    </row>
    <row r="168">
      <c r="D168" s="135"/>
      <c r="E168" s="135"/>
    </row>
    <row r="169">
      <c r="D169" s="135"/>
      <c r="E169" s="135"/>
    </row>
    <row r="170">
      <c r="D170" s="135"/>
      <c r="E170" s="135"/>
    </row>
    <row r="171">
      <c r="D171" s="135"/>
      <c r="E171" s="135"/>
    </row>
    <row r="172">
      <c r="D172" s="135"/>
      <c r="E172" s="135"/>
    </row>
    <row r="173">
      <c r="D173" s="135"/>
      <c r="E173" s="135"/>
    </row>
    <row r="174">
      <c r="D174" s="135"/>
      <c r="E174" s="135"/>
    </row>
    <row r="175">
      <c r="D175" s="135"/>
      <c r="E175" s="135"/>
    </row>
    <row r="176">
      <c r="D176" s="135"/>
      <c r="E176" s="135"/>
    </row>
    <row r="177">
      <c r="D177" s="135"/>
      <c r="E177" s="135"/>
    </row>
    <row r="178">
      <c r="D178" s="135"/>
      <c r="E178" s="135"/>
    </row>
    <row r="179">
      <c r="D179" s="135"/>
      <c r="E179" s="135"/>
    </row>
    <row r="180">
      <c r="D180" s="135"/>
      <c r="E180" s="135"/>
    </row>
    <row r="181">
      <c r="D181" s="135"/>
      <c r="E181" s="135"/>
    </row>
    <row r="182">
      <c r="D182" s="135"/>
      <c r="E182" s="135"/>
    </row>
    <row r="183">
      <c r="D183" s="135"/>
      <c r="E183" s="135"/>
    </row>
    <row r="184">
      <c r="D184" s="135"/>
      <c r="E184" s="135"/>
    </row>
    <row r="185">
      <c r="D185" s="135"/>
      <c r="E185" s="135"/>
    </row>
    <row r="186">
      <c r="D186" s="135"/>
      <c r="E186" s="135"/>
    </row>
    <row r="187">
      <c r="D187" s="135"/>
      <c r="E187" s="135"/>
    </row>
    <row r="188">
      <c r="D188" s="135"/>
      <c r="E188" s="135"/>
    </row>
    <row r="189">
      <c r="D189" s="135"/>
      <c r="E189" s="135"/>
    </row>
    <row r="190">
      <c r="D190" s="135"/>
      <c r="E190" s="135"/>
    </row>
    <row r="191">
      <c r="D191" s="135"/>
      <c r="E191" s="135"/>
    </row>
    <row r="192">
      <c r="D192" s="135"/>
      <c r="E192" s="135"/>
    </row>
    <row r="193">
      <c r="D193" s="135"/>
      <c r="E193" s="135"/>
    </row>
    <row r="194">
      <c r="D194" s="135"/>
      <c r="E194" s="135"/>
    </row>
    <row r="195">
      <c r="D195" s="135"/>
      <c r="E195" s="135"/>
    </row>
    <row r="196">
      <c r="D196" s="135"/>
      <c r="E196" s="135"/>
    </row>
    <row r="197">
      <c r="D197" s="135"/>
      <c r="E197" s="135"/>
    </row>
    <row r="198">
      <c r="D198" s="135"/>
      <c r="E198" s="135"/>
    </row>
    <row r="199">
      <c r="D199" s="135"/>
      <c r="E199" s="135"/>
    </row>
    <row r="200">
      <c r="D200" s="135"/>
      <c r="E200" s="135"/>
    </row>
    <row r="201">
      <c r="D201" s="135"/>
      <c r="E201" s="135"/>
    </row>
    <row r="202">
      <c r="D202" s="135"/>
      <c r="E202" s="135"/>
    </row>
    <row r="203">
      <c r="D203" s="135"/>
      <c r="E203" s="135"/>
    </row>
    <row r="204">
      <c r="D204" s="135"/>
      <c r="E204" s="135"/>
    </row>
    <row r="205">
      <c r="D205" s="135"/>
      <c r="E205" s="135"/>
    </row>
    <row r="206">
      <c r="D206" s="135"/>
      <c r="E206" s="135"/>
    </row>
    <row r="207">
      <c r="D207" s="135"/>
      <c r="E207" s="135"/>
    </row>
    <row r="208">
      <c r="D208" s="135"/>
      <c r="E208" s="135"/>
    </row>
    <row r="209">
      <c r="D209" s="135"/>
      <c r="E209" s="135"/>
    </row>
    <row r="210">
      <c r="D210" s="135"/>
      <c r="E210" s="135"/>
    </row>
    <row r="211">
      <c r="D211" s="135"/>
      <c r="E211" s="135"/>
    </row>
    <row r="212">
      <c r="D212" s="135"/>
      <c r="E212" s="135"/>
    </row>
    <row r="213">
      <c r="D213" s="135"/>
      <c r="E213" s="135"/>
    </row>
    <row r="214">
      <c r="D214" s="135"/>
      <c r="E214" s="135"/>
    </row>
    <row r="215">
      <c r="D215" s="135"/>
      <c r="E215" s="135"/>
    </row>
    <row r="216">
      <c r="D216" s="135"/>
      <c r="E216" s="135"/>
    </row>
    <row r="217">
      <c r="D217" s="135"/>
      <c r="E217" s="135"/>
    </row>
    <row r="218">
      <c r="D218" s="135"/>
      <c r="E218" s="135"/>
    </row>
    <row r="219">
      <c r="D219" s="135"/>
      <c r="E219" s="135"/>
    </row>
    <row r="220">
      <c r="D220" s="135"/>
      <c r="E220" s="135"/>
    </row>
    <row r="221">
      <c r="D221" s="135"/>
      <c r="E221" s="135"/>
    </row>
    <row r="222">
      <c r="D222" s="135"/>
      <c r="E222" s="135"/>
    </row>
    <row r="223">
      <c r="D223" s="135"/>
      <c r="E223" s="135"/>
    </row>
    <row r="224">
      <c r="D224" s="135"/>
      <c r="E224" s="135"/>
    </row>
    <row r="225">
      <c r="D225" s="135"/>
      <c r="E225" s="135"/>
    </row>
    <row r="226">
      <c r="D226" s="135"/>
      <c r="E226" s="135"/>
    </row>
    <row r="227">
      <c r="D227" s="135"/>
      <c r="E227" s="135"/>
    </row>
    <row r="228">
      <c r="D228" s="135"/>
      <c r="E228" s="135"/>
    </row>
    <row r="229">
      <c r="D229" s="135"/>
      <c r="E229" s="135"/>
    </row>
    <row r="230">
      <c r="D230" s="135"/>
      <c r="E230" s="135"/>
    </row>
    <row r="231">
      <c r="D231" s="135"/>
      <c r="E231" s="135"/>
    </row>
    <row r="232">
      <c r="D232" s="135"/>
      <c r="E232" s="135"/>
    </row>
    <row r="233">
      <c r="D233" s="135"/>
      <c r="E233" s="135"/>
    </row>
    <row r="234">
      <c r="D234" s="135"/>
      <c r="E234" s="135"/>
    </row>
    <row r="235">
      <c r="D235" s="135"/>
      <c r="E235" s="135"/>
    </row>
    <row r="236">
      <c r="D236" s="135"/>
      <c r="E236" s="135"/>
    </row>
    <row r="237">
      <c r="D237" s="135"/>
      <c r="E237" s="135"/>
    </row>
    <row r="238">
      <c r="D238" s="135"/>
      <c r="E238" s="135"/>
    </row>
    <row r="239">
      <c r="D239" s="135"/>
      <c r="E239" s="135"/>
    </row>
    <row r="240">
      <c r="D240" s="135"/>
      <c r="E240" s="135"/>
    </row>
    <row r="241">
      <c r="D241" s="135"/>
      <c r="E241" s="135"/>
    </row>
    <row r="242">
      <c r="D242" s="135"/>
      <c r="E242" s="135"/>
    </row>
    <row r="243">
      <c r="D243" s="135"/>
      <c r="E243" s="135"/>
    </row>
    <row r="244">
      <c r="D244" s="135"/>
      <c r="E244" s="135"/>
    </row>
    <row r="245">
      <c r="D245" s="135"/>
      <c r="E245" s="135"/>
    </row>
    <row r="246">
      <c r="D246" s="135"/>
      <c r="E246" s="135"/>
    </row>
    <row r="247">
      <c r="D247" s="135"/>
      <c r="E247" s="135"/>
    </row>
    <row r="248">
      <c r="D248" s="135"/>
      <c r="E248" s="135"/>
    </row>
    <row r="249">
      <c r="D249" s="135"/>
      <c r="E249" s="135"/>
    </row>
    <row r="250">
      <c r="D250" s="135"/>
      <c r="E250" s="135"/>
    </row>
    <row r="251">
      <c r="D251" s="135"/>
      <c r="E251" s="135"/>
    </row>
    <row r="252">
      <c r="D252" s="135"/>
      <c r="E252" s="135"/>
    </row>
    <row r="253">
      <c r="D253" s="135"/>
      <c r="E253" s="135"/>
    </row>
    <row r="254">
      <c r="D254" s="135"/>
      <c r="E254" s="135"/>
    </row>
    <row r="255">
      <c r="D255" s="135"/>
      <c r="E255" s="135"/>
    </row>
    <row r="256">
      <c r="D256" s="135"/>
      <c r="E256" s="135"/>
    </row>
    <row r="257">
      <c r="D257" s="135"/>
      <c r="E257" s="135"/>
    </row>
    <row r="258">
      <c r="D258" s="135"/>
      <c r="E258" s="135"/>
    </row>
    <row r="259">
      <c r="D259" s="135"/>
      <c r="E259" s="135"/>
    </row>
    <row r="260">
      <c r="D260" s="135"/>
      <c r="E260" s="135"/>
    </row>
    <row r="261">
      <c r="D261" s="135"/>
      <c r="E261" s="135"/>
    </row>
    <row r="262">
      <c r="D262" s="135"/>
      <c r="E262" s="135"/>
    </row>
    <row r="263">
      <c r="D263" s="135"/>
      <c r="E263" s="135"/>
    </row>
    <row r="264">
      <c r="D264" s="135"/>
      <c r="E264" s="135"/>
    </row>
    <row r="265">
      <c r="D265" s="135"/>
      <c r="E265" s="135"/>
    </row>
    <row r="266">
      <c r="D266" s="135"/>
      <c r="E266" s="135"/>
    </row>
    <row r="267">
      <c r="D267" s="135"/>
      <c r="E267" s="135"/>
    </row>
    <row r="268">
      <c r="D268" s="135"/>
      <c r="E268" s="135"/>
    </row>
    <row r="269">
      <c r="D269" s="135"/>
      <c r="E269" s="135"/>
    </row>
    <row r="270">
      <c r="D270" s="135"/>
      <c r="E270" s="135"/>
    </row>
    <row r="271">
      <c r="D271" s="135"/>
      <c r="E271" s="135"/>
    </row>
    <row r="272">
      <c r="D272" s="135"/>
      <c r="E272" s="135"/>
    </row>
    <row r="273">
      <c r="D273" s="135"/>
      <c r="E273" s="135"/>
    </row>
    <row r="274">
      <c r="D274" s="135"/>
      <c r="E274" s="135"/>
    </row>
    <row r="275">
      <c r="D275" s="135"/>
      <c r="E275" s="135"/>
    </row>
    <row r="276">
      <c r="D276" s="135"/>
      <c r="E276" s="135"/>
    </row>
    <row r="277">
      <c r="D277" s="135"/>
      <c r="E277" s="135"/>
    </row>
    <row r="278">
      <c r="D278" s="135"/>
      <c r="E278" s="135"/>
    </row>
    <row r="279">
      <c r="D279" s="135"/>
      <c r="E279" s="135"/>
    </row>
    <row r="280">
      <c r="D280" s="135"/>
      <c r="E280" s="135"/>
    </row>
    <row r="281">
      <c r="D281" s="135"/>
      <c r="E281" s="135"/>
    </row>
    <row r="282">
      <c r="D282" s="135"/>
      <c r="E282" s="135"/>
    </row>
    <row r="283">
      <c r="D283" s="135"/>
      <c r="E283" s="135"/>
    </row>
    <row r="284">
      <c r="D284" s="135"/>
      <c r="E284" s="135"/>
    </row>
    <row r="285">
      <c r="D285" s="135"/>
      <c r="E285" s="135"/>
    </row>
    <row r="286">
      <c r="D286" s="135"/>
      <c r="E286" s="135"/>
    </row>
    <row r="287">
      <c r="D287" s="135"/>
      <c r="E287" s="135"/>
    </row>
    <row r="288">
      <c r="D288" s="135"/>
      <c r="E288" s="135"/>
    </row>
    <row r="289">
      <c r="D289" s="135"/>
      <c r="E289" s="135"/>
    </row>
    <row r="290">
      <c r="D290" s="135"/>
      <c r="E290" s="135"/>
    </row>
    <row r="291">
      <c r="D291" s="135"/>
      <c r="E291" s="135"/>
    </row>
    <row r="292">
      <c r="D292" s="135"/>
      <c r="E292" s="135"/>
    </row>
    <row r="293">
      <c r="D293" s="135"/>
      <c r="E293" s="135"/>
    </row>
    <row r="294">
      <c r="D294" s="135"/>
      <c r="E294" s="135"/>
    </row>
    <row r="295">
      <c r="D295" s="135"/>
      <c r="E295" s="135"/>
    </row>
    <row r="296">
      <c r="D296" s="135"/>
      <c r="E296" s="135"/>
    </row>
    <row r="297">
      <c r="D297" s="135"/>
      <c r="E297" s="135"/>
    </row>
    <row r="298">
      <c r="D298" s="135"/>
      <c r="E298" s="135"/>
    </row>
    <row r="299">
      <c r="D299" s="135"/>
      <c r="E299" s="135"/>
    </row>
    <row r="300">
      <c r="D300" s="135"/>
      <c r="E300" s="135"/>
    </row>
    <row r="301">
      <c r="D301" s="135"/>
      <c r="E301" s="135"/>
    </row>
    <row r="302">
      <c r="D302" s="135"/>
      <c r="E302" s="135"/>
    </row>
    <row r="303">
      <c r="D303" s="135"/>
      <c r="E303" s="135"/>
    </row>
    <row r="304">
      <c r="D304" s="135"/>
      <c r="E304" s="135"/>
    </row>
    <row r="305">
      <c r="D305" s="135"/>
      <c r="E305" s="135"/>
    </row>
    <row r="306">
      <c r="D306" s="135"/>
      <c r="E306" s="135"/>
    </row>
    <row r="307">
      <c r="D307" s="135"/>
      <c r="E307" s="135"/>
    </row>
    <row r="308">
      <c r="D308" s="135"/>
      <c r="E308" s="135"/>
    </row>
    <row r="309">
      <c r="D309" s="135"/>
      <c r="E309" s="135"/>
    </row>
    <row r="310">
      <c r="D310" s="135"/>
      <c r="E310" s="135"/>
    </row>
    <row r="311">
      <c r="D311" s="135"/>
      <c r="E311" s="135"/>
    </row>
    <row r="312">
      <c r="D312" s="135"/>
      <c r="E312" s="135"/>
    </row>
    <row r="313">
      <c r="D313" s="135"/>
      <c r="E313" s="135"/>
    </row>
    <row r="314">
      <c r="D314" s="135"/>
      <c r="E314" s="135"/>
    </row>
    <row r="315">
      <c r="D315" s="135"/>
      <c r="E315" s="135"/>
    </row>
    <row r="316">
      <c r="D316" s="135"/>
      <c r="E316" s="135"/>
    </row>
    <row r="317">
      <c r="D317" s="135"/>
      <c r="E317" s="135"/>
    </row>
    <row r="318">
      <c r="D318" s="135"/>
      <c r="E318" s="135"/>
    </row>
    <row r="319">
      <c r="D319" s="135"/>
      <c r="E319" s="135"/>
    </row>
    <row r="320">
      <c r="D320" s="135"/>
      <c r="E320" s="135"/>
    </row>
    <row r="321">
      <c r="D321" s="135"/>
      <c r="E321" s="135"/>
    </row>
    <row r="322">
      <c r="D322" s="135"/>
      <c r="E322" s="135"/>
    </row>
    <row r="323">
      <c r="D323" s="135"/>
      <c r="E323" s="135"/>
    </row>
    <row r="324">
      <c r="D324" s="135"/>
      <c r="E324" s="135"/>
    </row>
    <row r="325">
      <c r="D325" s="135"/>
      <c r="E325" s="135"/>
    </row>
    <row r="326">
      <c r="D326" s="135"/>
      <c r="E326" s="135"/>
    </row>
    <row r="327">
      <c r="D327" s="135"/>
      <c r="E327" s="135"/>
    </row>
    <row r="328">
      <c r="D328" s="135"/>
      <c r="E328" s="135"/>
    </row>
    <row r="329">
      <c r="D329" s="135"/>
      <c r="E329" s="135"/>
    </row>
    <row r="330">
      <c r="D330" s="135"/>
      <c r="E330" s="135"/>
    </row>
    <row r="331">
      <c r="D331" s="135"/>
      <c r="E331" s="135"/>
    </row>
    <row r="332">
      <c r="D332" s="135"/>
      <c r="E332" s="135"/>
    </row>
    <row r="333">
      <c r="D333" s="135"/>
      <c r="E333" s="135"/>
    </row>
    <row r="334">
      <c r="D334" s="135"/>
      <c r="E334" s="135"/>
    </row>
    <row r="335">
      <c r="D335" s="135"/>
      <c r="E335" s="135"/>
    </row>
    <row r="336">
      <c r="D336" s="135"/>
      <c r="E336" s="135"/>
    </row>
    <row r="337">
      <c r="D337" s="135"/>
      <c r="E337" s="135"/>
    </row>
    <row r="338">
      <c r="D338" s="135"/>
      <c r="E338" s="135"/>
    </row>
    <row r="339">
      <c r="D339" s="135"/>
      <c r="E339" s="135"/>
    </row>
    <row r="340">
      <c r="D340" s="135"/>
      <c r="E340" s="135"/>
    </row>
    <row r="341">
      <c r="D341" s="135"/>
      <c r="E341" s="135"/>
    </row>
    <row r="342">
      <c r="D342" s="135"/>
      <c r="E342" s="135"/>
    </row>
    <row r="343">
      <c r="D343" s="135"/>
      <c r="E343" s="135"/>
    </row>
    <row r="344">
      <c r="D344" s="135"/>
      <c r="E344" s="135"/>
    </row>
    <row r="345">
      <c r="D345" s="135"/>
      <c r="E345" s="135"/>
    </row>
    <row r="346">
      <c r="D346" s="135"/>
      <c r="E346" s="135"/>
    </row>
    <row r="347">
      <c r="D347" s="135"/>
      <c r="E347" s="135"/>
    </row>
    <row r="348">
      <c r="D348" s="135"/>
      <c r="E348" s="135"/>
    </row>
    <row r="349">
      <c r="D349" s="135"/>
      <c r="E349" s="135"/>
    </row>
    <row r="350">
      <c r="D350" s="135"/>
      <c r="E350" s="135"/>
    </row>
    <row r="351">
      <c r="D351" s="135"/>
      <c r="E351" s="135"/>
    </row>
    <row r="352">
      <c r="D352" s="135"/>
      <c r="E352" s="135"/>
    </row>
    <row r="353">
      <c r="D353" s="135"/>
      <c r="E353" s="135"/>
    </row>
    <row r="354">
      <c r="D354" s="135"/>
      <c r="E354" s="135"/>
    </row>
    <row r="355">
      <c r="D355" s="135"/>
      <c r="E355" s="135"/>
    </row>
    <row r="356">
      <c r="D356" s="135"/>
      <c r="E356" s="135"/>
    </row>
    <row r="357">
      <c r="D357" s="135"/>
      <c r="E357" s="135"/>
    </row>
    <row r="358">
      <c r="D358" s="135"/>
      <c r="E358" s="135"/>
    </row>
    <row r="359">
      <c r="D359" s="135"/>
      <c r="E359" s="135"/>
    </row>
    <row r="360">
      <c r="D360" s="135"/>
      <c r="E360" s="135"/>
    </row>
    <row r="361">
      <c r="D361" s="135"/>
      <c r="E361" s="135"/>
    </row>
    <row r="362">
      <c r="D362" s="135"/>
      <c r="E362" s="135"/>
    </row>
    <row r="363">
      <c r="D363" s="135"/>
      <c r="E363" s="135"/>
    </row>
    <row r="364">
      <c r="D364" s="135"/>
      <c r="E364" s="135"/>
    </row>
    <row r="365">
      <c r="D365" s="135"/>
      <c r="E365" s="135"/>
    </row>
    <row r="366">
      <c r="D366" s="135"/>
      <c r="E366" s="135"/>
    </row>
    <row r="367">
      <c r="D367" s="135"/>
      <c r="E367" s="135"/>
    </row>
    <row r="368">
      <c r="D368" s="135"/>
      <c r="E368" s="135"/>
    </row>
    <row r="369">
      <c r="D369" s="135"/>
      <c r="E369" s="135"/>
    </row>
    <row r="370">
      <c r="D370" s="135"/>
      <c r="E370" s="135"/>
    </row>
    <row r="371">
      <c r="D371" s="135"/>
      <c r="E371" s="135"/>
    </row>
    <row r="372">
      <c r="D372" s="135"/>
      <c r="E372" s="135"/>
    </row>
    <row r="373">
      <c r="D373" s="135"/>
      <c r="E373" s="135"/>
    </row>
    <row r="374">
      <c r="D374" s="135"/>
      <c r="E374" s="135"/>
    </row>
    <row r="375">
      <c r="D375" s="135"/>
      <c r="E375" s="135"/>
    </row>
    <row r="376">
      <c r="D376" s="135"/>
      <c r="E376" s="135"/>
    </row>
    <row r="377">
      <c r="D377" s="135"/>
      <c r="E377" s="135"/>
    </row>
    <row r="378">
      <c r="D378" s="135"/>
      <c r="E378" s="135"/>
    </row>
    <row r="379">
      <c r="D379" s="135"/>
      <c r="E379" s="135"/>
    </row>
    <row r="380">
      <c r="D380" s="135"/>
      <c r="E380" s="135"/>
    </row>
    <row r="381">
      <c r="D381" s="135"/>
      <c r="E381" s="135"/>
    </row>
    <row r="382">
      <c r="D382" s="135"/>
      <c r="E382" s="135"/>
    </row>
    <row r="383">
      <c r="D383" s="135"/>
      <c r="E383" s="135"/>
    </row>
    <row r="384">
      <c r="D384" s="135"/>
      <c r="E384" s="135"/>
    </row>
    <row r="385">
      <c r="D385" s="135"/>
      <c r="E385" s="135"/>
    </row>
    <row r="386">
      <c r="D386" s="135"/>
      <c r="E386" s="135"/>
    </row>
    <row r="387">
      <c r="D387" s="135"/>
      <c r="E387" s="135"/>
    </row>
    <row r="388">
      <c r="D388" s="135"/>
      <c r="E388" s="135"/>
    </row>
    <row r="389">
      <c r="D389" s="135"/>
      <c r="E389" s="135"/>
    </row>
    <row r="390">
      <c r="D390" s="135"/>
      <c r="E390" s="135"/>
    </row>
    <row r="391">
      <c r="D391" s="135"/>
      <c r="E391" s="135"/>
    </row>
    <row r="392">
      <c r="D392" s="135"/>
      <c r="E392" s="135"/>
    </row>
    <row r="393">
      <c r="D393" s="135"/>
      <c r="E393" s="135"/>
    </row>
    <row r="394">
      <c r="D394" s="135"/>
      <c r="E394" s="135"/>
    </row>
    <row r="395">
      <c r="D395" s="135"/>
      <c r="E395" s="135"/>
    </row>
    <row r="396">
      <c r="D396" s="135"/>
      <c r="E396" s="135"/>
    </row>
    <row r="397">
      <c r="D397" s="135"/>
      <c r="E397" s="135"/>
    </row>
    <row r="398">
      <c r="D398" s="135"/>
      <c r="E398" s="135"/>
    </row>
    <row r="399">
      <c r="D399" s="135"/>
      <c r="E399" s="135"/>
    </row>
    <row r="400">
      <c r="D400" s="135"/>
      <c r="E400" s="135"/>
    </row>
    <row r="401">
      <c r="D401" s="135"/>
      <c r="E401" s="135"/>
    </row>
    <row r="402">
      <c r="D402" s="135"/>
      <c r="E402" s="135"/>
    </row>
    <row r="403">
      <c r="D403" s="135"/>
      <c r="E403" s="135"/>
    </row>
    <row r="404">
      <c r="D404" s="135"/>
      <c r="E404" s="135"/>
    </row>
    <row r="405">
      <c r="D405" s="135"/>
      <c r="E405" s="135"/>
    </row>
    <row r="406">
      <c r="D406" s="135"/>
      <c r="E406" s="135"/>
    </row>
    <row r="407">
      <c r="D407" s="135"/>
      <c r="E407" s="135"/>
    </row>
    <row r="408">
      <c r="D408" s="135"/>
      <c r="E408" s="135"/>
    </row>
    <row r="409">
      <c r="D409" s="135"/>
      <c r="E409" s="135"/>
    </row>
    <row r="410">
      <c r="D410" s="135"/>
      <c r="E410" s="135"/>
    </row>
    <row r="411">
      <c r="D411" s="135"/>
      <c r="E411" s="135"/>
    </row>
    <row r="412">
      <c r="D412" s="135"/>
      <c r="E412" s="135"/>
    </row>
    <row r="413">
      <c r="D413" s="135"/>
      <c r="E413" s="135"/>
    </row>
    <row r="414">
      <c r="D414" s="135"/>
      <c r="E414" s="135"/>
    </row>
    <row r="415">
      <c r="D415" s="135"/>
      <c r="E415" s="135"/>
    </row>
    <row r="416">
      <c r="D416" s="135"/>
      <c r="E416" s="135"/>
    </row>
    <row r="417">
      <c r="D417" s="135"/>
      <c r="E417" s="135"/>
    </row>
    <row r="418">
      <c r="D418" s="135"/>
      <c r="E418" s="135"/>
    </row>
    <row r="419">
      <c r="D419" s="135"/>
      <c r="E419" s="135"/>
    </row>
    <row r="420">
      <c r="D420" s="135"/>
      <c r="E420" s="135"/>
    </row>
    <row r="421">
      <c r="D421" s="135"/>
      <c r="E421" s="135"/>
    </row>
    <row r="422">
      <c r="D422" s="135"/>
      <c r="E422" s="135"/>
    </row>
    <row r="423">
      <c r="D423" s="135"/>
      <c r="E423" s="135"/>
    </row>
    <row r="424">
      <c r="D424" s="135"/>
      <c r="E424" s="135"/>
    </row>
    <row r="425">
      <c r="D425" s="135"/>
      <c r="E425" s="135"/>
    </row>
    <row r="426">
      <c r="D426" s="135"/>
      <c r="E426" s="135"/>
    </row>
    <row r="427">
      <c r="D427" s="135"/>
      <c r="E427" s="135"/>
    </row>
    <row r="428">
      <c r="D428" s="135"/>
      <c r="E428" s="135"/>
    </row>
    <row r="429">
      <c r="D429" s="135"/>
      <c r="E429" s="135"/>
    </row>
    <row r="430">
      <c r="D430" s="135"/>
      <c r="E430" s="135"/>
    </row>
    <row r="431">
      <c r="D431" s="135"/>
      <c r="E431" s="135"/>
    </row>
    <row r="432">
      <c r="D432" s="135"/>
      <c r="E432" s="135"/>
    </row>
    <row r="433">
      <c r="D433" s="135"/>
      <c r="E433" s="135"/>
    </row>
    <row r="434">
      <c r="D434" s="135"/>
      <c r="E434" s="135"/>
    </row>
    <row r="435">
      <c r="D435" s="135"/>
      <c r="E435" s="135"/>
    </row>
    <row r="436">
      <c r="D436" s="135"/>
      <c r="E436" s="135"/>
    </row>
    <row r="437">
      <c r="D437" s="135"/>
      <c r="E437" s="135"/>
    </row>
    <row r="438">
      <c r="D438" s="135"/>
      <c r="E438" s="135"/>
    </row>
    <row r="439">
      <c r="D439" s="135"/>
      <c r="E439" s="135"/>
    </row>
    <row r="440">
      <c r="D440" s="135"/>
      <c r="E440" s="135"/>
    </row>
    <row r="441">
      <c r="D441" s="135"/>
      <c r="E441" s="135"/>
    </row>
    <row r="442">
      <c r="D442" s="135"/>
      <c r="E442" s="135"/>
    </row>
    <row r="443">
      <c r="D443" s="135"/>
      <c r="E443" s="135"/>
    </row>
    <row r="444">
      <c r="D444" s="135"/>
      <c r="E444" s="135"/>
    </row>
    <row r="445">
      <c r="D445" s="135"/>
      <c r="E445" s="135"/>
    </row>
    <row r="446">
      <c r="D446" s="135"/>
      <c r="E446" s="135"/>
    </row>
    <row r="447">
      <c r="D447" s="135"/>
      <c r="E447" s="135"/>
    </row>
    <row r="448">
      <c r="D448" s="135"/>
      <c r="E448" s="135"/>
    </row>
    <row r="449">
      <c r="D449" s="135"/>
      <c r="E449" s="135"/>
    </row>
    <row r="450">
      <c r="D450" s="135"/>
      <c r="E450" s="135"/>
    </row>
    <row r="451">
      <c r="D451" s="135"/>
      <c r="E451" s="135"/>
    </row>
    <row r="452">
      <c r="D452" s="135"/>
      <c r="E452" s="135"/>
    </row>
    <row r="453">
      <c r="D453" s="135"/>
      <c r="E453" s="135"/>
    </row>
    <row r="454">
      <c r="D454" s="135"/>
      <c r="E454" s="135"/>
    </row>
    <row r="455">
      <c r="D455" s="135"/>
      <c r="E455" s="135"/>
    </row>
    <row r="456">
      <c r="D456" s="135"/>
      <c r="E456" s="135"/>
    </row>
    <row r="457">
      <c r="D457" s="135"/>
      <c r="E457" s="135"/>
    </row>
    <row r="458">
      <c r="D458" s="135"/>
      <c r="E458" s="135"/>
    </row>
    <row r="459">
      <c r="D459" s="135"/>
      <c r="E459" s="135"/>
    </row>
    <row r="460">
      <c r="D460" s="135"/>
      <c r="E460" s="135"/>
    </row>
    <row r="461">
      <c r="D461" s="135"/>
      <c r="E461" s="135"/>
    </row>
    <row r="462">
      <c r="D462" s="135"/>
      <c r="E462" s="135"/>
    </row>
    <row r="463">
      <c r="D463" s="135"/>
      <c r="E463" s="135"/>
    </row>
    <row r="464">
      <c r="D464" s="135"/>
      <c r="E464" s="135"/>
    </row>
    <row r="465">
      <c r="D465" s="135"/>
      <c r="E465" s="135"/>
    </row>
    <row r="466">
      <c r="D466" s="135"/>
      <c r="E466" s="135"/>
    </row>
    <row r="467">
      <c r="D467" s="135"/>
      <c r="E467" s="135"/>
    </row>
    <row r="468">
      <c r="D468" s="135"/>
      <c r="E468" s="135"/>
    </row>
    <row r="469">
      <c r="D469" s="135"/>
      <c r="E469" s="135"/>
    </row>
    <row r="470">
      <c r="D470" s="135"/>
      <c r="E470" s="135"/>
    </row>
    <row r="471">
      <c r="D471" s="135"/>
      <c r="E471" s="135"/>
    </row>
    <row r="472">
      <c r="D472" s="135"/>
      <c r="E472" s="135"/>
    </row>
    <row r="473">
      <c r="D473" s="135"/>
      <c r="E473" s="135"/>
    </row>
    <row r="474">
      <c r="D474" s="135"/>
      <c r="E474" s="135"/>
    </row>
    <row r="475">
      <c r="D475" s="135"/>
      <c r="E475" s="135"/>
    </row>
    <row r="476">
      <c r="D476" s="135"/>
      <c r="E476" s="135"/>
    </row>
    <row r="477">
      <c r="D477" s="135"/>
      <c r="E477" s="135"/>
    </row>
    <row r="478">
      <c r="D478" s="135"/>
      <c r="E478" s="135"/>
    </row>
    <row r="479">
      <c r="D479" s="135"/>
      <c r="E479" s="135"/>
    </row>
    <row r="480">
      <c r="D480" s="135"/>
      <c r="E480" s="135"/>
    </row>
    <row r="481">
      <c r="D481" s="135"/>
      <c r="E481" s="135"/>
    </row>
    <row r="482">
      <c r="D482" s="135"/>
      <c r="E482" s="135"/>
    </row>
    <row r="483">
      <c r="D483" s="135"/>
      <c r="E483" s="135"/>
    </row>
    <row r="484">
      <c r="D484" s="135"/>
      <c r="E484" s="135"/>
    </row>
    <row r="485">
      <c r="D485" s="135"/>
      <c r="E485" s="135"/>
    </row>
    <row r="486">
      <c r="D486" s="135"/>
      <c r="E486" s="135"/>
    </row>
    <row r="487">
      <c r="D487" s="135"/>
      <c r="E487" s="135"/>
    </row>
    <row r="488">
      <c r="D488" s="135"/>
      <c r="E488" s="135"/>
    </row>
    <row r="489">
      <c r="D489" s="135"/>
      <c r="E489" s="135"/>
    </row>
    <row r="490">
      <c r="D490" s="135"/>
      <c r="E490" s="135"/>
    </row>
    <row r="491">
      <c r="D491" s="135"/>
      <c r="E491" s="135"/>
    </row>
    <row r="492">
      <c r="D492" s="135"/>
      <c r="E492" s="135"/>
    </row>
    <row r="493">
      <c r="D493" s="135"/>
      <c r="E493" s="135"/>
    </row>
    <row r="494">
      <c r="D494" s="135"/>
      <c r="E494" s="135"/>
    </row>
    <row r="495">
      <c r="D495" s="135"/>
      <c r="E495" s="135"/>
    </row>
    <row r="496">
      <c r="D496" s="135"/>
      <c r="E496" s="135"/>
    </row>
    <row r="497">
      <c r="D497" s="135"/>
      <c r="E497" s="135"/>
    </row>
    <row r="498">
      <c r="D498" s="135"/>
      <c r="E498" s="135"/>
    </row>
    <row r="499">
      <c r="D499" s="135"/>
      <c r="E499" s="135"/>
    </row>
    <row r="500">
      <c r="D500" s="135"/>
      <c r="E500" s="135"/>
    </row>
    <row r="501">
      <c r="D501" s="135"/>
      <c r="E501" s="135"/>
    </row>
    <row r="502">
      <c r="D502" s="135"/>
      <c r="E502" s="135"/>
    </row>
    <row r="503">
      <c r="D503" s="135"/>
      <c r="E503" s="135"/>
    </row>
    <row r="504">
      <c r="D504" s="135"/>
      <c r="E504" s="135"/>
    </row>
    <row r="505">
      <c r="D505" s="135"/>
      <c r="E505" s="135"/>
    </row>
    <row r="506">
      <c r="D506" s="135"/>
      <c r="E506" s="135"/>
    </row>
    <row r="507">
      <c r="D507" s="135"/>
      <c r="E507" s="135"/>
    </row>
    <row r="508">
      <c r="D508" s="135"/>
      <c r="E508" s="135"/>
    </row>
    <row r="509">
      <c r="D509" s="135"/>
      <c r="E509" s="135"/>
    </row>
    <row r="510">
      <c r="D510" s="135"/>
      <c r="E510" s="135"/>
    </row>
    <row r="511">
      <c r="D511" s="135"/>
      <c r="E511" s="135"/>
    </row>
    <row r="512">
      <c r="D512" s="135"/>
      <c r="E512" s="135"/>
    </row>
    <row r="513">
      <c r="D513" s="135"/>
      <c r="E513" s="135"/>
    </row>
    <row r="514">
      <c r="D514" s="135"/>
      <c r="E514" s="135"/>
    </row>
    <row r="515">
      <c r="D515" s="135"/>
      <c r="E515" s="135"/>
    </row>
    <row r="516">
      <c r="D516" s="135"/>
      <c r="E516" s="135"/>
    </row>
    <row r="517">
      <c r="D517" s="135"/>
      <c r="E517" s="135"/>
    </row>
    <row r="518">
      <c r="D518" s="135"/>
      <c r="E518" s="135"/>
    </row>
    <row r="519">
      <c r="D519" s="135"/>
      <c r="E519" s="135"/>
    </row>
    <row r="520">
      <c r="D520" s="135"/>
      <c r="E520" s="135"/>
    </row>
    <row r="521">
      <c r="D521" s="135"/>
      <c r="E521" s="135"/>
    </row>
    <row r="522">
      <c r="D522" s="135"/>
      <c r="E522" s="135"/>
    </row>
    <row r="523">
      <c r="D523" s="135"/>
      <c r="E523" s="135"/>
    </row>
    <row r="524">
      <c r="D524" s="135"/>
      <c r="E524" s="135"/>
    </row>
    <row r="525">
      <c r="D525" s="135"/>
      <c r="E525" s="135"/>
    </row>
    <row r="526">
      <c r="D526" s="135"/>
      <c r="E526" s="135"/>
    </row>
    <row r="527">
      <c r="D527" s="135"/>
      <c r="E527" s="135"/>
    </row>
    <row r="528">
      <c r="D528" s="135"/>
      <c r="E528" s="135"/>
    </row>
    <row r="529">
      <c r="D529" s="135"/>
      <c r="E529" s="135"/>
    </row>
    <row r="530">
      <c r="D530" s="135"/>
      <c r="E530" s="135"/>
    </row>
    <row r="531">
      <c r="D531" s="135"/>
      <c r="E531" s="135"/>
    </row>
    <row r="532">
      <c r="D532" s="135"/>
      <c r="E532" s="135"/>
    </row>
    <row r="533">
      <c r="D533" s="135"/>
      <c r="E533" s="135"/>
    </row>
    <row r="534">
      <c r="D534" s="135"/>
      <c r="E534" s="135"/>
    </row>
    <row r="535">
      <c r="D535" s="135"/>
      <c r="E535" s="135"/>
    </row>
    <row r="536">
      <c r="D536" s="135"/>
      <c r="E536" s="135"/>
    </row>
    <row r="537">
      <c r="D537" s="135"/>
      <c r="E537" s="135"/>
    </row>
    <row r="538">
      <c r="D538" s="135"/>
      <c r="E538" s="135"/>
    </row>
    <row r="539">
      <c r="D539" s="135"/>
      <c r="E539" s="135"/>
    </row>
    <row r="540">
      <c r="D540" s="135"/>
      <c r="E540" s="135"/>
    </row>
    <row r="541">
      <c r="D541" s="135"/>
      <c r="E541" s="135"/>
    </row>
    <row r="542">
      <c r="D542" s="135"/>
      <c r="E542" s="135"/>
    </row>
    <row r="543">
      <c r="D543" s="135"/>
      <c r="E543" s="135"/>
    </row>
    <row r="544">
      <c r="D544" s="135"/>
      <c r="E544" s="135"/>
    </row>
    <row r="545">
      <c r="D545" s="135"/>
      <c r="E545" s="135"/>
    </row>
    <row r="546">
      <c r="D546" s="135"/>
      <c r="E546" s="135"/>
    </row>
    <row r="547">
      <c r="D547" s="135"/>
      <c r="E547" s="135"/>
    </row>
    <row r="548">
      <c r="D548" s="135"/>
      <c r="E548" s="135"/>
    </row>
    <row r="549">
      <c r="D549" s="135"/>
      <c r="E549" s="135"/>
    </row>
    <row r="550">
      <c r="D550" s="135"/>
      <c r="E550" s="135"/>
    </row>
    <row r="551">
      <c r="D551" s="135"/>
      <c r="E551" s="135"/>
    </row>
    <row r="552">
      <c r="D552" s="135"/>
      <c r="E552" s="135"/>
    </row>
    <row r="553">
      <c r="D553" s="135"/>
      <c r="E553" s="135"/>
    </row>
    <row r="554">
      <c r="D554" s="135"/>
      <c r="E554" s="135"/>
    </row>
    <row r="555">
      <c r="D555" s="135"/>
      <c r="E555" s="135"/>
    </row>
    <row r="556">
      <c r="D556" s="135"/>
      <c r="E556" s="135"/>
    </row>
    <row r="557">
      <c r="D557" s="135"/>
      <c r="E557" s="135"/>
    </row>
    <row r="558">
      <c r="D558" s="135"/>
      <c r="E558" s="135"/>
    </row>
    <row r="559">
      <c r="D559" s="135"/>
      <c r="E559" s="135"/>
    </row>
    <row r="560">
      <c r="D560" s="135"/>
      <c r="E560" s="135"/>
    </row>
    <row r="561">
      <c r="D561" s="135"/>
      <c r="E561" s="135"/>
    </row>
    <row r="562">
      <c r="D562" s="135"/>
      <c r="E562" s="135"/>
    </row>
    <row r="563">
      <c r="D563" s="135"/>
      <c r="E563" s="135"/>
    </row>
    <row r="564">
      <c r="D564" s="135"/>
      <c r="E564" s="135"/>
    </row>
    <row r="565">
      <c r="D565" s="135"/>
      <c r="E565" s="135"/>
    </row>
    <row r="566">
      <c r="D566" s="135"/>
      <c r="E566" s="135"/>
    </row>
    <row r="567">
      <c r="D567" s="135"/>
      <c r="E567" s="135"/>
    </row>
    <row r="568">
      <c r="D568" s="135"/>
      <c r="E568" s="135"/>
    </row>
    <row r="569">
      <c r="D569" s="135"/>
      <c r="E569" s="135"/>
    </row>
    <row r="570">
      <c r="D570" s="135"/>
      <c r="E570" s="135"/>
    </row>
    <row r="571">
      <c r="D571" s="135"/>
      <c r="E571" s="135"/>
    </row>
    <row r="572">
      <c r="D572" s="135"/>
      <c r="E572" s="135"/>
    </row>
    <row r="573">
      <c r="D573" s="135"/>
      <c r="E573" s="135"/>
    </row>
    <row r="574">
      <c r="D574" s="135"/>
      <c r="E574" s="135"/>
    </row>
    <row r="575">
      <c r="D575" s="135"/>
      <c r="E575" s="135"/>
    </row>
    <row r="576">
      <c r="D576" s="135"/>
      <c r="E576" s="135"/>
    </row>
    <row r="577">
      <c r="D577" s="135"/>
      <c r="E577" s="135"/>
    </row>
    <row r="578">
      <c r="D578" s="135"/>
      <c r="E578" s="135"/>
    </row>
    <row r="579">
      <c r="D579" s="135"/>
      <c r="E579" s="135"/>
    </row>
    <row r="580">
      <c r="D580" s="135"/>
      <c r="E580" s="135"/>
    </row>
    <row r="581">
      <c r="D581" s="135"/>
      <c r="E581" s="135"/>
    </row>
    <row r="582">
      <c r="D582" s="135"/>
      <c r="E582" s="135"/>
    </row>
    <row r="583">
      <c r="D583" s="135"/>
      <c r="E583" s="135"/>
    </row>
    <row r="584">
      <c r="D584" s="135"/>
      <c r="E584" s="135"/>
    </row>
    <row r="585">
      <c r="D585" s="135"/>
      <c r="E585" s="135"/>
    </row>
    <row r="586">
      <c r="D586" s="135"/>
      <c r="E586" s="135"/>
    </row>
    <row r="587">
      <c r="D587" s="135"/>
      <c r="E587" s="135"/>
    </row>
    <row r="588">
      <c r="D588" s="135"/>
      <c r="E588" s="135"/>
    </row>
    <row r="589">
      <c r="D589" s="135"/>
      <c r="E589" s="135"/>
    </row>
    <row r="590">
      <c r="D590" s="135"/>
      <c r="E590" s="135"/>
    </row>
    <row r="591">
      <c r="D591" s="135"/>
      <c r="E591" s="135"/>
    </row>
    <row r="592">
      <c r="D592" s="135"/>
      <c r="E592" s="135"/>
    </row>
    <row r="593">
      <c r="D593" s="135"/>
      <c r="E593" s="135"/>
    </row>
    <row r="594">
      <c r="D594" s="135"/>
      <c r="E594" s="135"/>
    </row>
    <row r="595">
      <c r="D595" s="135"/>
      <c r="E595" s="135"/>
    </row>
    <row r="596">
      <c r="D596" s="135"/>
      <c r="E596" s="135"/>
    </row>
    <row r="597">
      <c r="D597" s="135"/>
      <c r="E597" s="135"/>
    </row>
    <row r="598">
      <c r="D598" s="135"/>
      <c r="E598" s="135"/>
    </row>
    <row r="599">
      <c r="D599" s="135"/>
      <c r="E599" s="135"/>
    </row>
    <row r="600">
      <c r="D600" s="135"/>
      <c r="E600" s="135"/>
    </row>
    <row r="601">
      <c r="D601" s="135"/>
      <c r="E601" s="135"/>
    </row>
    <row r="602">
      <c r="D602" s="135"/>
      <c r="E602" s="135"/>
    </row>
    <row r="603">
      <c r="D603" s="135"/>
      <c r="E603" s="135"/>
    </row>
    <row r="604">
      <c r="D604" s="135"/>
      <c r="E604" s="135"/>
    </row>
    <row r="605">
      <c r="D605" s="135"/>
      <c r="E605" s="135"/>
    </row>
    <row r="606">
      <c r="D606" s="135"/>
      <c r="E606" s="135"/>
    </row>
    <row r="607">
      <c r="D607" s="135"/>
      <c r="E607" s="135"/>
    </row>
    <row r="608">
      <c r="D608" s="135"/>
      <c r="E608" s="135"/>
    </row>
    <row r="609">
      <c r="D609" s="135"/>
      <c r="E609" s="135"/>
    </row>
    <row r="610">
      <c r="D610" s="135"/>
      <c r="E610" s="135"/>
    </row>
    <row r="611">
      <c r="D611" s="135"/>
      <c r="E611" s="135"/>
    </row>
    <row r="612">
      <c r="D612" s="135"/>
      <c r="E612" s="135"/>
    </row>
    <row r="613">
      <c r="D613" s="135"/>
      <c r="E613" s="135"/>
    </row>
    <row r="614">
      <c r="D614" s="135"/>
      <c r="E614" s="135"/>
    </row>
    <row r="615">
      <c r="D615" s="135"/>
      <c r="E615" s="135"/>
    </row>
    <row r="616">
      <c r="D616" s="135"/>
      <c r="E616" s="135"/>
    </row>
    <row r="617">
      <c r="D617" s="135"/>
      <c r="E617" s="135"/>
    </row>
    <row r="618">
      <c r="D618" s="135"/>
      <c r="E618" s="135"/>
    </row>
    <row r="619">
      <c r="D619" s="135"/>
      <c r="E619" s="135"/>
    </row>
    <row r="620">
      <c r="D620" s="135"/>
      <c r="E620" s="135"/>
    </row>
    <row r="621">
      <c r="D621" s="135"/>
      <c r="E621" s="135"/>
    </row>
    <row r="622">
      <c r="D622" s="135"/>
      <c r="E622" s="135"/>
    </row>
    <row r="623">
      <c r="D623" s="135"/>
      <c r="E623" s="135"/>
    </row>
    <row r="624">
      <c r="D624" s="135"/>
      <c r="E624" s="135"/>
    </row>
    <row r="625">
      <c r="D625" s="135"/>
      <c r="E625" s="135"/>
    </row>
    <row r="626">
      <c r="D626" s="135"/>
      <c r="E626" s="135"/>
    </row>
    <row r="627">
      <c r="D627" s="135"/>
      <c r="E627" s="135"/>
    </row>
    <row r="628">
      <c r="D628" s="135"/>
      <c r="E628" s="135"/>
    </row>
    <row r="629">
      <c r="D629" s="135"/>
      <c r="E629" s="135"/>
    </row>
    <row r="630">
      <c r="D630" s="135"/>
      <c r="E630" s="135"/>
    </row>
    <row r="631">
      <c r="D631" s="135"/>
      <c r="E631" s="135"/>
    </row>
    <row r="632">
      <c r="D632" s="135"/>
      <c r="E632" s="135"/>
    </row>
    <row r="633">
      <c r="D633" s="135"/>
      <c r="E633" s="135"/>
    </row>
    <row r="634">
      <c r="D634" s="135"/>
      <c r="E634" s="135"/>
    </row>
    <row r="635">
      <c r="D635" s="135"/>
      <c r="E635" s="135"/>
    </row>
    <row r="636">
      <c r="D636" s="135"/>
      <c r="E636" s="135"/>
    </row>
    <row r="637">
      <c r="D637" s="135"/>
      <c r="E637" s="135"/>
    </row>
    <row r="638">
      <c r="D638" s="135"/>
      <c r="E638" s="135"/>
    </row>
    <row r="639">
      <c r="D639" s="135"/>
      <c r="E639" s="135"/>
    </row>
    <row r="640">
      <c r="D640" s="135"/>
      <c r="E640" s="135"/>
    </row>
    <row r="641">
      <c r="D641" s="135"/>
      <c r="E641" s="135"/>
    </row>
    <row r="642">
      <c r="D642" s="135"/>
      <c r="E642" s="135"/>
    </row>
    <row r="643">
      <c r="D643" s="135"/>
      <c r="E643" s="135"/>
    </row>
    <row r="644">
      <c r="D644" s="135"/>
      <c r="E644" s="135"/>
    </row>
    <row r="645">
      <c r="D645" s="135"/>
      <c r="E645" s="135"/>
    </row>
    <row r="646">
      <c r="D646" s="135"/>
      <c r="E646" s="135"/>
    </row>
    <row r="647">
      <c r="D647" s="135"/>
      <c r="E647" s="135"/>
    </row>
    <row r="648">
      <c r="D648" s="135"/>
      <c r="E648" s="135"/>
    </row>
    <row r="649">
      <c r="D649" s="135"/>
      <c r="E649" s="135"/>
    </row>
    <row r="650">
      <c r="D650" s="135"/>
      <c r="E650" s="135"/>
    </row>
    <row r="651">
      <c r="D651" s="135"/>
      <c r="E651" s="135"/>
    </row>
    <row r="652">
      <c r="D652" s="135"/>
      <c r="E652" s="135"/>
    </row>
    <row r="653">
      <c r="D653" s="135"/>
      <c r="E653" s="135"/>
    </row>
    <row r="654">
      <c r="D654" s="135"/>
      <c r="E654" s="135"/>
    </row>
    <row r="655">
      <c r="D655" s="135"/>
      <c r="E655" s="135"/>
    </row>
    <row r="656">
      <c r="D656" s="135"/>
      <c r="E656" s="135"/>
    </row>
    <row r="657">
      <c r="D657" s="135"/>
      <c r="E657" s="135"/>
    </row>
    <row r="658">
      <c r="D658" s="135"/>
      <c r="E658" s="135"/>
    </row>
    <row r="659">
      <c r="D659" s="135"/>
      <c r="E659" s="135"/>
    </row>
    <row r="660">
      <c r="D660" s="135"/>
      <c r="E660" s="135"/>
    </row>
    <row r="661">
      <c r="D661" s="135"/>
      <c r="E661" s="135"/>
    </row>
    <row r="662">
      <c r="D662" s="135"/>
      <c r="E662" s="135"/>
    </row>
    <row r="663">
      <c r="D663" s="135"/>
      <c r="E663" s="135"/>
    </row>
    <row r="664">
      <c r="D664" s="135"/>
      <c r="E664" s="135"/>
    </row>
    <row r="665">
      <c r="D665" s="135"/>
      <c r="E665" s="135"/>
    </row>
    <row r="666">
      <c r="D666" s="135"/>
      <c r="E666" s="135"/>
    </row>
    <row r="667">
      <c r="D667" s="135"/>
      <c r="E667" s="135"/>
    </row>
    <row r="668">
      <c r="D668" s="135"/>
      <c r="E668" s="135"/>
    </row>
    <row r="669">
      <c r="D669" s="135"/>
      <c r="E669" s="135"/>
    </row>
    <row r="670">
      <c r="D670" s="135"/>
      <c r="E670" s="135"/>
    </row>
    <row r="671">
      <c r="D671" s="135"/>
      <c r="E671" s="135"/>
    </row>
    <row r="672">
      <c r="D672" s="135"/>
      <c r="E672" s="135"/>
    </row>
    <row r="673">
      <c r="D673" s="135"/>
      <c r="E673" s="135"/>
    </row>
    <row r="674">
      <c r="D674" s="135"/>
      <c r="E674" s="135"/>
    </row>
    <row r="675">
      <c r="D675" s="135"/>
      <c r="E675" s="135"/>
    </row>
    <row r="676">
      <c r="D676" s="135"/>
      <c r="E676" s="135"/>
    </row>
    <row r="677">
      <c r="D677" s="135"/>
      <c r="E677" s="135"/>
    </row>
    <row r="678">
      <c r="D678" s="135"/>
      <c r="E678" s="135"/>
    </row>
    <row r="679">
      <c r="D679" s="135"/>
      <c r="E679" s="135"/>
    </row>
    <row r="680">
      <c r="D680" s="135"/>
      <c r="E680" s="135"/>
    </row>
    <row r="681">
      <c r="D681" s="135"/>
      <c r="E681" s="135"/>
    </row>
    <row r="682">
      <c r="D682" s="135"/>
      <c r="E682" s="135"/>
    </row>
    <row r="683">
      <c r="D683" s="135"/>
      <c r="E683" s="135"/>
    </row>
    <row r="684">
      <c r="D684" s="135"/>
      <c r="E684" s="135"/>
    </row>
    <row r="685">
      <c r="D685" s="135"/>
      <c r="E685" s="135"/>
    </row>
    <row r="686">
      <c r="D686" s="135"/>
      <c r="E686" s="135"/>
    </row>
    <row r="687">
      <c r="D687" s="135"/>
      <c r="E687" s="135"/>
    </row>
    <row r="688">
      <c r="D688" s="135"/>
      <c r="E688" s="135"/>
    </row>
    <row r="689">
      <c r="D689" s="135"/>
      <c r="E689" s="135"/>
    </row>
    <row r="690">
      <c r="D690" s="135"/>
      <c r="E690" s="135"/>
    </row>
    <row r="691">
      <c r="D691" s="135"/>
      <c r="E691" s="135"/>
    </row>
    <row r="692">
      <c r="D692" s="135"/>
      <c r="E692" s="135"/>
    </row>
    <row r="693">
      <c r="D693" s="135"/>
      <c r="E693" s="135"/>
    </row>
    <row r="694">
      <c r="D694" s="135"/>
      <c r="E694" s="135"/>
    </row>
    <row r="695">
      <c r="D695" s="135"/>
      <c r="E695" s="135"/>
    </row>
    <row r="696">
      <c r="D696" s="135"/>
      <c r="E696" s="135"/>
    </row>
    <row r="697">
      <c r="D697" s="135"/>
      <c r="E697" s="135"/>
    </row>
    <row r="698">
      <c r="D698" s="135"/>
      <c r="E698" s="135"/>
    </row>
    <row r="699">
      <c r="D699" s="135"/>
      <c r="E699" s="135"/>
    </row>
    <row r="700">
      <c r="D700" s="135"/>
      <c r="E700" s="135"/>
    </row>
    <row r="701">
      <c r="D701" s="135"/>
      <c r="E701" s="135"/>
    </row>
    <row r="702">
      <c r="D702" s="135"/>
      <c r="E702" s="135"/>
    </row>
    <row r="703">
      <c r="D703" s="135"/>
      <c r="E703" s="135"/>
    </row>
    <row r="704">
      <c r="D704" s="135"/>
      <c r="E704" s="135"/>
    </row>
    <row r="705">
      <c r="D705" s="135"/>
      <c r="E705" s="135"/>
    </row>
    <row r="706">
      <c r="D706" s="135"/>
      <c r="E706" s="135"/>
    </row>
    <row r="707">
      <c r="D707" s="135"/>
      <c r="E707" s="135"/>
    </row>
    <row r="708">
      <c r="D708" s="135"/>
      <c r="E708" s="135"/>
    </row>
    <row r="709">
      <c r="D709" s="135"/>
      <c r="E709" s="135"/>
    </row>
    <row r="710">
      <c r="D710" s="135"/>
      <c r="E710" s="135"/>
    </row>
    <row r="711">
      <c r="D711" s="135"/>
      <c r="E711" s="135"/>
    </row>
    <row r="712">
      <c r="D712" s="135"/>
      <c r="E712" s="135"/>
    </row>
    <row r="713">
      <c r="D713" s="135"/>
      <c r="E713" s="135"/>
    </row>
    <row r="714">
      <c r="D714" s="135"/>
      <c r="E714" s="135"/>
    </row>
    <row r="715">
      <c r="D715" s="135"/>
      <c r="E715" s="135"/>
    </row>
    <row r="716">
      <c r="D716" s="135"/>
      <c r="E716" s="135"/>
    </row>
    <row r="717">
      <c r="D717" s="135"/>
      <c r="E717" s="135"/>
    </row>
    <row r="718">
      <c r="D718" s="135"/>
      <c r="E718" s="135"/>
    </row>
    <row r="719">
      <c r="D719" s="135"/>
      <c r="E719" s="135"/>
    </row>
    <row r="720">
      <c r="D720" s="135"/>
      <c r="E720" s="135"/>
    </row>
    <row r="721">
      <c r="D721" s="135"/>
      <c r="E721" s="135"/>
    </row>
    <row r="722">
      <c r="D722" s="135"/>
      <c r="E722" s="135"/>
    </row>
    <row r="723">
      <c r="D723" s="135"/>
      <c r="E723" s="135"/>
    </row>
    <row r="724">
      <c r="D724" s="135"/>
      <c r="E724" s="135"/>
    </row>
    <row r="725">
      <c r="D725" s="135"/>
      <c r="E725" s="135"/>
    </row>
    <row r="726">
      <c r="D726" s="135"/>
      <c r="E726" s="135"/>
    </row>
    <row r="727">
      <c r="D727" s="135"/>
      <c r="E727" s="135"/>
    </row>
    <row r="728">
      <c r="D728" s="135"/>
      <c r="E728" s="135"/>
    </row>
    <row r="729">
      <c r="D729" s="135"/>
      <c r="E729" s="135"/>
    </row>
    <row r="730">
      <c r="D730" s="135"/>
      <c r="E730" s="135"/>
    </row>
    <row r="731">
      <c r="D731" s="135"/>
      <c r="E731" s="135"/>
    </row>
    <row r="732">
      <c r="D732" s="135"/>
      <c r="E732" s="135"/>
    </row>
    <row r="733">
      <c r="D733" s="135"/>
      <c r="E733" s="135"/>
    </row>
    <row r="734">
      <c r="D734" s="135"/>
      <c r="E734" s="135"/>
    </row>
    <row r="735">
      <c r="D735" s="135"/>
      <c r="E735" s="135"/>
    </row>
    <row r="736">
      <c r="D736" s="135"/>
      <c r="E736" s="135"/>
    </row>
    <row r="737">
      <c r="D737" s="135"/>
      <c r="E737" s="135"/>
    </row>
    <row r="738">
      <c r="D738" s="135"/>
      <c r="E738" s="135"/>
    </row>
    <row r="739">
      <c r="D739" s="135"/>
      <c r="E739" s="135"/>
    </row>
    <row r="740">
      <c r="D740" s="135"/>
      <c r="E740" s="135"/>
    </row>
    <row r="741">
      <c r="D741" s="135"/>
      <c r="E741" s="135"/>
    </row>
    <row r="742">
      <c r="D742" s="135"/>
      <c r="E742" s="135"/>
    </row>
    <row r="743">
      <c r="D743" s="135"/>
      <c r="E743" s="135"/>
    </row>
    <row r="744">
      <c r="D744" s="135"/>
      <c r="E744" s="135"/>
    </row>
    <row r="745">
      <c r="D745" s="135"/>
      <c r="E745" s="135"/>
    </row>
    <row r="746">
      <c r="D746" s="135"/>
      <c r="E746" s="135"/>
    </row>
    <row r="747">
      <c r="D747" s="135"/>
      <c r="E747" s="135"/>
    </row>
    <row r="748">
      <c r="D748" s="135"/>
      <c r="E748" s="135"/>
    </row>
    <row r="749">
      <c r="D749" s="135"/>
      <c r="E749" s="135"/>
    </row>
    <row r="750">
      <c r="D750" s="135"/>
      <c r="E750" s="135"/>
    </row>
    <row r="751">
      <c r="D751" s="135"/>
      <c r="E751" s="135"/>
    </row>
    <row r="752">
      <c r="D752" s="135"/>
      <c r="E752" s="135"/>
    </row>
    <row r="753">
      <c r="D753" s="135"/>
      <c r="E753" s="135"/>
    </row>
    <row r="754">
      <c r="D754" s="135"/>
      <c r="E754" s="135"/>
    </row>
    <row r="755">
      <c r="D755" s="135"/>
      <c r="E755" s="135"/>
    </row>
    <row r="756">
      <c r="D756" s="135"/>
      <c r="E756" s="135"/>
    </row>
    <row r="757">
      <c r="D757" s="135"/>
      <c r="E757" s="135"/>
    </row>
    <row r="758">
      <c r="D758" s="135"/>
      <c r="E758" s="135"/>
    </row>
    <row r="759">
      <c r="D759" s="135"/>
      <c r="E759" s="135"/>
    </row>
    <row r="760">
      <c r="D760" s="135"/>
      <c r="E760" s="135"/>
    </row>
    <row r="761">
      <c r="D761" s="135"/>
      <c r="E761" s="135"/>
    </row>
    <row r="762">
      <c r="D762" s="135"/>
      <c r="E762" s="135"/>
    </row>
    <row r="763">
      <c r="D763" s="135"/>
      <c r="E763" s="135"/>
    </row>
    <row r="764">
      <c r="D764" s="135"/>
      <c r="E764" s="135"/>
    </row>
    <row r="765">
      <c r="D765" s="135"/>
      <c r="E765" s="135"/>
    </row>
    <row r="766">
      <c r="D766" s="135"/>
      <c r="E766" s="135"/>
    </row>
    <row r="767">
      <c r="D767" s="135"/>
      <c r="E767" s="135"/>
    </row>
    <row r="768">
      <c r="D768" s="135"/>
      <c r="E768" s="135"/>
    </row>
    <row r="769">
      <c r="D769" s="135"/>
      <c r="E769" s="135"/>
    </row>
    <row r="770">
      <c r="D770" s="135"/>
      <c r="E770" s="135"/>
    </row>
    <row r="771">
      <c r="D771" s="135"/>
      <c r="E771" s="135"/>
    </row>
    <row r="772">
      <c r="D772" s="135"/>
      <c r="E772" s="135"/>
    </row>
    <row r="773">
      <c r="D773" s="135"/>
      <c r="E773" s="135"/>
    </row>
    <row r="774">
      <c r="D774" s="135"/>
      <c r="E774" s="135"/>
    </row>
    <row r="775">
      <c r="D775" s="135"/>
      <c r="E775" s="135"/>
    </row>
    <row r="776">
      <c r="D776" s="135"/>
      <c r="E776" s="135"/>
    </row>
    <row r="777">
      <c r="D777" s="135"/>
      <c r="E777" s="135"/>
    </row>
    <row r="778">
      <c r="D778" s="135"/>
      <c r="E778" s="135"/>
    </row>
    <row r="779">
      <c r="D779" s="135"/>
      <c r="E779" s="135"/>
    </row>
    <row r="780">
      <c r="D780" s="135"/>
      <c r="E780" s="135"/>
    </row>
    <row r="781">
      <c r="D781" s="135"/>
      <c r="E781" s="135"/>
    </row>
    <row r="782">
      <c r="D782" s="135"/>
      <c r="E782" s="135"/>
    </row>
    <row r="783">
      <c r="D783" s="135"/>
      <c r="E783" s="135"/>
    </row>
    <row r="784">
      <c r="D784" s="135"/>
      <c r="E784" s="135"/>
    </row>
    <row r="785">
      <c r="D785" s="135"/>
      <c r="E785" s="135"/>
    </row>
    <row r="786">
      <c r="D786" s="135"/>
      <c r="E786" s="135"/>
    </row>
    <row r="787">
      <c r="D787" s="135"/>
      <c r="E787" s="135"/>
    </row>
    <row r="788">
      <c r="D788" s="135"/>
      <c r="E788" s="135"/>
    </row>
    <row r="789">
      <c r="D789" s="135"/>
      <c r="E789" s="135"/>
    </row>
    <row r="790">
      <c r="D790" s="135"/>
      <c r="E790" s="135"/>
    </row>
    <row r="791">
      <c r="D791" s="135"/>
      <c r="E791" s="135"/>
    </row>
    <row r="792">
      <c r="D792" s="135"/>
      <c r="E792" s="135"/>
    </row>
    <row r="793">
      <c r="D793" s="135"/>
      <c r="E793" s="135"/>
    </row>
    <row r="794">
      <c r="D794" s="135"/>
      <c r="E794" s="135"/>
    </row>
    <row r="795">
      <c r="D795" s="135"/>
      <c r="E795" s="135"/>
    </row>
    <row r="796">
      <c r="D796" s="135"/>
      <c r="E796" s="135"/>
    </row>
    <row r="797">
      <c r="D797" s="135"/>
      <c r="E797" s="135"/>
    </row>
    <row r="798">
      <c r="D798" s="135"/>
      <c r="E798" s="135"/>
    </row>
    <row r="799">
      <c r="D799" s="135"/>
      <c r="E799" s="135"/>
    </row>
    <row r="800">
      <c r="D800" s="135"/>
      <c r="E800" s="135"/>
    </row>
    <row r="801">
      <c r="D801" s="135"/>
      <c r="E801" s="135"/>
    </row>
    <row r="802">
      <c r="D802" s="135"/>
      <c r="E802" s="135"/>
    </row>
    <row r="803">
      <c r="D803" s="135"/>
      <c r="E803" s="135"/>
    </row>
    <row r="804">
      <c r="D804" s="135"/>
      <c r="E804" s="135"/>
    </row>
    <row r="805">
      <c r="D805" s="135"/>
      <c r="E805" s="135"/>
    </row>
    <row r="806">
      <c r="D806" s="135"/>
      <c r="E806" s="135"/>
    </row>
    <row r="807">
      <c r="D807" s="135"/>
      <c r="E807" s="135"/>
    </row>
    <row r="808">
      <c r="D808" s="135"/>
      <c r="E808" s="135"/>
    </row>
    <row r="809">
      <c r="D809" s="135"/>
      <c r="E809" s="135"/>
    </row>
    <row r="810">
      <c r="D810" s="135"/>
      <c r="E810" s="135"/>
    </row>
    <row r="811">
      <c r="D811" s="135"/>
      <c r="E811" s="135"/>
    </row>
    <row r="812">
      <c r="D812" s="135"/>
      <c r="E812" s="135"/>
    </row>
    <row r="813">
      <c r="D813" s="135"/>
      <c r="E813" s="135"/>
    </row>
    <row r="814">
      <c r="D814" s="135"/>
      <c r="E814" s="135"/>
    </row>
    <row r="815">
      <c r="D815" s="135"/>
      <c r="E815" s="135"/>
    </row>
    <row r="816">
      <c r="D816" s="135"/>
      <c r="E816" s="135"/>
    </row>
    <row r="817">
      <c r="D817" s="135"/>
      <c r="E817" s="135"/>
    </row>
    <row r="818">
      <c r="D818" s="135"/>
      <c r="E818" s="135"/>
    </row>
    <row r="819">
      <c r="D819" s="135"/>
      <c r="E819" s="135"/>
    </row>
    <row r="820">
      <c r="D820" s="135"/>
      <c r="E820" s="135"/>
    </row>
    <row r="821">
      <c r="D821" s="135"/>
      <c r="E821" s="135"/>
    </row>
    <row r="822">
      <c r="D822" s="135"/>
      <c r="E822" s="135"/>
    </row>
    <row r="823">
      <c r="D823" s="135"/>
      <c r="E823" s="135"/>
    </row>
    <row r="824">
      <c r="D824" s="135"/>
      <c r="E824" s="135"/>
    </row>
    <row r="825">
      <c r="D825" s="135"/>
      <c r="E825" s="135"/>
    </row>
    <row r="826">
      <c r="D826" s="135"/>
      <c r="E826" s="135"/>
    </row>
    <row r="827">
      <c r="D827" s="135"/>
      <c r="E827" s="135"/>
    </row>
    <row r="828">
      <c r="D828" s="135"/>
      <c r="E828" s="135"/>
    </row>
    <row r="829">
      <c r="D829" s="135"/>
      <c r="E829" s="135"/>
    </row>
    <row r="830">
      <c r="D830" s="135"/>
      <c r="E830" s="135"/>
    </row>
    <row r="831">
      <c r="D831" s="135"/>
      <c r="E831" s="135"/>
    </row>
    <row r="832">
      <c r="D832" s="135"/>
      <c r="E832" s="135"/>
    </row>
    <row r="833">
      <c r="D833" s="135"/>
      <c r="E833" s="135"/>
    </row>
    <row r="834">
      <c r="D834" s="135"/>
      <c r="E834" s="135"/>
    </row>
    <row r="835">
      <c r="D835" s="135"/>
      <c r="E835" s="135"/>
    </row>
    <row r="836">
      <c r="D836" s="135"/>
      <c r="E836" s="135"/>
    </row>
    <row r="837">
      <c r="D837" s="135"/>
      <c r="E837" s="135"/>
    </row>
    <row r="838">
      <c r="D838" s="135"/>
      <c r="E838" s="135"/>
    </row>
    <row r="839">
      <c r="D839" s="135"/>
      <c r="E839" s="135"/>
    </row>
    <row r="840">
      <c r="D840" s="135"/>
      <c r="E840" s="135"/>
    </row>
    <row r="841">
      <c r="D841" s="135"/>
      <c r="E841" s="135"/>
    </row>
    <row r="842">
      <c r="D842" s="135"/>
      <c r="E842" s="135"/>
    </row>
    <row r="843">
      <c r="D843" s="135"/>
      <c r="E843" s="135"/>
    </row>
    <row r="844">
      <c r="D844" s="135"/>
      <c r="E844" s="135"/>
    </row>
    <row r="845">
      <c r="D845" s="135"/>
      <c r="E845" s="135"/>
    </row>
    <row r="846">
      <c r="D846" s="135"/>
      <c r="E846" s="135"/>
    </row>
    <row r="847">
      <c r="D847" s="135"/>
      <c r="E847" s="135"/>
    </row>
    <row r="848">
      <c r="D848" s="135"/>
      <c r="E848" s="135"/>
    </row>
    <row r="849">
      <c r="D849" s="135"/>
      <c r="E849" s="135"/>
    </row>
    <row r="850">
      <c r="D850" s="135"/>
      <c r="E850" s="135"/>
    </row>
    <row r="851">
      <c r="D851" s="135"/>
      <c r="E851" s="135"/>
    </row>
    <row r="852">
      <c r="D852" s="135"/>
      <c r="E852" s="135"/>
    </row>
    <row r="853">
      <c r="D853" s="135"/>
      <c r="E853" s="135"/>
    </row>
    <row r="854">
      <c r="D854" s="135"/>
      <c r="E854" s="135"/>
    </row>
    <row r="855">
      <c r="D855" s="135"/>
      <c r="E855" s="135"/>
    </row>
    <row r="856">
      <c r="D856" s="135"/>
      <c r="E856" s="135"/>
    </row>
    <row r="857">
      <c r="D857" s="135"/>
      <c r="E857" s="135"/>
    </row>
    <row r="858">
      <c r="D858" s="135"/>
      <c r="E858" s="135"/>
    </row>
    <row r="859">
      <c r="D859" s="135"/>
      <c r="E859" s="135"/>
    </row>
    <row r="860">
      <c r="D860" s="135"/>
      <c r="E860" s="135"/>
    </row>
    <row r="861">
      <c r="D861" s="135"/>
      <c r="E861" s="135"/>
    </row>
    <row r="862">
      <c r="D862" s="135"/>
      <c r="E862" s="135"/>
    </row>
    <row r="863">
      <c r="D863" s="135"/>
      <c r="E863" s="135"/>
    </row>
    <row r="864">
      <c r="D864" s="135"/>
      <c r="E864" s="135"/>
    </row>
    <row r="865">
      <c r="D865" s="135"/>
      <c r="E865" s="135"/>
    </row>
    <row r="866">
      <c r="D866" s="135"/>
      <c r="E866" s="135"/>
    </row>
    <row r="867">
      <c r="D867" s="135"/>
      <c r="E867" s="135"/>
    </row>
    <row r="868">
      <c r="D868" s="135"/>
      <c r="E868" s="135"/>
    </row>
    <row r="869">
      <c r="D869" s="135"/>
      <c r="E869" s="135"/>
    </row>
    <row r="870">
      <c r="D870" s="135"/>
      <c r="E870" s="135"/>
    </row>
    <row r="871">
      <c r="D871" s="135"/>
      <c r="E871" s="135"/>
    </row>
    <row r="872">
      <c r="D872" s="135"/>
      <c r="E872" s="135"/>
    </row>
    <row r="873">
      <c r="D873" s="135"/>
      <c r="E873" s="135"/>
    </row>
    <row r="874">
      <c r="D874" s="135"/>
      <c r="E874" s="135"/>
    </row>
    <row r="875">
      <c r="D875" s="135"/>
      <c r="E875" s="135"/>
    </row>
    <row r="876">
      <c r="D876" s="135"/>
      <c r="E876" s="135"/>
    </row>
    <row r="877">
      <c r="D877" s="135"/>
      <c r="E877" s="135"/>
    </row>
    <row r="878">
      <c r="D878" s="135"/>
      <c r="E878" s="135"/>
    </row>
    <row r="879">
      <c r="D879" s="135"/>
      <c r="E879" s="135"/>
    </row>
    <row r="880">
      <c r="D880" s="135"/>
      <c r="E880" s="135"/>
    </row>
    <row r="881">
      <c r="D881" s="135"/>
      <c r="E881" s="135"/>
    </row>
    <row r="882">
      <c r="D882" s="135"/>
      <c r="E882" s="135"/>
    </row>
    <row r="883">
      <c r="D883" s="135"/>
      <c r="E883" s="135"/>
    </row>
    <row r="884">
      <c r="D884" s="135"/>
      <c r="E884" s="135"/>
    </row>
    <row r="885">
      <c r="D885" s="135"/>
      <c r="E885" s="135"/>
    </row>
    <row r="886">
      <c r="D886" s="135"/>
      <c r="E886" s="135"/>
    </row>
    <row r="887">
      <c r="D887" s="135"/>
      <c r="E887" s="135"/>
    </row>
    <row r="888">
      <c r="D888" s="135"/>
      <c r="E888" s="135"/>
    </row>
    <row r="889">
      <c r="D889" s="135"/>
      <c r="E889" s="135"/>
    </row>
    <row r="890">
      <c r="D890" s="135"/>
      <c r="E890" s="135"/>
    </row>
    <row r="891">
      <c r="D891" s="135"/>
      <c r="E891" s="135"/>
    </row>
    <row r="892">
      <c r="D892" s="135"/>
      <c r="E892" s="135"/>
    </row>
    <row r="893">
      <c r="D893" s="135"/>
      <c r="E893" s="135"/>
    </row>
    <row r="894">
      <c r="D894" s="135"/>
      <c r="E894" s="135"/>
    </row>
    <row r="895">
      <c r="D895" s="135"/>
      <c r="E895" s="135"/>
    </row>
    <row r="896">
      <c r="D896" s="135"/>
      <c r="E896" s="135"/>
    </row>
    <row r="897">
      <c r="D897" s="135"/>
      <c r="E897" s="135"/>
    </row>
    <row r="898">
      <c r="D898" s="135"/>
      <c r="E898" s="135"/>
    </row>
    <row r="899">
      <c r="D899" s="135"/>
      <c r="E899" s="135"/>
    </row>
    <row r="900">
      <c r="D900" s="135"/>
      <c r="E900" s="135"/>
    </row>
    <row r="901">
      <c r="D901" s="135"/>
      <c r="E901" s="135"/>
    </row>
    <row r="902">
      <c r="D902" s="135"/>
      <c r="E902" s="135"/>
    </row>
    <row r="903">
      <c r="D903" s="135"/>
      <c r="E903" s="135"/>
    </row>
    <row r="904">
      <c r="D904" s="135"/>
      <c r="E904" s="135"/>
    </row>
    <row r="905">
      <c r="D905" s="135"/>
      <c r="E905" s="135"/>
    </row>
    <row r="906">
      <c r="D906" s="135"/>
      <c r="E906" s="135"/>
    </row>
    <row r="907">
      <c r="D907" s="135"/>
      <c r="E907" s="135"/>
    </row>
    <row r="908">
      <c r="D908" s="135"/>
      <c r="E908" s="135"/>
    </row>
    <row r="909">
      <c r="D909" s="135"/>
      <c r="E909" s="135"/>
    </row>
    <row r="910">
      <c r="D910" s="135"/>
      <c r="E910" s="135"/>
    </row>
    <row r="911">
      <c r="D911" s="135"/>
      <c r="E911" s="135"/>
    </row>
    <row r="912">
      <c r="D912" s="135"/>
      <c r="E912" s="135"/>
    </row>
    <row r="913">
      <c r="D913" s="135"/>
      <c r="E913" s="135"/>
    </row>
    <row r="914">
      <c r="D914" s="135"/>
      <c r="E914" s="135"/>
    </row>
    <row r="915">
      <c r="D915" s="135"/>
      <c r="E915" s="135"/>
    </row>
    <row r="916">
      <c r="D916" s="135"/>
      <c r="E916" s="135"/>
    </row>
    <row r="917">
      <c r="D917" s="135"/>
      <c r="E917" s="135"/>
    </row>
    <row r="918">
      <c r="D918" s="135"/>
      <c r="E918" s="135"/>
    </row>
    <row r="919">
      <c r="D919" s="135"/>
      <c r="E919" s="135"/>
    </row>
    <row r="920">
      <c r="D920" s="135"/>
      <c r="E920" s="135"/>
    </row>
    <row r="921">
      <c r="D921" s="135"/>
      <c r="E921" s="135"/>
    </row>
    <row r="922">
      <c r="D922" s="135"/>
      <c r="E922" s="135"/>
    </row>
    <row r="923">
      <c r="D923" s="135"/>
      <c r="E923" s="135"/>
    </row>
    <row r="924">
      <c r="D924" s="135"/>
      <c r="E924" s="135"/>
    </row>
    <row r="925">
      <c r="D925" s="135"/>
      <c r="E925" s="135"/>
    </row>
    <row r="926">
      <c r="D926" s="135"/>
      <c r="E926" s="135"/>
    </row>
    <row r="927">
      <c r="D927" s="135"/>
      <c r="E927" s="135"/>
    </row>
    <row r="928">
      <c r="D928" s="135"/>
      <c r="E928" s="135"/>
    </row>
    <row r="929">
      <c r="D929" s="135"/>
      <c r="E929" s="135"/>
    </row>
    <row r="930">
      <c r="D930" s="135"/>
      <c r="E930" s="135"/>
    </row>
    <row r="931">
      <c r="D931" s="135"/>
      <c r="E931" s="135"/>
    </row>
    <row r="932">
      <c r="D932" s="135"/>
      <c r="E932" s="135"/>
    </row>
    <row r="933">
      <c r="D933" s="135"/>
      <c r="E933" s="135"/>
    </row>
    <row r="934">
      <c r="D934" s="135"/>
      <c r="E934" s="135"/>
    </row>
    <row r="935">
      <c r="D935" s="135"/>
      <c r="E935" s="135"/>
    </row>
    <row r="936">
      <c r="D936" s="135"/>
      <c r="E936" s="135"/>
    </row>
    <row r="937">
      <c r="D937" s="135"/>
      <c r="E937" s="135"/>
    </row>
    <row r="938">
      <c r="D938" s="135"/>
      <c r="E938" s="135"/>
    </row>
    <row r="939">
      <c r="D939" s="135"/>
      <c r="E939" s="135"/>
    </row>
    <row r="940">
      <c r="D940" s="135"/>
      <c r="E940" s="135"/>
    </row>
    <row r="941">
      <c r="D941" s="135"/>
      <c r="E941" s="135"/>
    </row>
    <row r="942">
      <c r="D942" s="135"/>
      <c r="E942" s="135"/>
    </row>
    <row r="943">
      <c r="D943" s="135"/>
      <c r="E943" s="135"/>
    </row>
    <row r="944">
      <c r="D944" s="135"/>
      <c r="E944" s="135"/>
    </row>
    <row r="945">
      <c r="D945" s="135"/>
      <c r="E945" s="135"/>
    </row>
    <row r="946">
      <c r="D946" s="135"/>
      <c r="E946" s="135"/>
    </row>
    <row r="947">
      <c r="D947" s="135"/>
      <c r="E947" s="135"/>
    </row>
    <row r="948">
      <c r="D948" s="135"/>
      <c r="E948" s="135"/>
    </row>
    <row r="949">
      <c r="D949" s="135"/>
      <c r="E949" s="135"/>
    </row>
    <row r="950">
      <c r="D950" s="135"/>
      <c r="E950" s="135"/>
    </row>
    <row r="951">
      <c r="D951" s="135"/>
      <c r="E951" s="135"/>
    </row>
    <row r="952">
      <c r="D952" s="135"/>
      <c r="E952" s="135"/>
    </row>
    <row r="953">
      <c r="D953" s="135"/>
      <c r="E953" s="135"/>
    </row>
    <row r="954">
      <c r="D954" s="135"/>
      <c r="E954" s="135"/>
    </row>
    <row r="955">
      <c r="D955" s="135"/>
      <c r="E955" s="135"/>
    </row>
    <row r="956">
      <c r="D956" s="135"/>
      <c r="E956" s="135"/>
    </row>
    <row r="957">
      <c r="D957" s="135"/>
      <c r="E957" s="135"/>
    </row>
    <row r="958">
      <c r="D958" s="135"/>
      <c r="E958" s="135"/>
    </row>
    <row r="959">
      <c r="D959" s="135"/>
      <c r="E959" s="135"/>
    </row>
    <row r="960">
      <c r="D960" s="135"/>
      <c r="E960" s="135"/>
    </row>
    <row r="961">
      <c r="D961" s="135"/>
      <c r="E961" s="135"/>
    </row>
    <row r="962">
      <c r="D962" s="135"/>
      <c r="E962" s="135"/>
    </row>
    <row r="963">
      <c r="D963" s="135"/>
      <c r="E963" s="135"/>
    </row>
    <row r="964">
      <c r="D964" s="135"/>
      <c r="E964" s="135"/>
    </row>
    <row r="965">
      <c r="D965" s="135"/>
      <c r="E965" s="135"/>
    </row>
    <row r="966">
      <c r="D966" s="135"/>
      <c r="E966" s="135"/>
    </row>
    <row r="967">
      <c r="D967" s="135"/>
      <c r="E967" s="135"/>
    </row>
    <row r="968">
      <c r="D968" s="135"/>
      <c r="E968" s="135"/>
    </row>
    <row r="969">
      <c r="D969" s="135"/>
      <c r="E969" s="135"/>
    </row>
    <row r="970">
      <c r="D970" s="135"/>
      <c r="E970" s="135"/>
    </row>
    <row r="971">
      <c r="D971" s="135"/>
      <c r="E971" s="135"/>
    </row>
    <row r="972">
      <c r="D972" s="135"/>
      <c r="E972" s="135"/>
    </row>
    <row r="973">
      <c r="D973" s="135"/>
      <c r="E973" s="135"/>
    </row>
    <row r="974">
      <c r="D974" s="135"/>
      <c r="E974" s="135"/>
    </row>
    <row r="975">
      <c r="D975" s="135"/>
      <c r="E975" s="135"/>
    </row>
    <row r="976">
      <c r="D976" s="135"/>
      <c r="E976" s="135"/>
    </row>
    <row r="977">
      <c r="D977" s="135"/>
      <c r="E977" s="135"/>
    </row>
    <row r="978">
      <c r="D978" s="135"/>
      <c r="E978" s="135"/>
    </row>
    <row r="979">
      <c r="D979" s="135"/>
      <c r="E979" s="135"/>
    </row>
    <row r="980">
      <c r="D980" s="135"/>
      <c r="E980" s="135"/>
    </row>
    <row r="981">
      <c r="D981" s="135"/>
      <c r="E981" s="135"/>
    </row>
    <row r="982">
      <c r="D982" s="135"/>
      <c r="E982" s="135"/>
    </row>
    <row r="983">
      <c r="D983" s="135"/>
      <c r="E983" s="135"/>
    </row>
    <row r="984">
      <c r="D984" s="135"/>
      <c r="E984" s="135"/>
    </row>
    <row r="985">
      <c r="D985" s="135"/>
      <c r="E985" s="135"/>
    </row>
    <row r="986">
      <c r="D986" s="135"/>
      <c r="E986" s="135"/>
    </row>
    <row r="987">
      <c r="D987" s="135"/>
      <c r="E987" s="135"/>
    </row>
    <row r="988">
      <c r="D988" s="135"/>
      <c r="E988" s="135"/>
    </row>
    <row r="989">
      <c r="D989" s="135"/>
      <c r="E989" s="135"/>
    </row>
    <row r="990">
      <c r="D990" s="135"/>
      <c r="E990" s="135"/>
    </row>
    <row r="991">
      <c r="D991" s="135"/>
      <c r="E991" s="135"/>
    </row>
    <row r="992">
      <c r="D992" s="135"/>
      <c r="E992" s="135"/>
    </row>
    <row r="993">
      <c r="D993" s="135"/>
      <c r="E993" s="135"/>
    </row>
    <row r="994">
      <c r="D994" s="135"/>
      <c r="E994" s="135"/>
    </row>
    <row r="995">
      <c r="D995" s="135"/>
      <c r="E995" s="135"/>
    </row>
    <row r="996">
      <c r="D996" s="135"/>
      <c r="E996" s="135"/>
    </row>
    <row r="997">
      <c r="D997" s="135"/>
      <c r="E997" s="135"/>
    </row>
    <row r="998">
      <c r="D998" s="135"/>
      <c r="E998" s="135"/>
    </row>
    <row r="999">
      <c r="D999" s="135"/>
      <c r="E999" s="135"/>
    </row>
    <row r="1000">
      <c r="D1000" s="135"/>
      <c r="E1000" s="135"/>
    </row>
  </sheetData>
  <mergeCells count="13">
    <mergeCell ref="B45:B46"/>
    <mergeCell ref="C45:C46"/>
    <mergeCell ref="A45:A46"/>
    <mergeCell ref="A109:A110"/>
    <mergeCell ref="B109:B110"/>
    <mergeCell ref="C109:C110"/>
    <mergeCell ref="A1:AX1"/>
    <mergeCell ref="A2:A4"/>
    <mergeCell ref="B2:B4"/>
    <mergeCell ref="C2:C4"/>
    <mergeCell ref="D2:AX2"/>
    <mergeCell ref="A44:AX44"/>
    <mergeCell ref="A108:AX108"/>
  </mergeCells>
  <drawing r:id="rId1"/>
</worksheet>
</file>