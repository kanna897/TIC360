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5"/>
    <sheet state="visible" name="June" sheetId="2" r:id="rId6"/>
    <sheet state="visible" name="July" sheetId="3" r:id="rId7"/>
    <sheet state="visible" name="August" sheetId="4" r:id="rId8"/>
    <sheet state="visible" name="September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tc={1694b992-ee82-4b9e-962e-5969dc7542be}</author>
    <author>tc={1b5b31f8-4ee9-423d-a014-415ff110e987}</author>
    <author>tc={3c5c3499-81ea-458e-9639-2c8d6a09e429}</author>
    <author>tc={6cc43b71-81f3-4243-b16e-faeaa4581a37}</author>
    <author>tc={846dacbe-a75b-4419-ad2f-7134c11a6561}</author>
    <author>tc={9c6e784f-b016-4295-b420-1554533fa300}</author>
    <author>tc={c27aeab6-390e-440f-97f4-ee74efa1460b}</author>
    <author>tc={c75ea69b-01c1-47af-97cc-b85e74bda7ac}</author>
    <author>tc={e9eb9e6c-a666-4f66-a061-763b08c5a17e}</author>
  </authors>
  <commentList>
    <comment authorId="0" xr:uid="{1694b992-ee82-4b9e-962e-5969dc7542be}" ref="N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SICK
</t>
      </text>
    </comment>
    <comment authorId="1" xr:uid="{1b5b31f8-4ee9-423d-a014-415ff110e987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2" xr:uid="{3c5c3499-81ea-458e-9639-2c8d6a09e429}" ref="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3" xr:uid="{6cc43b71-81f3-4243-b16e-faeaa4581a37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Fever
</t>
      </text>
    </comment>
    <comment authorId="4" xr:uid="{846dacbe-a75b-4419-ad2f-7134c11a6561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Because of Ulcer suddenly I got heavy stomach pain.
</t>
      </text>
    </comment>
    <comment authorId="5" xr:uid="{9c6e784f-b016-4295-b420-1554533fa300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Attending a funeral in colombo
</t>
      </text>
    </comment>
    <comment authorId="6" xr:uid="{c27aeab6-390e-440f-97f4-ee74efa1460b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Health issue
</t>
      </text>
    </comment>
    <comment authorId="7" xr:uid="{c75ea69b-01c1-47af-97cc-b85e74bda7ac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Attending a funeral in colombo
</t>
      </text>
    </comment>
    <comment authorId="8" xr:uid="{e9eb9e6c-a666-4f66-a061-763b08c5a17e}" ref="L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Going to hospital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tc={2bbb920b-8696-413b-821b-9c4ee88b66ff}</author>
    <author>tc={62324a50-6b0e-4cf8-b45d-42fcbbde6b0b}</author>
    <author>tc={c70ccd77-a40f-4013-8559-2ea85c033923}</author>
    <author>tc={c8100201-53f7-4d40-be2c-b3f749778bed}</author>
    <author>tc={d55f07ad-6031-4998-8f56-d925fe647720}</author>
  </authors>
  <commentList>
    <comment authorId="0" xr:uid="{2bbb920b-8696-413b-821b-9c4ee88b66ff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a scheduled
medical scan appointment
</t>
      </text>
    </comment>
    <comment authorId="1" xr:uid="{62324a50-6b0e-4cf8-b45d-42fcbbde6b0b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Relative's death
</t>
      </text>
    </comment>
    <comment authorId="2" xr:uid="{c70ccd77-a40f-4013-8559-2ea85c033923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 medical issues, I won't be able to attend the class today.
</t>
      </text>
    </comment>
    <comment authorId="3" xr:uid="{c8100201-53f7-4d40-be2c-b3f749778bed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Uncle passed away
</t>
      </text>
    </comment>
    <comment authorId="4" xr:uid="{d55f07ad-6031-4998-8f56-d925fe647720}" ref="N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Relative's death
</t>
      </text>
    </comment>
  </commentList>
</comments>
</file>

<file path=xl/sharedStrings.xml><?xml version="1.0" encoding="utf-8"?>
<sst xmlns="http://schemas.openxmlformats.org/spreadsheetml/2006/main" count="1243" uniqueCount="135">
  <si>
    <t xml:space="preserve">                                                                                                                                                      Students Attendance Details </t>
  </si>
  <si>
    <t>S . NO</t>
  </si>
  <si>
    <t>UT NO</t>
  </si>
  <si>
    <t>STUDENT'S NAME</t>
  </si>
  <si>
    <t>August</t>
  </si>
  <si>
    <t>May</t>
  </si>
  <si>
    <t>June</t>
  </si>
  <si>
    <t>July</t>
  </si>
  <si>
    <t>GIT HUB &amp; PROJECT EXP</t>
  </si>
  <si>
    <t>React</t>
  </si>
  <si>
    <t>SDL</t>
  </si>
  <si>
    <t>PROJECT SUBMISSION</t>
  </si>
  <si>
    <t>VIVA</t>
  </si>
  <si>
    <t>C#</t>
  </si>
  <si>
    <t>REACT</t>
  </si>
  <si>
    <t>SD</t>
  </si>
  <si>
    <t>SD/React</t>
  </si>
  <si>
    <t>SD Presentation</t>
  </si>
  <si>
    <t>03.08.2026</t>
  </si>
  <si>
    <t>04.08.2026</t>
  </si>
  <si>
    <t>05.08.2026</t>
  </si>
  <si>
    <t>06.08.2026</t>
  </si>
  <si>
    <t>07.08.2026</t>
  </si>
  <si>
    <t>08.08.2026</t>
  </si>
  <si>
    <t>10.08.2026</t>
  </si>
  <si>
    <t>01.06.2026</t>
  </si>
  <si>
    <t>11.08.2026</t>
  </si>
  <si>
    <t>03.06.2026</t>
  </si>
  <si>
    <t>18.08.2026</t>
  </si>
  <si>
    <t>05.06.2026</t>
  </si>
  <si>
    <t>21.08.2026</t>
  </si>
  <si>
    <t>07.06.2026</t>
  </si>
  <si>
    <t>24.08.2026</t>
  </si>
  <si>
    <t>08.06.2026</t>
  </si>
  <si>
    <t>25.08.2026</t>
  </si>
  <si>
    <t>10.06.2026</t>
  </si>
  <si>
    <t>28.08.2026</t>
  </si>
  <si>
    <t>12.06.2026</t>
  </si>
  <si>
    <t>29.08.2026</t>
  </si>
  <si>
    <t>14.06.2026</t>
  </si>
  <si>
    <t>31.08.2026</t>
  </si>
  <si>
    <t>02.05.2026</t>
  </si>
  <si>
    <t>15.06.2026</t>
  </si>
  <si>
    <t>04.05.2026</t>
  </si>
  <si>
    <t>17.06.2026</t>
  </si>
  <si>
    <t>05.05.2026</t>
  </si>
  <si>
    <t>18.06.2026</t>
  </si>
  <si>
    <t>22.06.2026</t>
  </si>
  <si>
    <t>01.07.2026</t>
  </si>
  <si>
    <t>06.05.2026 - 07.05.2027</t>
  </si>
  <si>
    <t>23.06.2026</t>
  </si>
  <si>
    <t>02.07.2026</t>
  </si>
  <si>
    <t>24.06.2026</t>
  </si>
  <si>
    <t>25.06.2026</t>
  </si>
  <si>
    <t>03.07.2026</t>
  </si>
  <si>
    <t>26.06.2026</t>
  </si>
  <si>
    <t>06.07.2026</t>
  </si>
  <si>
    <t>28.06.2026</t>
  </si>
  <si>
    <t>07.07.2026</t>
  </si>
  <si>
    <t>29.06.2026</t>
  </si>
  <si>
    <t>08.07.2026</t>
  </si>
  <si>
    <t>08.05.2026</t>
  </si>
  <si>
    <t>09.07.2026</t>
  </si>
  <si>
    <t>10.07.2026</t>
  </si>
  <si>
    <t>13.07.2026</t>
  </si>
  <si>
    <t>16.07.2026</t>
  </si>
  <si>
    <t>L</t>
  </si>
  <si>
    <t>17.07.2026</t>
  </si>
  <si>
    <t>19.07.2026</t>
  </si>
  <si>
    <t>11.05.2026</t>
  </si>
  <si>
    <t xml:space="preserve">13.05.2026 </t>
  </si>
  <si>
    <t>20.07.2026</t>
  </si>
  <si>
    <t>15.05.2026</t>
  </si>
  <si>
    <t>22.07.2026</t>
  </si>
  <si>
    <t>A</t>
  </si>
  <si>
    <t>18.05.2026</t>
  </si>
  <si>
    <t>23.07.2026</t>
  </si>
  <si>
    <t>20.05.2026</t>
  </si>
  <si>
    <t>24.07.2026</t>
  </si>
  <si>
    <t>22.05.2026</t>
  </si>
  <si>
    <t>28.07.2026</t>
  </si>
  <si>
    <t>24.05.2026</t>
  </si>
  <si>
    <t>29.07.2026</t>
  </si>
  <si>
    <t>25.05.2026</t>
  </si>
  <si>
    <t>p</t>
  </si>
  <si>
    <t>30.07.2026</t>
  </si>
  <si>
    <t>27.05.2026</t>
  </si>
  <si>
    <t>29.05.2026</t>
  </si>
  <si>
    <t>31.05.2026</t>
  </si>
  <si>
    <t>total</t>
  </si>
  <si>
    <t>%</t>
  </si>
  <si>
    <t>UT011174</t>
  </si>
  <si>
    <t>Pathmanathan Jebahar</t>
  </si>
  <si>
    <t>P</t>
  </si>
  <si>
    <t>UT011409</t>
  </si>
  <si>
    <t>Nagulendrarajah Sangeerthanan</t>
  </si>
  <si>
    <t>UT011442</t>
  </si>
  <si>
    <t>Jeyamohan Thilaksan</t>
  </si>
  <si>
    <t>UT011472</t>
  </si>
  <si>
    <t>Krishanthasutharshan Krithees</t>
  </si>
  <si>
    <t>UT011531</t>
  </si>
  <si>
    <t>Mathan Sobiya</t>
  </si>
  <si>
    <t>UT011532</t>
  </si>
  <si>
    <t>Mathan Sobika</t>
  </si>
  <si>
    <t>UT011544</t>
  </si>
  <si>
    <t>Logwshwaran Keshigan</t>
  </si>
  <si>
    <t>UT011604</t>
  </si>
  <si>
    <t>Ajanthas Anoja</t>
  </si>
  <si>
    <t>UT011640</t>
  </si>
  <si>
    <t>Sangeetha Sathiyarasa</t>
  </si>
  <si>
    <t>UT011732</t>
  </si>
  <si>
    <t>Thirunesan Athis</t>
  </si>
  <si>
    <t>UT011715</t>
  </si>
  <si>
    <t xml:space="preserve">TOTAL </t>
  </si>
  <si>
    <t>Nagulan Jatheesa</t>
  </si>
  <si>
    <t>UT011781</t>
  </si>
  <si>
    <t>Devendran Sheshthriha</t>
  </si>
  <si>
    <t>TOTAL S NO</t>
  </si>
  <si>
    <t>TOTAL %</t>
  </si>
  <si>
    <t xml:space="preserve"> </t>
  </si>
  <si>
    <t>September</t>
  </si>
  <si>
    <t>01.09.2026</t>
  </si>
  <si>
    <t>04.09.2026</t>
  </si>
  <si>
    <t>05.09.2026</t>
  </si>
  <si>
    <t>08.09.2026</t>
  </si>
  <si>
    <t>11.09.2030</t>
  </si>
  <si>
    <t>12.09.2026</t>
  </si>
  <si>
    <t>13.09.2026</t>
  </si>
  <si>
    <t>17.09.2026</t>
  </si>
  <si>
    <t>18.09.2026</t>
  </si>
  <si>
    <t>19.09.2026</t>
  </si>
  <si>
    <t>21.09.2026</t>
  </si>
  <si>
    <t>22.09.2026</t>
  </si>
  <si>
    <t>24.09.2026</t>
  </si>
  <si>
    <t>25.09.2026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</si>
</sst>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0.0"/>
      <color rgb="FF000000"/>
      <name val="Arial"/>
      <scheme val="minor"/>
    </font>
    <font>
      <b/>
      <sz val="22.0"/>
      <color theme="1"/>
      <name val="Calibri"/>
    </font>
    <font/>
    <font>
      <b/>
      <sz val="15.0"/>
      <color rgb="FF1F1F1F"/>
      <name val="Calibri"/>
    </font>
    <font>
      <b/>
      <sz val="13.0"/>
      <color theme="1"/>
      <name val="Calibri"/>
    </font>
    <font>
      <b/>
      <sz val="16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color theme="1"/>
      <name val="Calibri"/>
    </font>
    <font>
      <b/>
      <sz val="17.0"/>
      <color rgb="FF00B050"/>
      <name val="Calibri"/>
    </font>
    <font>
      <b/>
      <sz val="15.0"/>
      <color rgb="FFFF0000"/>
      <name val="Calibri"/>
    </font>
    <font>
      <b/>
      <sz val="15.0"/>
      <color rgb="FF00B050"/>
      <name val="Calibri"/>
    </font>
    <font>
      <b/>
      <sz val="18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b/>
      <color theme="1"/>
      <name val="Arial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CECE"/>
        <bgColor rgb="FFD0CECE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5" fontId="6" numFmtId="0" xfId="0" applyAlignment="1" applyBorder="1" applyFill="1" applyFont="1">
      <alignment horizontal="center" shrinkToFit="0" textRotation="90" vertical="center" wrapText="1"/>
    </xf>
    <xf borderId="6" fillId="5" fontId="7" numFmtId="0" xfId="0" applyAlignment="1" applyBorder="1" applyFill="1" applyFont="1">
      <alignment horizontal="center" readingOrder="0" shrinkToFit="0" textRotation="90" vertical="center" wrapText="1"/>
    </xf>
    <xf borderId="6" fillId="5" fontId="7" numFmtId="0" xfId="0" applyAlignment="1" applyBorder="1" applyFill="1" applyFont="1">
      <alignment horizontal="center" textRotation="90" vertical="center"/>
    </xf>
    <xf borderId="6" fillId="5" fontId="7" numFmtId="0" xfId="0" applyAlignment="1" applyBorder="1" applyFill="1" applyFont="1">
      <alignment horizontal="center" readingOrder="0" textRotation="90" vertical="center"/>
    </xf>
    <xf borderId="6" fillId="5" fontId="8" numFmtId="0" xfId="0" applyAlignment="1" applyBorder="1" applyFill="1" applyFont="1">
      <alignment vertical="center"/>
    </xf>
    <xf borderId="6" fillId="5" fontId="8" numFmtId="164" xfId="0" applyAlignment="1" applyBorder="1" applyFill="1" applyFont="1" applyNumberFormat="1">
      <alignment vertical="center"/>
    </xf>
    <xf borderId="6" fillId="5" fontId="8" numFmtId="1" xfId="0" applyAlignment="1" applyBorder="1" applyFill="1" applyFont="1" applyNumberFormat="1">
      <alignment vertical="center"/>
    </xf>
    <xf borderId="7" fillId="0" fontId="2" numFmtId="0" xfId="0" applyBorder="1" applyFont="1"/>
    <xf borderId="6" fillId="5" fontId="9" numFmtId="0" xfId="0" applyAlignment="1" applyBorder="1" applyFill="1" applyFont="1">
      <alignment horizontal="center" shrinkToFit="0" textRotation="90" vertical="center" wrapText="1"/>
    </xf>
    <xf borderId="6" fillId="5" fontId="7" numFmtId="0" xfId="0" applyAlignment="1" applyBorder="1" applyFill="1" applyFont="1">
      <alignment horizontal="center" shrinkToFit="0" textRotation="90" vertical="center" wrapText="1"/>
    </xf>
    <xf borderId="6" fillId="5" fontId="10" numFmtId="0" xfId="0" applyAlignment="1" applyBorder="1" applyFill="1" applyFont="1">
      <alignment horizontal="center" textRotation="90" vertical="center"/>
    </xf>
    <xf borderId="6" fillId="5" fontId="11" numFmtId="0" xfId="0" applyAlignment="1" applyBorder="1" applyFill="1" applyFont="1">
      <alignment horizontal="center" textRotation="90" vertical="center"/>
    </xf>
    <xf borderId="6" fillId="5" fontId="12" numFmtId="0" xfId="0" applyAlignment="1" applyBorder="1" applyFill="1" applyFont="1">
      <alignment horizontal="center" textRotation="90" vertical="center"/>
    </xf>
    <xf borderId="6" fillId="0" fontId="13" numFmtId="0" xfId="0" applyAlignment="1" applyBorder="1" applyFont="1">
      <alignment horizontal="center" textRotation="90" vertical="center"/>
    </xf>
    <xf borderId="6" fillId="0" fontId="13" numFmtId="1" xfId="0" applyAlignment="1" applyBorder="1" applyFont="1" applyNumberFormat="1">
      <alignment horizontal="center" textRotation="90" vertical="center"/>
    </xf>
    <xf borderId="6" fillId="0" fontId="14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vertical="bottom"/>
    </xf>
    <xf borderId="8" fillId="6" fontId="7" numFmtId="0" xfId="0" applyAlignment="1" applyBorder="1" applyFill="1" applyFont="1">
      <alignment horizontal="center" shrinkToFit="0" vertical="bottom" wrapText="1"/>
    </xf>
    <xf borderId="6" fillId="7" fontId="7" numFmtId="0" xfId="0" applyAlignment="1" applyBorder="1" applyFill="1" applyFont="1">
      <alignment horizontal="center" shrinkToFit="0" vertical="bottom" wrapText="1"/>
    </xf>
    <xf borderId="8" fillId="5" fontId="7" numFmtId="0" xfId="0" applyAlignment="1" applyBorder="1" applyFill="1" applyFont="1">
      <alignment horizontal="center" shrinkToFit="0" vertical="bottom" wrapText="1"/>
    </xf>
    <xf borderId="6" fillId="0" fontId="14" numFmtId="0" xfId="0" applyBorder="1" applyFont="1"/>
    <xf borderId="6" fillId="5" fontId="8" numFmtId="0" xfId="0" applyAlignment="1" applyBorder="1" applyFill="1" applyFont="1">
      <alignment horizontal="center" vertical="bottom"/>
    </xf>
    <xf borderId="6" fillId="5" fontId="8" numFmtId="1" xfId="0" applyAlignment="1" applyBorder="1" applyFill="1" applyFont="1" applyNumberFormat="1">
      <alignment horizontal="center" vertical="bottom"/>
    </xf>
    <xf borderId="6" fillId="0" fontId="16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readingOrder="0" shrinkToFit="0" vertical="bottom" wrapText="0"/>
    </xf>
    <xf borderId="6" fillId="5" fontId="16" numFmtId="0" xfId="0" applyAlignment="1" applyBorder="1" applyFill="1" applyFont="1">
      <alignment horizontal="center" readingOrder="0" shrinkToFit="0" vertical="bottom" wrapText="0"/>
    </xf>
    <xf borderId="6" fillId="5" fontId="16" numFmtId="0" xfId="0" applyAlignment="1" applyBorder="1" applyFill="1" applyFont="1">
      <alignment readingOrder="0" shrinkToFit="0" vertical="bottom" wrapText="0"/>
    </xf>
    <xf borderId="6" fillId="5" fontId="7" numFmtId="0" xfId="0" applyAlignment="1" applyBorder="1" applyFill="1" applyFont="1">
      <alignment horizontal="center" shrinkToFit="0" vertical="bottom" wrapText="1"/>
    </xf>
    <xf borderId="6" fillId="8" fontId="17" numFmtId="0" xfId="0" applyAlignment="1" applyBorder="1" applyFill="1" applyFont="1">
      <alignment horizontal="center" vertical="bottom"/>
    </xf>
    <xf borderId="6" fillId="8" fontId="8" numFmtId="0" xfId="0" applyAlignment="1" applyBorder="1" applyFill="1" applyFont="1">
      <alignment horizontal="center" vertical="bottom"/>
    </xf>
    <xf borderId="6" fillId="7" fontId="14" numFmtId="0" xfId="0" applyAlignment="1" applyBorder="1" applyFill="1" applyFont="1">
      <alignment horizontal="center" readingOrder="0" vertical="center"/>
    </xf>
    <xf borderId="6" fillId="7" fontId="16" numFmtId="0" xfId="0" applyAlignment="1" applyBorder="1" applyFill="1" applyFont="1">
      <alignment horizontal="center" readingOrder="0" shrinkToFit="0" vertical="bottom" wrapText="0"/>
    </xf>
    <xf borderId="6" fillId="7" fontId="16" numFmtId="0" xfId="0" applyAlignment="1" applyBorder="1" applyFill="1" applyFont="1">
      <alignment readingOrder="0" shrinkToFit="0" vertical="bottom" wrapText="0"/>
    </xf>
    <xf borderId="8" fillId="7" fontId="7" numFmtId="0" xfId="0" applyAlignment="1" applyBorder="1" applyFill="1" applyFont="1">
      <alignment horizontal="center" shrinkToFit="0" vertical="bottom" wrapText="1"/>
    </xf>
    <xf borderId="6" fillId="7" fontId="14" numFmtId="0" xfId="0" applyBorder="1" applyFill="1" applyFont="1"/>
    <xf borderId="6" fillId="5" fontId="1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readingOrder="0" vertical="bottom"/>
    </xf>
    <xf borderId="6" fillId="7" fontId="8" numFmtId="0" xfId="0" applyAlignment="1" applyBorder="1" applyFill="1" applyFont="1">
      <alignment horizontal="center" vertical="bottom"/>
    </xf>
    <xf borderId="6" fillId="7" fontId="8" numFmtId="1" xfId="0" applyAlignment="1" applyBorder="1" applyFill="1" applyFont="1" applyNumberFormat="1">
      <alignment horizontal="center" vertical="bottom"/>
    </xf>
    <xf borderId="6" fillId="9" fontId="18" numFmtId="0" xfId="0" applyAlignment="1" applyBorder="1" applyFill="1" applyFont="1">
      <alignment horizontal="center" vertical="bottom"/>
    </xf>
    <xf borderId="6" fillId="9" fontId="8" numFmtId="1" xfId="0" applyAlignment="1" applyBorder="1" applyFill="1" applyFont="1" applyNumberFormat="1">
      <alignment horizontal="center" vertical="bottom"/>
    </xf>
    <xf borderId="8" fillId="0" fontId="7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nicomtic2026" id="{d3af8e17-854f-458a-bdb0-01a2aed675f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8" dT="2026-06-23T03:06:16.00" personId="{d3af8e17-854f-458a-bdb0-01a2aed675fd}" id="{1694b992-ee82-4b9e-962e-5969dc7542be}" done="0">
    <x18tc:text xml:space="preserve">SICK</x18tc:text>
  </x18tc:threadedComment>
  <x18tc:threadedComment ref="O5" dT="2026-06-23T03:08:53.00" personId="{d3af8e17-854f-458a-bdb0-01a2aed675fd}" id="{846dacbe-a75b-4419-ad2f-7134c11a6561}" done="0">
    <x18tc:text xml:space="preserve">Because of Ulcer suddenly I got heavy stomach pain.</x18tc:text>
  </x18tc:threadedComment>
  <x18tc:threadedComment ref="D9" dT="2026-06-02T03:18:59.00" personId="{d3af8e17-854f-458a-bdb0-01a2aed675fd}" id="{c27aeab6-390e-440f-97f4-ee74efa1460b}" done="0">
    <x18tc:text xml:space="preserve">Health issue</x18tc:text>
  </x18tc:threadedComment>
  <x18tc:threadedComment ref="I9" dT="2026-06-13T03:58:45.00" personId="{d3af8e17-854f-458a-bdb0-01a2aed675fd}" id="{6cc43b71-81f3-4243-b16e-faeaa4581a37}" done="0">
    <x18tc:text xml:space="preserve">Fever</x18tc:text>
  </x18tc:threadedComment>
  <x18tc:threadedComment ref="J9" dT="2026-06-13T03:58:50.00" personId="{d3af8e17-854f-458a-bdb0-01a2aed675fd}" id="{3c5c3499-81ea-458e-9639-2c8d6a09e429}" done="0">
    <x18tc:text xml:space="preserve">Fever</x18tc:text>
  </x18tc:threadedComment>
  <x18tc:threadedComment ref="F16" dT="2026-06-10T03:57:13.00" personId="{d3af8e17-854f-458a-bdb0-01a2aed675fd}" id="{9c6e784f-b016-4295-b420-1554533fa300}" done="0">
    <x18tc:text xml:space="preserve">Attending a funeral in colombo</x18tc:text>
  </x18tc:threadedComment>
  <x18tc:threadedComment ref="H16" dT="2026-06-10T03:57:19.00" personId="{d3af8e17-854f-458a-bdb0-01a2aed675fd}" id="{c75ea69b-01c1-47af-97cc-b85e74bda7ac}" done="0">
    <x18tc:text xml:space="preserve">Attending a funeral in colombo</x18tc:text>
  </x18tc:threadedComment>
  <x18tc:threadedComment ref="L14" dT="2026-06-16T03:37:08.00" personId="{d3af8e17-854f-458a-bdb0-01a2aed675fd}" id="{e9eb9e6c-a666-4f66-a061-763b08c5a17e}" done="0">
    <x18tc:text xml:space="preserve">Going to hospital</x18tc:text>
  </x18tc:threadedComment>
  <x18tc:threadedComment ref="K9" dT="2026-06-16T03:37:18.00" personId="{d3af8e17-854f-458a-bdb0-01a2aed675fd}" id="{1b5b31f8-4ee9-423d-a014-415ff110e987}" done="0">
    <x18tc:text xml:space="preserve">Health issue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4" dT="2026-07-07T04:24:50.00" personId="{d3af8e17-854f-458a-bdb0-01a2aed675fd}" id="{c8100201-53f7-4d40-be2c-b3f749778bed}" done="0">
    <x18tc:text xml:space="preserve">Uncle passed away</x18tc:text>
  </x18tc:threadedComment>
  <x18tc:threadedComment ref="L8" dT="2026-07-14T05:12:25.00" personId="{d3af8e17-854f-458a-bdb0-01a2aed675fd}" id="{2bbb920b-8696-413b-821b-9c4ee88b66ff}" done="0">
    <x18tc:text xml:space="preserve">i have a scheduled
medical scan appointment</x18tc:text>
  </x18tc:threadedComment>
  <x18tc:threadedComment ref="K13" dT="2026-07-14T05:09:43.00" personId="{d3af8e17-854f-458a-bdb0-01a2aed675fd}" id="{c70ccd77-a40f-4013-8559-2ea85c033923}" done="0">
    <x18tc:text xml:space="preserve">some medical issues, I won't be able to attend the class today.</x18tc:text>
  </x18tc:threadedComment>
  <x18tc:threadedComment ref="N9" dT="2026-07-20T03:06:34.00" personId="{d3af8e17-854f-458a-bdb0-01a2aed675fd}" id="{62324a50-6b0e-4cf8-b45d-42fcbbde6b0b}" done="0">
    <x18tc:text xml:space="preserve">Relative's death</x18tc:text>
  </x18tc:threadedComment>
  <x18tc:threadedComment ref="N10" dT="2026-07-20T03:06:37.00" personId="{d3af8e17-854f-458a-bdb0-01a2aed675fd}" id="{d55f07ad-6031-4998-8f56-d925fe647720}" done="0">
    <x18tc:text xml:space="preserve">Relative's death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7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8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55.5" customHeight="1">
      <c r="A3" s="9"/>
      <c r="B3" s="9"/>
      <c r="C3" s="9"/>
      <c r="D3" s="10" t="s">
        <v>8</v>
      </c>
      <c r="E3" s="12" t="s">
        <v>10</v>
      </c>
      <c r="F3" s="10" t="s">
        <v>11</v>
      </c>
      <c r="G3" s="12" t="s">
        <v>12</v>
      </c>
      <c r="H3" s="12" t="s">
        <v>13</v>
      </c>
      <c r="I3" s="12" t="s">
        <v>13</v>
      </c>
      <c r="J3" s="12" t="s">
        <v>13</v>
      </c>
      <c r="K3" s="12" t="s">
        <v>13</v>
      </c>
      <c r="L3" s="12" t="s">
        <v>13</v>
      </c>
      <c r="M3" s="13" t="s">
        <v>14</v>
      </c>
      <c r="N3" s="13" t="s">
        <v>14</v>
      </c>
      <c r="O3" s="13" t="s">
        <v>14</v>
      </c>
      <c r="P3" s="13" t="s">
        <v>14</v>
      </c>
      <c r="Q3" s="13" t="s">
        <v>14</v>
      </c>
      <c r="R3" s="13" t="s">
        <v>14</v>
      </c>
      <c r="S3" s="13" t="s">
        <v>14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5"/>
      <c r="AY3" s="15"/>
      <c r="AZ3" s="14"/>
      <c r="BA3" s="14"/>
      <c r="BB3" s="14"/>
      <c r="BC3" s="14"/>
      <c r="BD3" s="14"/>
      <c r="BE3" s="16"/>
    </row>
    <row r="4" ht="69.75" customHeight="1">
      <c r="A4" s="17"/>
      <c r="B4" s="17"/>
      <c r="C4" s="17"/>
      <c r="D4" s="12" t="s">
        <v>41</v>
      </c>
      <c r="E4" s="12" t="s">
        <v>43</v>
      </c>
      <c r="F4" s="12" t="s">
        <v>45</v>
      </c>
      <c r="G4" s="18" t="s">
        <v>49</v>
      </c>
      <c r="H4" s="19" t="s">
        <v>61</v>
      </c>
      <c r="I4" s="12" t="s">
        <v>69</v>
      </c>
      <c r="J4" s="12" t="s">
        <v>70</v>
      </c>
      <c r="K4" s="12" t="s">
        <v>72</v>
      </c>
      <c r="L4" s="12" t="s">
        <v>75</v>
      </c>
      <c r="M4" s="12" t="s">
        <v>77</v>
      </c>
      <c r="N4" s="12" t="s">
        <v>79</v>
      </c>
      <c r="O4" s="13" t="s">
        <v>81</v>
      </c>
      <c r="P4" s="13" t="s">
        <v>83</v>
      </c>
      <c r="Q4" s="13" t="s">
        <v>86</v>
      </c>
      <c r="R4" s="13" t="s">
        <v>87</v>
      </c>
      <c r="S4" s="13" t="s">
        <v>88</v>
      </c>
      <c r="T4" s="14"/>
      <c r="U4" s="15"/>
      <c r="V4" s="15"/>
      <c r="W4" s="15"/>
      <c r="X4" s="15"/>
      <c r="Y4" s="15"/>
      <c r="Z4" s="15"/>
      <c r="AA4" s="14"/>
      <c r="AB4" s="14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4"/>
      <c r="BA4" s="20" t="s">
        <v>66</v>
      </c>
      <c r="BB4" s="21" t="s">
        <v>74</v>
      </c>
      <c r="BC4" s="22" t="s">
        <v>84</v>
      </c>
      <c r="BD4" s="23" t="s">
        <v>89</v>
      </c>
      <c r="BE4" s="24" t="s">
        <v>90</v>
      </c>
    </row>
    <row r="5">
      <c r="A5" s="25">
        <v>1.0</v>
      </c>
      <c r="B5" s="26" t="s">
        <v>91</v>
      </c>
      <c r="C5" s="27" t="s">
        <v>92</v>
      </c>
      <c r="D5" s="28" t="s">
        <v>93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8" t="s">
        <v>93</v>
      </c>
      <c r="P5" s="28" t="s">
        <v>93</v>
      </c>
      <c r="Q5" s="28" t="s">
        <v>93</v>
      </c>
      <c r="R5" s="28" t="s">
        <v>93</v>
      </c>
      <c r="S5" s="28" t="s">
        <v>93</v>
      </c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16" si="1">COUNTIF(D5:AZ5,"L")</f>
        <v>0</v>
      </c>
      <c r="BB5" s="32">
        <f t="shared" ref="BB5:BB16" si="2">COUNTIF(D5:AZ5,"A")</f>
        <v>0</v>
      </c>
      <c r="BC5" s="32">
        <f t="shared" ref="BC5:BC16" si="3">COUNTIF(D5:AZ5,"p")</f>
        <v>16</v>
      </c>
      <c r="BD5" s="32">
        <f t="shared" ref="BD5:BD16" si="4">SUM(BA5:BC5)</f>
        <v>16</v>
      </c>
      <c r="BE5" s="33">
        <f t="shared" ref="BE5:BE16" si="5">SUM(BA5,BC5)/BD5*100</f>
        <v>100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8" t="s">
        <v>93</v>
      </c>
      <c r="J6" s="29" t="s">
        <v>74</v>
      </c>
      <c r="K6" s="28" t="s">
        <v>93</v>
      </c>
      <c r="L6" s="28" t="s">
        <v>93</v>
      </c>
      <c r="M6" s="28" t="s">
        <v>93</v>
      </c>
      <c r="N6" s="28" t="s">
        <v>93</v>
      </c>
      <c r="O6" s="28" t="s">
        <v>93</v>
      </c>
      <c r="P6" s="28" t="s">
        <v>93</v>
      </c>
      <c r="Q6" s="28" t="s">
        <v>93</v>
      </c>
      <c r="R6" s="28" t="s">
        <v>93</v>
      </c>
      <c r="S6" s="28" t="s">
        <v>93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1</v>
      </c>
      <c r="BC6" s="32">
        <f t="shared" si="3"/>
        <v>15</v>
      </c>
      <c r="BD6" s="32">
        <f t="shared" si="4"/>
        <v>16</v>
      </c>
      <c r="BE6" s="33">
        <f t="shared" si="5"/>
        <v>93.75</v>
      </c>
    </row>
    <row r="7">
      <c r="A7" s="25">
        <v>3.0</v>
      </c>
      <c r="B7" s="36" t="s">
        <v>96</v>
      </c>
      <c r="C7" s="37" t="s">
        <v>97</v>
      </c>
      <c r="D7" s="29" t="s">
        <v>74</v>
      </c>
      <c r="E7" s="28" t="s">
        <v>93</v>
      </c>
      <c r="F7" s="29" t="s">
        <v>74</v>
      </c>
      <c r="G7" s="28" t="s">
        <v>93</v>
      </c>
      <c r="H7" s="29" t="s">
        <v>74</v>
      </c>
      <c r="I7" s="28" t="s">
        <v>93</v>
      </c>
      <c r="J7" s="28" t="s">
        <v>93</v>
      </c>
      <c r="K7" s="28" t="s">
        <v>93</v>
      </c>
      <c r="L7" s="28" t="s">
        <v>93</v>
      </c>
      <c r="M7" s="28" t="s">
        <v>93</v>
      </c>
      <c r="N7" s="28" t="s">
        <v>93</v>
      </c>
      <c r="O7" s="28" t="s">
        <v>93</v>
      </c>
      <c r="P7" s="28" t="s">
        <v>93</v>
      </c>
      <c r="Q7" s="28" t="s">
        <v>93</v>
      </c>
      <c r="R7" s="28" t="s">
        <v>93</v>
      </c>
      <c r="S7" s="28" t="s">
        <v>93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3</v>
      </c>
      <c r="BC7" s="32">
        <f t="shared" si="3"/>
        <v>13</v>
      </c>
      <c r="BD7" s="32">
        <f t="shared" si="4"/>
        <v>16</v>
      </c>
      <c r="BE7" s="33">
        <f t="shared" si="5"/>
        <v>81.25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9" t="s">
        <v>74</v>
      </c>
      <c r="G8" s="28" t="s">
        <v>93</v>
      </c>
      <c r="H8" s="28" t="s">
        <v>93</v>
      </c>
      <c r="I8" s="28" t="s">
        <v>93</v>
      </c>
      <c r="J8" s="29" t="s">
        <v>74</v>
      </c>
      <c r="K8" s="28" t="s">
        <v>93</v>
      </c>
      <c r="L8" s="29" t="s">
        <v>74</v>
      </c>
      <c r="M8" s="28" t="s">
        <v>93</v>
      </c>
      <c r="N8" s="28" t="s">
        <v>93</v>
      </c>
      <c r="O8" s="29" t="s">
        <v>74</v>
      </c>
      <c r="P8" s="28" t="s">
        <v>93</v>
      </c>
      <c r="Q8" s="28" t="s">
        <v>93</v>
      </c>
      <c r="R8" s="29" t="s">
        <v>74</v>
      </c>
      <c r="S8" s="28" t="s">
        <v>93</v>
      </c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5</v>
      </c>
      <c r="BC8" s="32">
        <f t="shared" si="3"/>
        <v>11</v>
      </c>
      <c r="BD8" s="32">
        <f t="shared" si="4"/>
        <v>16</v>
      </c>
      <c r="BE8" s="33">
        <f t="shared" si="5"/>
        <v>68.75</v>
      </c>
    </row>
    <row r="9">
      <c r="A9" s="25">
        <v>5.0</v>
      </c>
      <c r="B9" s="34" t="s">
        <v>100</v>
      </c>
      <c r="C9" s="35" t="s">
        <v>101</v>
      </c>
      <c r="D9" s="28" t="s">
        <v>93</v>
      </c>
      <c r="E9" s="28" t="s">
        <v>93</v>
      </c>
      <c r="F9" s="28" t="s">
        <v>93</v>
      </c>
      <c r="G9" s="28" t="s">
        <v>93</v>
      </c>
      <c r="H9" s="28" t="s">
        <v>93</v>
      </c>
      <c r="I9" s="29" t="s">
        <v>74</v>
      </c>
      <c r="J9" s="28" t="s">
        <v>93</v>
      </c>
      <c r="K9" s="29" t="s">
        <v>74</v>
      </c>
      <c r="L9" s="28" t="s">
        <v>93</v>
      </c>
      <c r="M9" s="28" t="s">
        <v>93</v>
      </c>
      <c r="N9" s="28" t="s">
        <v>93</v>
      </c>
      <c r="O9" s="29" t="s">
        <v>74</v>
      </c>
      <c r="P9" s="28" t="s">
        <v>93</v>
      </c>
      <c r="Q9" s="28" t="s">
        <v>93</v>
      </c>
      <c r="R9" s="29" t="s">
        <v>74</v>
      </c>
      <c r="S9" s="29" t="s">
        <v>74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5</v>
      </c>
      <c r="BC9" s="32">
        <f t="shared" si="3"/>
        <v>11</v>
      </c>
      <c r="BD9" s="32">
        <f t="shared" si="4"/>
        <v>16</v>
      </c>
      <c r="BE9" s="33">
        <f t="shared" si="5"/>
        <v>68.75</v>
      </c>
    </row>
    <row r="10">
      <c r="A10" s="25">
        <v>6.0</v>
      </c>
      <c r="B10" s="34" t="s">
        <v>102</v>
      </c>
      <c r="C10" s="35" t="s">
        <v>103</v>
      </c>
      <c r="D10" s="28" t="s">
        <v>93</v>
      </c>
      <c r="E10" s="28" t="s">
        <v>93</v>
      </c>
      <c r="F10" s="28" t="s">
        <v>93</v>
      </c>
      <c r="G10" s="28" t="s">
        <v>93</v>
      </c>
      <c r="H10" s="28" t="s">
        <v>93</v>
      </c>
      <c r="I10" s="28" t="s">
        <v>93</v>
      </c>
      <c r="J10" s="28" t="s">
        <v>93</v>
      </c>
      <c r="K10" s="28" t="s">
        <v>93</v>
      </c>
      <c r="L10" s="28" t="s">
        <v>93</v>
      </c>
      <c r="M10" s="28" t="s">
        <v>93</v>
      </c>
      <c r="N10" s="28" t="s">
        <v>93</v>
      </c>
      <c r="O10" s="29" t="s">
        <v>74</v>
      </c>
      <c r="P10" s="28" t="s">
        <v>93</v>
      </c>
      <c r="Q10" s="28" t="s">
        <v>93</v>
      </c>
      <c r="R10" s="29" t="s">
        <v>74</v>
      </c>
      <c r="S10" s="29" t="s">
        <v>74</v>
      </c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3</v>
      </c>
      <c r="BC10" s="32">
        <f t="shared" si="3"/>
        <v>13</v>
      </c>
      <c r="BD10" s="32">
        <f t="shared" si="4"/>
        <v>16</v>
      </c>
      <c r="BE10" s="33">
        <f t="shared" si="5"/>
        <v>81.25</v>
      </c>
    </row>
    <row r="11">
      <c r="A11" s="25">
        <v>7.0</v>
      </c>
      <c r="B11" s="34" t="s">
        <v>104</v>
      </c>
      <c r="C11" s="35" t="s">
        <v>105</v>
      </c>
      <c r="D11" s="28" t="s">
        <v>93</v>
      </c>
      <c r="E11" s="28" t="s">
        <v>93</v>
      </c>
      <c r="F11" s="29" t="s">
        <v>74</v>
      </c>
      <c r="G11" s="28" t="s">
        <v>93</v>
      </c>
      <c r="H11" s="28" t="s">
        <v>93</v>
      </c>
      <c r="I11" s="28" t="s">
        <v>93</v>
      </c>
      <c r="J11" s="28" t="s">
        <v>93</v>
      </c>
      <c r="K11" s="28" t="s">
        <v>93</v>
      </c>
      <c r="L11" s="29" t="s">
        <v>74</v>
      </c>
      <c r="M11" s="28" t="s">
        <v>93</v>
      </c>
      <c r="N11" s="28" t="s">
        <v>93</v>
      </c>
      <c r="O11" s="28" t="s">
        <v>93</v>
      </c>
      <c r="P11" s="28" t="s">
        <v>93</v>
      </c>
      <c r="Q11" s="28" t="s">
        <v>93</v>
      </c>
      <c r="R11" s="28" t="s">
        <v>93</v>
      </c>
      <c r="S11" s="28" t="s">
        <v>93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2</v>
      </c>
      <c r="BC11" s="32">
        <f t="shared" si="3"/>
        <v>14</v>
      </c>
      <c r="BD11" s="32">
        <f t="shared" si="4"/>
        <v>16</v>
      </c>
      <c r="BE11" s="33">
        <f t="shared" si="5"/>
        <v>87.5</v>
      </c>
    </row>
    <row r="12">
      <c r="A12" s="25">
        <v>8.0</v>
      </c>
      <c r="B12" s="34" t="s">
        <v>106</v>
      </c>
      <c r="C12" s="35" t="s">
        <v>107</v>
      </c>
      <c r="D12" s="28" t="s">
        <v>93</v>
      </c>
      <c r="E12" s="28" t="s">
        <v>93</v>
      </c>
      <c r="F12" s="29" t="s">
        <v>74</v>
      </c>
      <c r="G12" s="28" t="s">
        <v>93</v>
      </c>
      <c r="H12" s="28" t="s">
        <v>93</v>
      </c>
      <c r="I12" s="28" t="s">
        <v>93</v>
      </c>
      <c r="J12" s="28" t="s">
        <v>93</v>
      </c>
      <c r="K12" s="28" t="s">
        <v>93</v>
      </c>
      <c r="L12" s="28" t="s">
        <v>93</v>
      </c>
      <c r="M12" s="28" t="s">
        <v>93</v>
      </c>
      <c r="N12" s="28" t="s">
        <v>93</v>
      </c>
      <c r="O12" s="28" t="s">
        <v>93</v>
      </c>
      <c r="P12" s="28" t="s">
        <v>93</v>
      </c>
      <c r="Q12" s="28" t="s">
        <v>93</v>
      </c>
      <c r="R12" s="28" t="s">
        <v>93</v>
      </c>
      <c r="S12" s="29" t="s">
        <v>74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2</v>
      </c>
      <c r="BC12" s="32">
        <f t="shared" si="3"/>
        <v>14</v>
      </c>
      <c r="BD12" s="32">
        <f t="shared" si="4"/>
        <v>16</v>
      </c>
      <c r="BE12" s="33">
        <f t="shared" si="5"/>
        <v>87.5</v>
      </c>
    </row>
    <row r="13">
      <c r="A13" s="25">
        <v>9.0</v>
      </c>
      <c r="B13" s="34" t="s">
        <v>108</v>
      </c>
      <c r="C13" s="35" t="s">
        <v>109</v>
      </c>
      <c r="D13" s="28" t="s">
        <v>93</v>
      </c>
      <c r="E13" s="28" t="s">
        <v>93</v>
      </c>
      <c r="F13" s="29" t="s">
        <v>74</v>
      </c>
      <c r="G13" s="28" t="s">
        <v>93</v>
      </c>
      <c r="H13" s="28" t="s">
        <v>93</v>
      </c>
      <c r="I13" s="28" t="s">
        <v>93</v>
      </c>
      <c r="J13" s="28" t="s">
        <v>93</v>
      </c>
      <c r="K13" s="28" t="s">
        <v>93</v>
      </c>
      <c r="L13" s="28" t="s">
        <v>93</v>
      </c>
      <c r="M13" s="28" t="s">
        <v>93</v>
      </c>
      <c r="N13" s="28" t="s">
        <v>93</v>
      </c>
      <c r="O13" s="28" t="s">
        <v>93</v>
      </c>
      <c r="P13" s="28" t="s">
        <v>93</v>
      </c>
      <c r="Q13" s="28" t="s">
        <v>93</v>
      </c>
      <c r="R13" s="29" t="s">
        <v>74</v>
      </c>
      <c r="S13" s="28" t="s">
        <v>93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2</v>
      </c>
      <c r="BC13" s="32">
        <f t="shared" si="3"/>
        <v>14</v>
      </c>
      <c r="BD13" s="32">
        <f t="shared" si="4"/>
        <v>16</v>
      </c>
      <c r="BE13" s="33">
        <f t="shared" si="5"/>
        <v>87.5</v>
      </c>
    </row>
    <row r="14">
      <c r="A14" s="25">
        <v>10.0</v>
      </c>
      <c r="B14" s="34" t="s">
        <v>112</v>
      </c>
      <c r="C14" s="35" t="s">
        <v>114</v>
      </c>
      <c r="D14" s="28" t="s">
        <v>93</v>
      </c>
      <c r="E14" s="29" t="s">
        <v>74</v>
      </c>
      <c r="F14" s="29" t="s">
        <v>74</v>
      </c>
      <c r="G14" s="28" t="s">
        <v>93</v>
      </c>
      <c r="H14" s="28" t="s">
        <v>93</v>
      </c>
      <c r="I14" s="28" t="s">
        <v>93</v>
      </c>
      <c r="J14" s="28" t="s">
        <v>93</v>
      </c>
      <c r="K14" s="29" t="s">
        <v>74</v>
      </c>
      <c r="L14" s="29" t="s">
        <v>74</v>
      </c>
      <c r="M14" s="28" t="s">
        <v>93</v>
      </c>
      <c r="N14" s="28" t="s">
        <v>93</v>
      </c>
      <c r="O14" s="29" t="s">
        <v>74</v>
      </c>
      <c r="P14" s="28" t="s">
        <v>93</v>
      </c>
      <c r="Q14" s="28" t="s">
        <v>93</v>
      </c>
      <c r="R14" s="28" t="s">
        <v>93</v>
      </c>
      <c r="S14" s="28" t="s">
        <v>93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5</v>
      </c>
      <c r="BC14" s="32">
        <f t="shared" si="3"/>
        <v>11</v>
      </c>
      <c r="BD14" s="32">
        <f t="shared" si="4"/>
        <v>16</v>
      </c>
      <c r="BE14" s="33">
        <f t="shared" si="5"/>
        <v>68.75</v>
      </c>
    </row>
    <row r="15">
      <c r="A15" s="25">
        <v>11.0</v>
      </c>
      <c r="B15" s="34" t="s">
        <v>110</v>
      </c>
      <c r="C15" s="35" t="s">
        <v>111</v>
      </c>
      <c r="D15" s="28" t="s">
        <v>93</v>
      </c>
      <c r="E15" s="28" t="s">
        <v>93</v>
      </c>
      <c r="F15" s="29" t="s">
        <v>74</v>
      </c>
      <c r="G15" s="28" t="s">
        <v>93</v>
      </c>
      <c r="H15" s="28" t="s">
        <v>93</v>
      </c>
      <c r="I15" s="28" t="s">
        <v>93</v>
      </c>
      <c r="J15" s="28" t="s">
        <v>93</v>
      </c>
      <c r="K15" s="28" t="s">
        <v>93</v>
      </c>
      <c r="L15" s="28" t="s">
        <v>93</v>
      </c>
      <c r="M15" s="28" t="s">
        <v>93</v>
      </c>
      <c r="N15" s="28" t="s">
        <v>93</v>
      </c>
      <c r="O15" s="28" t="s">
        <v>93</v>
      </c>
      <c r="P15" s="28" t="s">
        <v>93</v>
      </c>
      <c r="Q15" s="28" t="s">
        <v>93</v>
      </c>
      <c r="R15" s="28" t="s">
        <v>93</v>
      </c>
      <c r="S15" s="28" t="s">
        <v>93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>
        <f t="shared" si="1"/>
        <v>0</v>
      </c>
      <c r="BB15" s="32">
        <f t="shared" si="2"/>
        <v>1</v>
      </c>
      <c r="BC15" s="32">
        <f t="shared" si="3"/>
        <v>15</v>
      </c>
      <c r="BD15" s="32">
        <f t="shared" si="4"/>
        <v>16</v>
      </c>
      <c r="BE15" s="33">
        <f t="shared" si="5"/>
        <v>93.75</v>
      </c>
    </row>
    <row r="16">
      <c r="A16" s="25">
        <v>12.0</v>
      </c>
      <c r="B16" s="34" t="s">
        <v>115</v>
      </c>
      <c r="C16" s="35" t="s">
        <v>116</v>
      </c>
      <c r="D16" s="28" t="s">
        <v>93</v>
      </c>
      <c r="E16" s="28" t="s">
        <v>93</v>
      </c>
      <c r="F16" s="29" t="s">
        <v>74</v>
      </c>
      <c r="G16" s="28" t="s">
        <v>93</v>
      </c>
      <c r="H16" s="28" t="s">
        <v>93</v>
      </c>
      <c r="I16" s="28" t="s">
        <v>93</v>
      </c>
      <c r="J16" s="28" t="s">
        <v>93</v>
      </c>
      <c r="K16" s="29" t="s">
        <v>74</v>
      </c>
      <c r="L16" s="29" t="s">
        <v>74</v>
      </c>
      <c r="M16" s="28" t="s">
        <v>93</v>
      </c>
      <c r="N16" s="28" t="s">
        <v>93</v>
      </c>
      <c r="O16" s="28" t="s">
        <v>93</v>
      </c>
      <c r="P16" s="28" t="s">
        <v>93</v>
      </c>
      <c r="Q16" s="28" t="s">
        <v>93</v>
      </c>
      <c r="R16" s="28" t="s">
        <v>93</v>
      </c>
      <c r="S16" s="29" t="s">
        <v>74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4</v>
      </c>
      <c r="BC16" s="32">
        <f t="shared" si="3"/>
        <v>12</v>
      </c>
      <c r="BD16" s="32">
        <f t="shared" si="4"/>
        <v>16</v>
      </c>
      <c r="BE16" s="33">
        <f t="shared" si="5"/>
        <v>75</v>
      </c>
    </row>
    <row r="17">
      <c r="C17" s="39" t="s">
        <v>113</v>
      </c>
      <c r="D17" s="40">
        <f t="shared" ref="D17:AZ17" si="6">COUNTIF(D6:D16,"P")+COUNTIF(D6:D16,"L")</f>
        <v>10</v>
      </c>
      <c r="E17" s="40">
        <f t="shared" si="6"/>
        <v>10</v>
      </c>
      <c r="F17" s="40">
        <f t="shared" si="6"/>
        <v>3</v>
      </c>
      <c r="G17" s="40">
        <f t="shared" si="6"/>
        <v>11</v>
      </c>
      <c r="H17" s="40">
        <f t="shared" si="6"/>
        <v>10</v>
      </c>
      <c r="I17" s="40">
        <f t="shared" si="6"/>
        <v>10</v>
      </c>
      <c r="J17" s="40">
        <f t="shared" si="6"/>
        <v>9</v>
      </c>
      <c r="K17" s="40">
        <f t="shared" si="6"/>
        <v>8</v>
      </c>
      <c r="L17" s="40">
        <f t="shared" si="6"/>
        <v>7</v>
      </c>
      <c r="M17" s="40">
        <f t="shared" si="6"/>
        <v>11</v>
      </c>
      <c r="N17" s="40">
        <f t="shared" si="6"/>
        <v>11</v>
      </c>
      <c r="O17" s="40">
        <f t="shared" si="6"/>
        <v>7</v>
      </c>
      <c r="P17" s="40">
        <f t="shared" si="6"/>
        <v>11</v>
      </c>
      <c r="Q17" s="40">
        <f t="shared" si="6"/>
        <v>11</v>
      </c>
      <c r="R17" s="40">
        <f t="shared" si="6"/>
        <v>7</v>
      </c>
      <c r="S17" s="40">
        <f t="shared" si="6"/>
        <v>7</v>
      </c>
      <c r="T17" s="40">
        <f t="shared" si="6"/>
        <v>0</v>
      </c>
      <c r="U17" s="40">
        <f t="shared" si="6"/>
        <v>0</v>
      </c>
      <c r="V17" s="40">
        <f t="shared" si="6"/>
        <v>0</v>
      </c>
      <c r="W17" s="40">
        <f t="shared" si="6"/>
        <v>0</v>
      </c>
      <c r="X17" s="40">
        <f t="shared" si="6"/>
        <v>0</v>
      </c>
      <c r="Y17" s="40">
        <f t="shared" si="6"/>
        <v>0</v>
      </c>
      <c r="Z17" s="40">
        <f t="shared" si="6"/>
        <v>0</v>
      </c>
      <c r="AA17" s="40">
        <f t="shared" si="6"/>
        <v>0</v>
      </c>
      <c r="AB17" s="40">
        <f t="shared" si="6"/>
        <v>0</v>
      </c>
      <c r="AC17" s="40">
        <f t="shared" si="6"/>
        <v>0</v>
      </c>
      <c r="AD17" s="40">
        <f t="shared" si="6"/>
        <v>0</v>
      </c>
      <c r="AE17" s="40">
        <f t="shared" si="6"/>
        <v>0</v>
      </c>
      <c r="AF17" s="40">
        <f t="shared" si="6"/>
        <v>0</v>
      </c>
      <c r="AG17" s="40">
        <f t="shared" si="6"/>
        <v>0</v>
      </c>
      <c r="AH17" s="40">
        <f t="shared" si="6"/>
        <v>0</v>
      </c>
      <c r="AI17" s="40">
        <f t="shared" si="6"/>
        <v>0</v>
      </c>
      <c r="AJ17" s="40">
        <f t="shared" si="6"/>
        <v>0</v>
      </c>
      <c r="AK17" s="40">
        <f t="shared" si="6"/>
        <v>0</v>
      </c>
      <c r="AL17" s="40">
        <f t="shared" si="6"/>
        <v>0</v>
      </c>
      <c r="AM17" s="40">
        <f t="shared" si="6"/>
        <v>0</v>
      </c>
      <c r="AN17" s="40">
        <f t="shared" si="6"/>
        <v>0</v>
      </c>
      <c r="AO17" s="40">
        <f t="shared" si="6"/>
        <v>0</v>
      </c>
      <c r="AP17" s="40">
        <f t="shared" si="6"/>
        <v>0</v>
      </c>
      <c r="AQ17" s="40">
        <f t="shared" si="6"/>
        <v>0</v>
      </c>
      <c r="AR17" s="40">
        <f t="shared" si="6"/>
        <v>0</v>
      </c>
      <c r="AS17" s="40">
        <f t="shared" si="6"/>
        <v>0</v>
      </c>
      <c r="AT17" s="40">
        <f t="shared" si="6"/>
        <v>0</v>
      </c>
      <c r="AU17" s="40">
        <f t="shared" si="6"/>
        <v>0</v>
      </c>
      <c r="AV17" s="40">
        <f t="shared" si="6"/>
        <v>0</v>
      </c>
      <c r="AW17" s="40">
        <f t="shared" si="6"/>
        <v>0</v>
      </c>
      <c r="AX17" s="40">
        <f t="shared" si="6"/>
        <v>0</v>
      </c>
      <c r="AY17" s="40">
        <f t="shared" si="6"/>
        <v>0</v>
      </c>
      <c r="AZ17" s="40">
        <f t="shared" si="6"/>
        <v>0</v>
      </c>
    </row>
    <row r="18">
      <c r="C18" s="46" t="s">
        <v>117</v>
      </c>
      <c r="D18" s="47">
        <v>12.0</v>
      </c>
      <c r="E18" s="47">
        <v>12.0</v>
      </c>
      <c r="F18" s="47">
        <v>12.0</v>
      </c>
      <c r="G18" s="47">
        <v>12.0</v>
      </c>
      <c r="H18" s="47">
        <v>12.0</v>
      </c>
      <c r="I18" s="47">
        <v>12.0</v>
      </c>
      <c r="J18" s="47">
        <v>12.0</v>
      </c>
      <c r="K18" s="47">
        <v>12.0</v>
      </c>
      <c r="L18" s="47">
        <v>12.0</v>
      </c>
      <c r="M18" s="47">
        <v>12.0</v>
      </c>
      <c r="N18" s="47">
        <v>12.0</v>
      </c>
      <c r="O18" s="47">
        <v>12.0</v>
      </c>
      <c r="P18" s="47">
        <v>12.0</v>
      </c>
      <c r="Q18" s="47">
        <v>12.0</v>
      </c>
      <c r="R18" s="47">
        <v>12.0</v>
      </c>
      <c r="S18" s="47">
        <v>12.0</v>
      </c>
      <c r="T18" s="47">
        <v>12.0</v>
      </c>
      <c r="U18" s="47">
        <v>12.0</v>
      </c>
      <c r="V18" s="47">
        <v>12.0</v>
      </c>
      <c r="W18" s="47">
        <v>12.0</v>
      </c>
      <c r="X18" s="47">
        <v>12.0</v>
      </c>
      <c r="Y18" s="47">
        <v>12.0</v>
      </c>
      <c r="Z18" s="47">
        <v>12.0</v>
      </c>
      <c r="AA18" s="47">
        <v>12.0</v>
      </c>
      <c r="AB18" s="47">
        <v>12.0</v>
      </c>
      <c r="AC18" s="47">
        <v>12.0</v>
      </c>
      <c r="AD18" s="47">
        <v>12.0</v>
      </c>
      <c r="AE18" s="47">
        <v>12.0</v>
      </c>
      <c r="AF18" s="47">
        <v>12.0</v>
      </c>
      <c r="AG18" s="47">
        <v>12.0</v>
      </c>
      <c r="AH18" s="47">
        <v>12.0</v>
      </c>
      <c r="AI18" s="47">
        <v>12.0</v>
      </c>
      <c r="AJ18" s="47">
        <v>12.0</v>
      </c>
      <c r="AK18" s="47">
        <v>12.0</v>
      </c>
      <c r="AL18" s="47">
        <v>12.0</v>
      </c>
      <c r="AM18" s="47">
        <v>12.0</v>
      </c>
      <c r="AN18" s="47">
        <v>12.0</v>
      </c>
      <c r="AO18" s="47">
        <v>12.0</v>
      </c>
      <c r="AP18" s="47">
        <v>12.0</v>
      </c>
      <c r="AQ18" s="47">
        <v>12.0</v>
      </c>
      <c r="AR18" s="47">
        <v>12.0</v>
      </c>
      <c r="AS18" s="47">
        <v>12.0</v>
      </c>
      <c r="AT18" s="47">
        <v>12.0</v>
      </c>
      <c r="AU18" s="47">
        <v>12.0</v>
      </c>
      <c r="AV18" s="47">
        <v>12.0</v>
      </c>
      <c r="AW18" s="47">
        <v>12.0</v>
      </c>
      <c r="AX18" s="47">
        <v>12.0</v>
      </c>
      <c r="AY18" s="47">
        <v>12.0</v>
      </c>
      <c r="AZ18" s="47">
        <v>12.0</v>
      </c>
    </row>
    <row r="19">
      <c r="C19" s="50" t="s">
        <v>118</v>
      </c>
      <c r="D19" s="51">
        <f t="shared" ref="D19:AZ19" si="7">SUM(D17/D18)*100</f>
        <v>83.33333333</v>
      </c>
      <c r="E19" s="51">
        <f t="shared" si="7"/>
        <v>83.33333333</v>
      </c>
      <c r="F19" s="51">
        <f t="shared" si="7"/>
        <v>25</v>
      </c>
      <c r="G19" s="51">
        <f t="shared" si="7"/>
        <v>91.66666667</v>
      </c>
      <c r="H19" s="51">
        <f t="shared" si="7"/>
        <v>83.33333333</v>
      </c>
      <c r="I19" s="51">
        <f t="shared" si="7"/>
        <v>83.33333333</v>
      </c>
      <c r="J19" s="51">
        <f t="shared" si="7"/>
        <v>75</v>
      </c>
      <c r="K19" s="51">
        <f t="shared" si="7"/>
        <v>66.66666667</v>
      </c>
      <c r="L19" s="51">
        <f t="shared" si="7"/>
        <v>58.33333333</v>
      </c>
      <c r="M19" s="51">
        <f t="shared" si="7"/>
        <v>91.66666667</v>
      </c>
      <c r="N19" s="51">
        <f t="shared" si="7"/>
        <v>91.66666667</v>
      </c>
      <c r="O19" s="51">
        <f t="shared" si="7"/>
        <v>58.33333333</v>
      </c>
      <c r="P19" s="51">
        <f t="shared" si="7"/>
        <v>91.66666667</v>
      </c>
      <c r="Q19" s="51">
        <f t="shared" si="7"/>
        <v>91.66666667</v>
      </c>
      <c r="R19" s="51">
        <f t="shared" si="7"/>
        <v>58.33333333</v>
      </c>
      <c r="S19" s="51">
        <f t="shared" si="7"/>
        <v>58.33333333</v>
      </c>
      <c r="T19" s="51">
        <f t="shared" si="7"/>
        <v>0</v>
      </c>
      <c r="U19" s="51">
        <f t="shared" si="7"/>
        <v>0</v>
      </c>
      <c r="V19" s="51">
        <f t="shared" si="7"/>
        <v>0</v>
      </c>
      <c r="W19" s="51">
        <f t="shared" si="7"/>
        <v>0</v>
      </c>
      <c r="X19" s="51">
        <f t="shared" si="7"/>
        <v>0</v>
      </c>
      <c r="Y19" s="51">
        <f t="shared" si="7"/>
        <v>0</v>
      </c>
      <c r="Z19" s="51">
        <f t="shared" si="7"/>
        <v>0</v>
      </c>
      <c r="AA19" s="51">
        <f t="shared" si="7"/>
        <v>0</v>
      </c>
      <c r="AB19" s="51">
        <f t="shared" si="7"/>
        <v>0</v>
      </c>
      <c r="AC19" s="51">
        <f t="shared" si="7"/>
        <v>0</v>
      </c>
      <c r="AD19" s="51">
        <f t="shared" si="7"/>
        <v>0</v>
      </c>
      <c r="AE19" s="51">
        <f t="shared" si="7"/>
        <v>0</v>
      </c>
      <c r="AF19" s="51">
        <f t="shared" si="7"/>
        <v>0</v>
      </c>
      <c r="AG19" s="51">
        <f t="shared" si="7"/>
        <v>0</v>
      </c>
      <c r="AH19" s="51">
        <f t="shared" si="7"/>
        <v>0</v>
      </c>
      <c r="AI19" s="51">
        <f t="shared" si="7"/>
        <v>0</v>
      </c>
      <c r="AJ19" s="51">
        <f t="shared" si="7"/>
        <v>0</v>
      </c>
      <c r="AK19" s="51">
        <f t="shared" si="7"/>
        <v>0</v>
      </c>
      <c r="AL19" s="51">
        <f t="shared" si="7"/>
        <v>0</v>
      </c>
      <c r="AM19" s="51">
        <f t="shared" si="7"/>
        <v>0</v>
      </c>
      <c r="AN19" s="51">
        <f t="shared" si="7"/>
        <v>0</v>
      </c>
      <c r="AO19" s="51">
        <f t="shared" si="7"/>
        <v>0</v>
      </c>
      <c r="AP19" s="51">
        <f t="shared" si="7"/>
        <v>0</v>
      </c>
      <c r="AQ19" s="51">
        <f t="shared" si="7"/>
        <v>0</v>
      </c>
      <c r="AR19" s="51">
        <f t="shared" si="7"/>
        <v>0</v>
      </c>
      <c r="AS19" s="51">
        <f t="shared" si="7"/>
        <v>0</v>
      </c>
      <c r="AT19" s="51">
        <f t="shared" si="7"/>
        <v>0</v>
      </c>
      <c r="AU19" s="51">
        <f t="shared" si="7"/>
        <v>0</v>
      </c>
      <c r="AV19" s="51">
        <f t="shared" si="7"/>
        <v>0</v>
      </c>
      <c r="AW19" s="51">
        <f t="shared" si="7"/>
        <v>0</v>
      </c>
      <c r="AX19" s="51">
        <f t="shared" si="7"/>
        <v>0</v>
      </c>
      <c r="AY19" s="51">
        <f t="shared" si="7"/>
        <v>0</v>
      </c>
      <c r="AZ19" s="51">
        <f t="shared" si="7"/>
        <v>0</v>
      </c>
    </row>
  </sheetData>
  <mergeCells count="5">
    <mergeCell ref="A1:BE1"/>
    <mergeCell ref="A2:A4"/>
    <mergeCell ref="B2:B4"/>
    <mergeCell ref="C2:C4"/>
    <mergeCell ref="D2:B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7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55.5" customHeight="1">
      <c r="A3" s="9"/>
      <c r="B3" s="9"/>
      <c r="C3" s="9"/>
      <c r="D3" s="11" t="s">
        <v>9</v>
      </c>
      <c r="E3" s="11" t="s">
        <v>9</v>
      </c>
      <c r="F3" s="11" t="s">
        <v>9</v>
      </c>
      <c r="G3" s="11" t="s">
        <v>9</v>
      </c>
      <c r="H3" s="11" t="s">
        <v>9</v>
      </c>
      <c r="I3" s="11" t="s">
        <v>9</v>
      </c>
      <c r="J3" s="11" t="s">
        <v>9</v>
      </c>
      <c r="K3" s="11" t="s">
        <v>9</v>
      </c>
      <c r="L3" s="13" t="s">
        <v>15</v>
      </c>
      <c r="M3" s="11" t="s">
        <v>9</v>
      </c>
      <c r="N3" s="13" t="s">
        <v>15</v>
      </c>
      <c r="O3" s="13" t="s">
        <v>15</v>
      </c>
      <c r="P3" s="13" t="s">
        <v>15</v>
      </c>
      <c r="Q3" s="11" t="s">
        <v>9</v>
      </c>
      <c r="R3" s="11" t="s">
        <v>9</v>
      </c>
      <c r="S3" s="13" t="s">
        <v>15</v>
      </c>
      <c r="T3" s="11" t="s">
        <v>9</v>
      </c>
      <c r="U3" s="13" t="s">
        <v>15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5"/>
      <c r="AY3" s="15"/>
      <c r="AZ3" s="14"/>
      <c r="BA3" s="14"/>
      <c r="BB3" s="14"/>
      <c r="BC3" s="14"/>
      <c r="BD3" s="14"/>
      <c r="BE3" s="16"/>
    </row>
    <row r="4" ht="69.75" customHeight="1">
      <c r="A4" s="17"/>
      <c r="B4" s="17"/>
      <c r="C4" s="17"/>
      <c r="D4" s="13" t="s">
        <v>25</v>
      </c>
      <c r="E4" s="13" t="s">
        <v>27</v>
      </c>
      <c r="F4" s="13" t="s">
        <v>29</v>
      </c>
      <c r="G4" s="13" t="s">
        <v>31</v>
      </c>
      <c r="H4" s="13" t="s">
        <v>33</v>
      </c>
      <c r="I4" s="13" t="s">
        <v>35</v>
      </c>
      <c r="J4" s="13" t="s">
        <v>37</v>
      </c>
      <c r="K4" s="13" t="s">
        <v>39</v>
      </c>
      <c r="L4" s="13" t="s">
        <v>42</v>
      </c>
      <c r="M4" s="13" t="s">
        <v>44</v>
      </c>
      <c r="N4" s="13" t="s">
        <v>46</v>
      </c>
      <c r="O4" s="13" t="s">
        <v>47</v>
      </c>
      <c r="P4" s="13" t="s">
        <v>50</v>
      </c>
      <c r="Q4" s="13" t="s">
        <v>52</v>
      </c>
      <c r="R4" s="13" t="s">
        <v>53</v>
      </c>
      <c r="S4" s="13" t="s">
        <v>55</v>
      </c>
      <c r="T4" s="13" t="s">
        <v>57</v>
      </c>
      <c r="U4" s="13" t="s">
        <v>59</v>
      </c>
      <c r="V4" s="15"/>
      <c r="W4" s="15"/>
      <c r="X4" s="15"/>
      <c r="Y4" s="15"/>
      <c r="Z4" s="15"/>
      <c r="AA4" s="14"/>
      <c r="AB4" s="14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4"/>
      <c r="BA4" s="20" t="s">
        <v>66</v>
      </c>
      <c r="BB4" s="21" t="s">
        <v>74</v>
      </c>
      <c r="BC4" s="22" t="s">
        <v>84</v>
      </c>
      <c r="BD4" s="23" t="s">
        <v>89</v>
      </c>
      <c r="BE4" s="24" t="s">
        <v>90</v>
      </c>
    </row>
    <row r="5">
      <c r="A5" s="25">
        <v>1.0</v>
      </c>
      <c r="B5" s="26" t="s">
        <v>91</v>
      </c>
      <c r="C5" s="27" t="s">
        <v>92</v>
      </c>
      <c r="D5" s="28" t="s">
        <v>93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9" t="s">
        <v>74</v>
      </c>
      <c r="P5" s="28" t="s">
        <v>93</v>
      </c>
      <c r="Q5" s="28" t="s">
        <v>93</v>
      </c>
      <c r="R5" s="28" t="s">
        <v>93</v>
      </c>
      <c r="S5" s="28" t="s">
        <v>93</v>
      </c>
      <c r="T5" s="29" t="s">
        <v>74</v>
      </c>
      <c r="U5" s="28" t="s">
        <v>93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16" si="1">COUNTIF(D5:AZ5,"L")</f>
        <v>0</v>
      </c>
      <c r="BB5" s="32">
        <f t="shared" ref="BB5:BB16" si="2">COUNTIF(D5:AZ5,"A")</f>
        <v>2</v>
      </c>
      <c r="BC5" s="32">
        <f t="shared" ref="BC5:BC16" si="3">COUNTIF(D5:AZ5,"p")</f>
        <v>16</v>
      </c>
      <c r="BD5" s="32">
        <f t="shared" ref="BD5:BD16" si="4">SUM(BA5:BC5)</f>
        <v>18</v>
      </c>
      <c r="BE5" s="33">
        <f t="shared" ref="BE5:BE16" si="5">SUM(BA5,BC5)/BD5*100</f>
        <v>88.88888889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8" t="s">
        <v>93</v>
      </c>
      <c r="J6" s="28" t="s">
        <v>93</v>
      </c>
      <c r="K6" s="28" t="s">
        <v>93</v>
      </c>
      <c r="L6" s="29" t="s">
        <v>74</v>
      </c>
      <c r="M6" s="28" t="s">
        <v>93</v>
      </c>
      <c r="N6" s="28" t="s">
        <v>93</v>
      </c>
      <c r="O6" s="28" t="s">
        <v>93</v>
      </c>
      <c r="P6" s="28" t="s">
        <v>93</v>
      </c>
      <c r="Q6" s="28" t="s">
        <v>93</v>
      </c>
      <c r="R6" s="28" t="s">
        <v>93</v>
      </c>
      <c r="S6" s="28" t="s">
        <v>93</v>
      </c>
      <c r="T6" s="28" t="s">
        <v>93</v>
      </c>
      <c r="U6" s="28" t="s">
        <v>93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1</v>
      </c>
      <c r="BC6" s="32">
        <f t="shared" si="3"/>
        <v>17</v>
      </c>
      <c r="BD6" s="32">
        <f t="shared" si="4"/>
        <v>18</v>
      </c>
      <c r="BE6" s="33">
        <f t="shared" si="5"/>
        <v>94.44444444</v>
      </c>
    </row>
    <row r="7">
      <c r="A7" s="25">
        <v>3.0</v>
      </c>
      <c r="B7" s="36" t="s">
        <v>96</v>
      </c>
      <c r="C7" s="37" t="s">
        <v>97</v>
      </c>
      <c r="D7" s="28" t="s">
        <v>93</v>
      </c>
      <c r="E7" s="28" t="s">
        <v>93</v>
      </c>
      <c r="F7" s="28" t="s">
        <v>93</v>
      </c>
      <c r="G7" s="29" t="s">
        <v>74</v>
      </c>
      <c r="H7" s="29" t="s">
        <v>74</v>
      </c>
      <c r="I7" s="28" t="s">
        <v>93</v>
      </c>
      <c r="J7" s="28" t="s">
        <v>93</v>
      </c>
      <c r="K7" s="28" t="s">
        <v>93</v>
      </c>
      <c r="L7" s="28" t="s">
        <v>93</v>
      </c>
      <c r="M7" s="28" t="s">
        <v>93</v>
      </c>
      <c r="N7" s="28" t="s">
        <v>93</v>
      </c>
      <c r="O7" s="28" t="s">
        <v>93</v>
      </c>
      <c r="P7" s="28" t="s">
        <v>93</v>
      </c>
      <c r="Q7" s="28" t="s">
        <v>93</v>
      </c>
      <c r="R7" s="28" t="s">
        <v>93</v>
      </c>
      <c r="S7" s="28" t="s">
        <v>93</v>
      </c>
      <c r="T7" s="28" t="s">
        <v>93</v>
      </c>
      <c r="U7" s="28" t="s">
        <v>93</v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2</v>
      </c>
      <c r="BC7" s="32">
        <f t="shared" si="3"/>
        <v>16</v>
      </c>
      <c r="BD7" s="32">
        <f t="shared" si="4"/>
        <v>18</v>
      </c>
      <c r="BE7" s="33">
        <f t="shared" si="5"/>
        <v>88.88888889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8" t="s">
        <v>93</v>
      </c>
      <c r="G8" s="28" t="s">
        <v>93</v>
      </c>
      <c r="H8" s="28" t="s">
        <v>93</v>
      </c>
      <c r="I8" s="28" t="s">
        <v>93</v>
      </c>
      <c r="J8" s="28" t="s">
        <v>93</v>
      </c>
      <c r="K8" s="28" t="s">
        <v>93</v>
      </c>
      <c r="L8" s="28" t="s">
        <v>93</v>
      </c>
      <c r="M8" s="28" t="s">
        <v>93</v>
      </c>
      <c r="N8" s="29" t="s">
        <v>74</v>
      </c>
      <c r="O8" s="28" t="s">
        <v>93</v>
      </c>
      <c r="P8" s="28" t="s">
        <v>93</v>
      </c>
      <c r="Q8" s="29" t="s">
        <v>74</v>
      </c>
      <c r="R8" s="28" t="s">
        <v>93</v>
      </c>
      <c r="S8" s="28" t="s">
        <v>93</v>
      </c>
      <c r="T8" s="28" t="s">
        <v>93</v>
      </c>
      <c r="U8" s="28" t="s">
        <v>93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2</v>
      </c>
      <c r="BC8" s="32">
        <f t="shared" si="3"/>
        <v>16</v>
      </c>
      <c r="BD8" s="32">
        <f t="shared" si="4"/>
        <v>18</v>
      </c>
      <c r="BE8" s="33">
        <f t="shared" si="5"/>
        <v>88.88888889</v>
      </c>
    </row>
    <row r="9">
      <c r="A9" s="25">
        <v>5.0</v>
      </c>
      <c r="B9" s="34" t="s">
        <v>100</v>
      </c>
      <c r="C9" s="35" t="s">
        <v>101</v>
      </c>
      <c r="D9" s="29" t="s">
        <v>74</v>
      </c>
      <c r="E9" s="28" t="s">
        <v>93</v>
      </c>
      <c r="F9" s="28" t="s">
        <v>93</v>
      </c>
      <c r="G9" s="28" t="s">
        <v>93</v>
      </c>
      <c r="H9" s="28" t="s">
        <v>93</v>
      </c>
      <c r="I9" s="29" t="s">
        <v>74</v>
      </c>
      <c r="J9" s="29" t="s">
        <v>74</v>
      </c>
      <c r="K9" s="29" t="s">
        <v>74</v>
      </c>
      <c r="L9" s="28" t="s">
        <v>93</v>
      </c>
      <c r="M9" s="28" t="s">
        <v>93</v>
      </c>
      <c r="N9" s="28" t="s">
        <v>93</v>
      </c>
      <c r="O9" s="28" t="s">
        <v>93</v>
      </c>
      <c r="P9" s="28" t="s">
        <v>93</v>
      </c>
      <c r="Q9" s="28" t="s">
        <v>93</v>
      </c>
      <c r="R9" s="28" t="s">
        <v>93</v>
      </c>
      <c r="S9" s="29" t="s">
        <v>74</v>
      </c>
      <c r="T9" s="28" t="s">
        <v>93</v>
      </c>
      <c r="U9" s="29" t="s">
        <v>74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6</v>
      </c>
      <c r="BC9" s="32">
        <f t="shared" si="3"/>
        <v>12</v>
      </c>
      <c r="BD9" s="32">
        <f t="shared" si="4"/>
        <v>18</v>
      </c>
      <c r="BE9" s="33">
        <f t="shared" si="5"/>
        <v>66.66666667</v>
      </c>
    </row>
    <row r="10">
      <c r="A10" s="25">
        <v>6.0</v>
      </c>
      <c r="B10" s="34" t="s">
        <v>102</v>
      </c>
      <c r="C10" s="35" t="s">
        <v>103</v>
      </c>
      <c r="D10" s="28" t="s">
        <v>93</v>
      </c>
      <c r="E10" s="28" t="s">
        <v>93</v>
      </c>
      <c r="F10" s="28" t="s">
        <v>93</v>
      </c>
      <c r="G10" s="28" t="s">
        <v>93</v>
      </c>
      <c r="H10" s="28" t="s">
        <v>93</v>
      </c>
      <c r="I10" s="28" t="s">
        <v>93</v>
      </c>
      <c r="J10" s="28" t="s">
        <v>93</v>
      </c>
      <c r="K10" s="28" t="s">
        <v>93</v>
      </c>
      <c r="L10" s="28" t="s">
        <v>93</v>
      </c>
      <c r="M10" s="28" t="s">
        <v>93</v>
      </c>
      <c r="N10" s="28" t="s">
        <v>93</v>
      </c>
      <c r="O10" s="28" t="s">
        <v>93</v>
      </c>
      <c r="P10" s="28" t="s">
        <v>93</v>
      </c>
      <c r="Q10" s="28" t="s">
        <v>93</v>
      </c>
      <c r="R10" s="28" t="s">
        <v>93</v>
      </c>
      <c r="S10" s="29" t="s">
        <v>74</v>
      </c>
      <c r="T10" s="28" t="s">
        <v>93</v>
      </c>
      <c r="U10" s="29" t="s">
        <v>74</v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2</v>
      </c>
      <c r="BC10" s="32">
        <f t="shared" si="3"/>
        <v>16</v>
      </c>
      <c r="BD10" s="32">
        <f t="shared" si="4"/>
        <v>18</v>
      </c>
      <c r="BE10" s="33">
        <f t="shared" si="5"/>
        <v>88.88888889</v>
      </c>
    </row>
    <row r="11">
      <c r="A11" s="25">
        <v>7.0</v>
      </c>
      <c r="B11" s="34" t="s">
        <v>104</v>
      </c>
      <c r="C11" s="35" t="s">
        <v>105</v>
      </c>
      <c r="D11" s="28" t="s">
        <v>93</v>
      </c>
      <c r="E11" s="28" t="s">
        <v>93</v>
      </c>
      <c r="F11" s="28" t="s">
        <v>93</v>
      </c>
      <c r="G11" s="28" t="s">
        <v>93</v>
      </c>
      <c r="H11" s="28" t="s">
        <v>93</v>
      </c>
      <c r="I11" s="28" t="s">
        <v>93</v>
      </c>
      <c r="J11" s="28" t="s">
        <v>93</v>
      </c>
      <c r="K11" s="28" t="s">
        <v>93</v>
      </c>
      <c r="L11" s="28" t="s">
        <v>93</v>
      </c>
      <c r="M11" s="28" t="s">
        <v>93</v>
      </c>
      <c r="N11" s="29" t="s">
        <v>74</v>
      </c>
      <c r="O11" s="28" t="s">
        <v>93</v>
      </c>
      <c r="P11" s="29" t="s">
        <v>74</v>
      </c>
      <c r="Q11" s="28" t="s">
        <v>93</v>
      </c>
      <c r="R11" s="28" t="s">
        <v>93</v>
      </c>
      <c r="S11" s="29" t="s">
        <v>74</v>
      </c>
      <c r="T11" s="28" t="s">
        <v>93</v>
      </c>
      <c r="U11" s="29" t="s">
        <v>74</v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4</v>
      </c>
      <c r="BC11" s="32">
        <f t="shared" si="3"/>
        <v>14</v>
      </c>
      <c r="BD11" s="32">
        <f t="shared" si="4"/>
        <v>18</v>
      </c>
      <c r="BE11" s="33">
        <f t="shared" si="5"/>
        <v>77.77777778</v>
      </c>
    </row>
    <row r="12">
      <c r="A12" s="25">
        <v>8.0</v>
      </c>
      <c r="B12" s="34" t="s">
        <v>106</v>
      </c>
      <c r="C12" s="35" t="s">
        <v>107</v>
      </c>
      <c r="D12" s="29" t="s">
        <v>74</v>
      </c>
      <c r="E12" s="28" t="s">
        <v>93</v>
      </c>
      <c r="F12" s="28" t="s">
        <v>93</v>
      </c>
      <c r="G12" s="28" t="s">
        <v>93</v>
      </c>
      <c r="H12" s="28" t="s">
        <v>93</v>
      </c>
      <c r="I12" s="28" t="s">
        <v>93</v>
      </c>
      <c r="J12" s="28" t="s">
        <v>93</v>
      </c>
      <c r="K12" s="28" t="s">
        <v>93</v>
      </c>
      <c r="L12" s="29" t="s">
        <v>74</v>
      </c>
      <c r="M12" s="28" t="s">
        <v>93</v>
      </c>
      <c r="N12" s="28" t="s">
        <v>93</v>
      </c>
      <c r="O12" s="28" t="s">
        <v>93</v>
      </c>
      <c r="P12" s="28" t="s">
        <v>93</v>
      </c>
      <c r="Q12" s="28" t="s">
        <v>93</v>
      </c>
      <c r="R12" s="28" t="s">
        <v>93</v>
      </c>
      <c r="S12" s="28" t="s">
        <v>93</v>
      </c>
      <c r="T12" s="29" t="s">
        <v>74</v>
      </c>
      <c r="U12" s="29" t="s">
        <v>74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4</v>
      </c>
      <c r="BC12" s="32">
        <f t="shared" si="3"/>
        <v>14</v>
      </c>
      <c r="BD12" s="32">
        <f t="shared" si="4"/>
        <v>18</v>
      </c>
      <c r="BE12" s="33">
        <f t="shared" si="5"/>
        <v>77.77777778</v>
      </c>
    </row>
    <row r="13">
      <c r="A13" s="25">
        <v>9.0</v>
      </c>
      <c r="B13" s="34" t="s">
        <v>108</v>
      </c>
      <c r="C13" s="35" t="s">
        <v>109</v>
      </c>
      <c r="D13" s="29" t="s">
        <v>74</v>
      </c>
      <c r="E13" s="28" t="s">
        <v>93</v>
      </c>
      <c r="F13" s="28" t="s">
        <v>93</v>
      </c>
      <c r="G13" s="29" t="s">
        <v>74</v>
      </c>
      <c r="H13" s="28" t="s">
        <v>93</v>
      </c>
      <c r="I13" s="28" t="s">
        <v>93</v>
      </c>
      <c r="J13" s="28" t="s">
        <v>93</v>
      </c>
      <c r="K13" s="28" t="s">
        <v>93</v>
      </c>
      <c r="L13" s="29" t="s">
        <v>74</v>
      </c>
      <c r="M13" s="28" t="s">
        <v>93</v>
      </c>
      <c r="N13" s="28" t="s">
        <v>93</v>
      </c>
      <c r="O13" s="28" t="s">
        <v>93</v>
      </c>
      <c r="P13" s="29" t="s">
        <v>74</v>
      </c>
      <c r="Q13" s="28" t="s">
        <v>93</v>
      </c>
      <c r="R13" s="29" t="s">
        <v>74</v>
      </c>
      <c r="S13" s="28" t="s">
        <v>93</v>
      </c>
      <c r="T13" s="28" t="s">
        <v>93</v>
      </c>
      <c r="U13" s="28" t="s">
        <v>93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5</v>
      </c>
      <c r="BC13" s="32">
        <f t="shared" si="3"/>
        <v>13</v>
      </c>
      <c r="BD13" s="32">
        <f t="shared" si="4"/>
        <v>18</v>
      </c>
      <c r="BE13" s="33">
        <f t="shared" si="5"/>
        <v>72.22222222</v>
      </c>
    </row>
    <row r="14">
      <c r="A14" s="25">
        <v>10.0</v>
      </c>
      <c r="B14" s="34" t="s">
        <v>112</v>
      </c>
      <c r="C14" s="35" t="s">
        <v>114</v>
      </c>
      <c r="D14" s="28" t="s">
        <v>93</v>
      </c>
      <c r="E14" s="28" t="s">
        <v>93</v>
      </c>
      <c r="F14" s="28" t="s">
        <v>93</v>
      </c>
      <c r="G14" s="28" t="s">
        <v>93</v>
      </c>
      <c r="H14" s="28" t="s">
        <v>93</v>
      </c>
      <c r="I14" s="28" t="s">
        <v>93</v>
      </c>
      <c r="J14" s="28" t="s">
        <v>93</v>
      </c>
      <c r="K14" s="28" t="s">
        <v>93</v>
      </c>
      <c r="L14" s="29" t="s">
        <v>74</v>
      </c>
      <c r="M14" s="28" t="s">
        <v>93</v>
      </c>
      <c r="N14" s="28" t="s">
        <v>93</v>
      </c>
      <c r="O14" s="28" t="s">
        <v>93</v>
      </c>
      <c r="P14" s="28" t="s">
        <v>93</v>
      </c>
      <c r="Q14" s="28" t="s">
        <v>93</v>
      </c>
      <c r="R14" s="29" t="s">
        <v>74</v>
      </c>
      <c r="S14" s="28" t="s">
        <v>93</v>
      </c>
      <c r="T14" s="28" t="s">
        <v>93</v>
      </c>
      <c r="U14" s="28" t="s">
        <v>93</v>
      </c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2">
        <f t="shared" si="1"/>
        <v>0</v>
      </c>
      <c r="BB14" s="32">
        <f t="shared" si="2"/>
        <v>2</v>
      </c>
      <c r="BC14" s="32">
        <f t="shared" si="3"/>
        <v>16</v>
      </c>
      <c r="BD14" s="32">
        <f t="shared" si="4"/>
        <v>18</v>
      </c>
      <c r="BE14" s="33">
        <f t="shared" si="5"/>
        <v>88.88888889</v>
      </c>
    </row>
    <row r="15">
      <c r="A15" s="25">
        <v>11.0</v>
      </c>
      <c r="B15" s="34" t="s">
        <v>110</v>
      </c>
      <c r="C15" s="35" t="s">
        <v>111</v>
      </c>
      <c r="D15" s="28" t="s">
        <v>93</v>
      </c>
      <c r="E15" s="28" t="s">
        <v>93</v>
      </c>
      <c r="F15" s="28" t="s">
        <v>93</v>
      </c>
      <c r="G15" s="28" t="s">
        <v>93</v>
      </c>
      <c r="H15" s="28" t="s">
        <v>93</v>
      </c>
      <c r="I15" s="28" t="s">
        <v>93</v>
      </c>
      <c r="J15" s="28" t="s">
        <v>93</v>
      </c>
      <c r="K15" s="28" t="s">
        <v>93</v>
      </c>
      <c r="L15" s="29" t="s">
        <v>74</v>
      </c>
      <c r="M15" s="28" t="s">
        <v>93</v>
      </c>
      <c r="N15" s="29" t="s">
        <v>74</v>
      </c>
      <c r="O15" s="29" t="s">
        <v>74</v>
      </c>
      <c r="P15" s="29" t="s">
        <v>74</v>
      </c>
      <c r="Q15" s="28" t="s">
        <v>93</v>
      </c>
      <c r="R15" s="28" t="s">
        <v>93</v>
      </c>
      <c r="S15" s="28" t="s">
        <v>93</v>
      </c>
      <c r="T15" s="28" t="s">
        <v>93</v>
      </c>
      <c r="U15" s="29" t="s">
        <v>74</v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>
        <f t="shared" si="1"/>
        <v>0</v>
      </c>
      <c r="BB15" s="32">
        <f t="shared" si="2"/>
        <v>5</v>
      </c>
      <c r="BC15" s="32">
        <f t="shared" si="3"/>
        <v>13</v>
      </c>
      <c r="BD15" s="32">
        <f t="shared" si="4"/>
        <v>18</v>
      </c>
      <c r="BE15" s="33">
        <f t="shared" si="5"/>
        <v>72.22222222</v>
      </c>
    </row>
    <row r="16">
      <c r="A16" s="25">
        <v>12.0</v>
      </c>
      <c r="B16" s="34" t="s">
        <v>115</v>
      </c>
      <c r="C16" s="35" t="s">
        <v>116</v>
      </c>
      <c r="D16" s="28" t="s">
        <v>93</v>
      </c>
      <c r="E16" s="28" t="s">
        <v>93</v>
      </c>
      <c r="F16" s="29" t="s">
        <v>74</v>
      </c>
      <c r="G16" s="29" t="s">
        <v>74</v>
      </c>
      <c r="H16" s="29" t="s">
        <v>74</v>
      </c>
      <c r="I16" s="28" t="s">
        <v>93</v>
      </c>
      <c r="J16" s="28" t="s">
        <v>93</v>
      </c>
      <c r="K16" s="28" t="s">
        <v>93</v>
      </c>
      <c r="L16" s="28" t="s">
        <v>93</v>
      </c>
      <c r="M16" s="28" t="s">
        <v>93</v>
      </c>
      <c r="N16" s="28" t="s">
        <v>93</v>
      </c>
      <c r="O16" s="28" t="s">
        <v>93</v>
      </c>
      <c r="P16" s="28" t="s">
        <v>93</v>
      </c>
      <c r="Q16" s="28" t="s">
        <v>93</v>
      </c>
      <c r="R16" s="28" t="s">
        <v>93</v>
      </c>
      <c r="S16" s="28" t="s">
        <v>93</v>
      </c>
      <c r="T16" s="29" t="s">
        <v>74</v>
      </c>
      <c r="U16" s="29" t="s">
        <v>74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2">
        <f t="shared" si="1"/>
        <v>0</v>
      </c>
      <c r="BB16" s="32">
        <f t="shared" si="2"/>
        <v>5</v>
      </c>
      <c r="BC16" s="32">
        <f t="shared" si="3"/>
        <v>13</v>
      </c>
      <c r="BD16" s="32">
        <f t="shared" si="4"/>
        <v>18</v>
      </c>
      <c r="BE16" s="33">
        <f t="shared" si="5"/>
        <v>72.22222222</v>
      </c>
    </row>
    <row r="17">
      <c r="C17" s="39" t="s">
        <v>113</v>
      </c>
      <c r="D17" s="40">
        <f t="shared" ref="D17:AZ17" si="6">COUNTIF(D5:D16,"P")+COUNTIF(D5:D16,"L")</f>
        <v>9</v>
      </c>
      <c r="E17" s="40">
        <f t="shared" si="6"/>
        <v>12</v>
      </c>
      <c r="F17" s="40">
        <f t="shared" si="6"/>
        <v>11</v>
      </c>
      <c r="G17" s="40">
        <f t="shared" si="6"/>
        <v>9</v>
      </c>
      <c r="H17" s="40">
        <f t="shared" si="6"/>
        <v>10</v>
      </c>
      <c r="I17" s="40">
        <f t="shared" si="6"/>
        <v>11</v>
      </c>
      <c r="J17" s="40">
        <f t="shared" si="6"/>
        <v>11</v>
      </c>
      <c r="K17" s="40">
        <f t="shared" si="6"/>
        <v>11</v>
      </c>
      <c r="L17" s="40">
        <f t="shared" si="6"/>
        <v>7</v>
      </c>
      <c r="M17" s="40">
        <f t="shared" si="6"/>
        <v>12</v>
      </c>
      <c r="N17" s="40">
        <f t="shared" si="6"/>
        <v>9</v>
      </c>
      <c r="O17" s="40">
        <f t="shared" si="6"/>
        <v>10</v>
      </c>
      <c r="P17" s="40">
        <f t="shared" si="6"/>
        <v>9</v>
      </c>
      <c r="Q17" s="40">
        <f t="shared" si="6"/>
        <v>11</v>
      </c>
      <c r="R17" s="40">
        <f t="shared" si="6"/>
        <v>10</v>
      </c>
      <c r="S17" s="40">
        <f t="shared" si="6"/>
        <v>9</v>
      </c>
      <c r="T17" s="40">
        <f t="shared" si="6"/>
        <v>9</v>
      </c>
      <c r="U17" s="40">
        <f t="shared" si="6"/>
        <v>6</v>
      </c>
      <c r="V17" s="40">
        <f t="shared" si="6"/>
        <v>0</v>
      </c>
      <c r="W17" s="40">
        <f t="shared" si="6"/>
        <v>0</v>
      </c>
      <c r="X17" s="40">
        <f t="shared" si="6"/>
        <v>0</v>
      </c>
      <c r="Y17" s="40">
        <f t="shared" si="6"/>
        <v>0</v>
      </c>
      <c r="Z17" s="40">
        <f t="shared" si="6"/>
        <v>0</v>
      </c>
      <c r="AA17" s="40">
        <f t="shared" si="6"/>
        <v>0</v>
      </c>
      <c r="AB17" s="40">
        <f t="shared" si="6"/>
        <v>0</v>
      </c>
      <c r="AC17" s="40">
        <f t="shared" si="6"/>
        <v>0</v>
      </c>
      <c r="AD17" s="40">
        <f t="shared" si="6"/>
        <v>0</v>
      </c>
      <c r="AE17" s="40">
        <f t="shared" si="6"/>
        <v>0</v>
      </c>
      <c r="AF17" s="40">
        <f t="shared" si="6"/>
        <v>0</v>
      </c>
      <c r="AG17" s="40">
        <f t="shared" si="6"/>
        <v>0</v>
      </c>
      <c r="AH17" s="40">
        <f t="shared" si="6"/>
        <v>0</v>
      </c>
      <c r="AI17" s="40">
        <f t="shared" si="6"/>
        <v>0</v>
      </c>
      <c r="AJ17" s="40">
        <f t="shared" si="6"/>
        <v>0</v>
      </c>
      <c r="AK17" s="40">
        <f t="shared" si="6"/>
        <v>0</v>
      </c>
      <c r="AL17" s="40">
        <f t="shared" si="6"/>
        <v>0</v>
      </c>
      <c r="AM17" s="40">
        <f t="shared" si="6"/>
        <v>0</v>
      </c>
      <c r="AN17" s="40">
        <f t="shared" si="6"/>
        <v>0</v>
      </c>
      <c r="AO17" s="40">
        <f t="shared" si="6"/>
        <v>0</v>
      </c>
      <c r="AP17" s="40">
        <f t="shared" si="6"/>
        <v>0</v>
      </c>
      <c r="AQ17" s="40">
        <f t="shared" si="6"/>
        <v>0</v>
      </c>
      <c r="AR17" s="40">
        <f t="shared" si="6"/>
        <v>0</v>
      </c>
      <c r="AS17" s="40">
        <f t="shared" si="6"/>
        <v>0</v>
      </c>
      <c r="AT17" s="40">
        <f t="shared" si="6"/>
        <v>0</v>
      </c>
      <c r="AU17" s="40">
        <f t="shared" si="6"/>
        <v>0</v>
      </c>
      <c r="AV17" s="40">
        <f t="shared" si="6"/>
        <v>0</v>
      </c>
      <c r="AW17" s="40">
        <f t="shared" si="6"/>
        <v>0</v>
      </c>
      <c r="AX17" s="40">
        <f t="shared" si="6"/>
        <v>0</v>
      </c>
      <c r="AY17" s="40">
        <f t="shared" si="6"/>
        <v>0</v>
      </c>
      <c r="AZ17" s="40">
        <f t="shared" si="6"/>
        <v>0</v>
      </c>
    </row>
    <row r="18">
      <c r="C18" s="46" t="s">
        <v>117</v>
      </c>
      <c r="D18" s="47">
        <v>12.0</v>
      </c>
      <c r="E18" s="47">
        <v>12.0</v>
      </c>
      <c r="F18" s="47">
        <v>12.0</v>
      </c>
      <c r="G18" s="47">
        <v>12.0</v>
      </c>
      <c r="H18" s="47">
        <v>12.0</v>
      </c>
      <c r="I18" s="47">
        <v>12.0</v>
      </c>
      <c r="J18" s="47">
        <v>12.0</v>
      </c>
      <c r="K18" s="47">
        <v>12.0</v>
      </c>
      <c r="L18" s="47">
        <v>12.0</v>
      </c>
      <c r="M18" s="47">
        <v>12.0</v>
      </c>
      <c r="N18" s="47">
        <v>12.0</v>
      </c>
      <c r="O18" s="47">
        <v>12.0</v>
      </c>
      <c r="P18" s="47">
        <v>12.0</v>
      </c>
      <c r="Q18" s="47">
        <v>12.0</v>
      </c>
      <c r="R18" s="47">
        <v>12.0</v>
      </c>
      <c r="S18" s="47">
        <v>12.0</v>
      </c>
      <c r="T18" s="47">
        <v>12.0</v>
      </c>
      <c r="U18" s="47">
        <v>12.0</v>
      </c>
      <c r="V18" s="47">
        <v>12.0</v>
      </c>
      <c r="W18" s="47">
        <v>12.0</v>
      </c>
      <c r="X18" s="47">
        <v>12.0</v>
      </c>
      <c r="Y18" s="47">
        <v>12.0</v>
      </c>
      <c r="Z18" s="47">
        <v>12.0</v>
      </c>
      <c r="AA18" s="47">
        <v>12.0</v>
      </c>
      <c r="AB18" s="47">
        <v>12.0</v>
      </c>
      <c r="AC18" s="47">
        <v>12.0</v>
      </c>
      <c r="AD18" s="47">
        <v>12.0</v>
      </c>
      <c r="AE18" s="47">
        <v>12.0</v>
      </c>
      <c r="AF18" s="47">
        <v>12.0</v>
      </c>
      <c r="AG18" s="47">
        <v>12.0</v>
      </c>
      <c r="AH18" s="47">
        <v>12.0</v>
      </c>
      <c r="AI18" s="47">
        <v>12.0</v>
      </c>
      <c r="AJ18" s="47">
        <v>12.0</v>
      </c>
      <c r="AK18" s="47">
        <v>12.0</v>
      </c>
      <c r="AL18" s="47">
        <v>12.0</v>
      </c>
      <c r="AM18" s="47">
        <v>12.0</v>
      </c>
      <c r="AN18" s="47">
        <v>12.0</v>
      </c>
      <c r="AO18" s="47">
        <v>12.0</v>
      </c>
      <c r="AP18" s="47">
        <v>12.0</v>
      </c>
      <c r="AQ18" s="47">
        <v>12.0</v>
      </c>
      <c r="AR18" s="47">
        <v>12.0</v>
      </c>
      <c r="AS18" s="47">
        <v>12.0</v>
      </c>
      <c r="AT18" s="47">
        <v>12.0</v>
      </c>
      <c r="AU18" s="47">
        <v>12.0</v>
      </c>
      <c r="AV18" s="47">
        <v>12.0</v>
      </c>
      <c r="AW18" s="47">
        <v>12.0</v>
      </c>
      <c r="AX18" s="47">
        <v>12.0</v>
      </c>
      <c r="AY18" s="47">
        <v>12.0</v>
      </c>
      <c r="AZ18" s="47">
        <v>12.0</v>
      </c>
    </row>
    <row r="19">
      <c r="C19" s="50" t="s">
        <v>118</v>
      </c>
      <c r="D19" s="51">
        <f t="shared" ref="D19:AZ19" si="7">SUM(D17/D18)*100</f>
        <v>75</v>
      </c>
      <c r="E19" s="51">
        <f t="shared" si="7"/>
        <v>100</v>
      </c>
      <c r="F19" s="51">
        <f t="shared" si="7"/>
        <v>91.66666667</v>
      </c>
      <c r="G19" s="51">
        <f t="shared" si="7"/>
        <v>75</v>
      </c>
      <c r="H19" s="51">
        <f t="shared" si="7"/>
        <v>83.33333333</v>
      </c>
      <c r="I19" s="51">
        <f t="shared" si="7"/>
        <v>91.66666667</v>
      </c>
      <c r="J19" s="51">
        <f t="shared" si="7"/>
        <v>91.66666667</v>
      </c>
      <c r="K19" s="51">
        <f t="shared" si="7"/>
        <v>91.66666667</v>
      </c>
      <c r="L19" s="51">
        <f t="shared" si="7"/>
        <v>58.33333333</v>
      </c>
      <c r="M19" s="51">
        <f t="shared" si="7"/>
        <v>100</v>
      </c>
      <c r="N19" s="51">
        <f t="shared" si="7"/>
        <v>75</v>
      </c>
      <c r="O19" s="51">
        <f t="shared" si="7"/>
        <v>83.33333333</v>
      </c>
      <c r="P19" s="51">
        <f t="shared" si="7"/>
        <v>75</v>
      </c>
      <c r="Q19" s="51">
        <f t="shared" si="7"/>
        <v>91.66666667</v>
      </c>
      <c r="R19" s="51">
        <f t="shared" si="7"/>
        <v>83.33333333</v>
      </c>
      <c r="S19" s="51">
        <f t="shared" si="7"/>
        <v>75</v>
      </c>
      <c r="T19" s="51">
        <f t="shared" si="7"/>
        <v>75</v>
      </c>
      <c r="U19" s="51">
        <f t="shared" si="7"/>
        <v>50</v>
      </c>
      <c r="V19" s="51">
        <f t="shared" si="7"/>
        <v>0</v>
      </c>
      <c r="W19" s="51">
        <f t="shared" si="7"/>
        <v>0</v>
      </c>
      <c r="X19" s="51">
        <f t="shared" si="7"/>
        <v>0</v>
      </c>
      <c r="Y19" s="51">
        <f t="shared" si="7"/>
        <v>0</v>
      </c>
      <c r="Z19" s="51">
        <f t="shared" si="7"/>
        <v>0</v>
      </c>
      <c r="AA19" s="51">
        <f t="shared" si="7"/>
        <v>0</v>
      </c>
      <c r="AB19" s="51">
        <f t="shared" si="7"/>
        <v>0</v>
      </c>
      <c r="AC19" s="51">
        <f t="shared" si="7"/>
        <v>0</v>
      </c>
      <c r="AD19" s="51">
        <f t="shared" si="7"/>
        <v>0</v>
      </c>
      <c r="AE19" s="51">
        <f t="shared" si="7"/>
        <v>0</v>
      </c>
      <c r="AF19" s="51">
        <f t="shared" si="7"/>
        <v>0</v>
      </c>
      <c r="AG19" s="51">
        <f t="shared" si="7"/>
        <v>0</v>
      </c>
      <c r="AH19" s="51">
        <f t="shared" si="7"/>
        <v>0</v>
      </c>
      <c r="AI19" s="51">
        <f t="shared" si="7"/>
        <v>0</v>
      </c>
      <c r="AJ19" s="51">
        <f t="shared" si="7"/>
        <v>0</v>
      </c>
      <c r="AK19" s="51">
        <f t="shared" si="7"/>
        <v>0</v>
      </c>
      <c r="AL19" s="51">
        <f t="shared" si="7"/>
        <v>0</v>
      </c>
      <c r="AM19" s="51">
        <f t="shared" si="7"/>
        <v>0</v>
      </c>
      <c r="AN19" s="51">
        <f t="shared" si="7"/>
        <v>0</v>
      </c>
      <c r="AO19" s="51">
        <f t="shared" si="7"/>
        <v>0</v>
      </c>
      <c r="AP19" s="51">
        <f t="shared" si="7"/>
        <v>0</v>
      </c>
      <c r="AQ19" s="51">
        <f t="shared" si="7"/>
        <v>0</v>
      </c>
      <c r="AR19" s="51">
        <f t="shared" si="7"/>
        <v>0</v>
      </c>
      <c r="AS19" s="51">
        <f t="shared" si="7"/>
        <v>0</v>
      </c>
      <c r="AT19" s="51">
        <f t="shared" si="7"/>
        <v>0</v>
      </c>
      <c r="AU19" s="51">
        <f t="shared" si="7"/>
        <v>0</v>
      </c>
      <c r="AV19" s="51">
        <f t="shared" si="7"/>
        <v>0</v>
      </c>
      <c r="AW19" s="51">
        <f t="shared" si="7"/>
        <v>0</v>
      </c>
      <c r="AX19" s="51">
        <f t="shared" si="7"/>
        <v>0</v>
      </c>
      <c r="AY19" s="51">
        <f t="shared" si="7"/>
        <v>0</v>
      </c>
      <c r="AZ19" s="51">
        <f t="shared" si="7"/>
        <v>0</v>
      </c>
    </row>
  </sheetData>
  <mergeCells count="5">
    <mergeCell ref="A1:BE1"/>
    <mergeCell ref="A2:A4"/>
    <mergeCell ref="B2:B4"/>
    <mergeCell ref="C2:C4"/>
    <mergeCell ref="D2:BE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7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>
      <c r="A2" s="4" t="s">
        <v>1</v>
      </c>
      <c r="B2" s="5" t="s">
        <v>2</v>
      </c>
      <c r="C2" s="6" t="s">
        <v>3</v>
      </c>
      <c r="D2" s="7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3" ht="73.5" customHeight="1">
      <c r="A3" s="9"/>
      <c r="B3" s="9"/>
      <c r="C3" s="9"/>
      <c r="D3" s="11" t="s">
        <v>9</v>
      </c>
      <c r="E3" s="11" t="s">
        <v>15</v>
      </c>
      <c r="F3" s="11" t="s">
        <v>9</v>
      </c>
      <c r="G3" s="11" t="s">
        <v>15</v>
      </c>
      <c r="H3" s="11" t="s">
        <v>9</v>
      </c>
      <c r="I3" s="11" t="s">
        <v>9</v>
      </c>
      <c r="J3" s="11" t="s">
        <v>15</v>
      </c>
      <c r="K3" s="11" t="s">
        <v>9</v>
      </c>
      <c r="L3" s="13" t="s">
        <v>16</v>
      </c>
      <c r="M3" s="13" t="s">
        <v>16</v>
      </c>
      <c r="N3" s="11" t="s">
        <v>9</v>
      </c>
      <c r="O3" s="11" t="s">
        <v>9</v>
      </c>
      <c r="P3" s="13" t="s">
        <v>16</v>
      </c>
      <c r="Q3" s="11" t="s">
        <v>9</v>
      </c>
      <c r="R3" s="11" t="s">
        <v>15</v>
      </c>
      <c r="S3" s="11" t="s">
        <v>9</v>
      </c>
      <c r="T3" s="11" t="s">
        <v>17</v>
      </c>
      <c r="U3" s="11" t="s">
        <v>9</v>
      </c>
      <c r="V3" s="11" t="s">
        <v>9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5"/>
      <c r="AY3" s="15"/>
      <c r="AZ3" s="14"/>
      <c r="BA3" s="14"/>
      <c r="BB3" s="14"/>
      <c r="BC3" s="14"/>
      <c r="BD3" s="14"/>
      <c r="BE3" s="16"/>
    </row>
    <row r="4" ht="69.75" customHeight="1">
      <c r="A4" s="17"/>
      <c r="B4" s="17"/>
      <c r="C4" s="17"/>
      <c r="D4" s="13" t="s">
        <v>48</v>
      </c>
      <c r="E4" s="13" t="s">
        <v>51</v>
      </c>
      <c r="F4" s="13" t="s">
        <v>54</v>
      </c>
      <c r="G4" s="13" t="s">
        <v>56</v>
      </c>
      <c r="H4" s="13" t="s">
        <v>58</v>
      </c>
      <c r="I4" s="13" t="s">
        <v>60</v>
      </c>
      <c r="J4" s="13" t="s">
        <v>62</v>
      </c>
      <c r="K4" s="13" t="s">
        <v>63</v>
      </c>
      <c r="L4" s="13" t="s">
        <v>64</v>
      </c>
      <c r="M4" s="13" t="s">
        <v>65</v>
      </c>
      <c r="N4" s="13" t="s">
        <v>67</v>
      </c>
      <c r="O4" s="13" t="s">
        <v>68</v>
      </c>
      <c r="P4" s="13" t="s">
        <v>71</v>
      </c>
      <c r="Q4" s="13" t="s">
        <v>73</v>
      </c>
      <c r="R4" s="13" t="s">
        <v>76</v>
      </c>
      <c r="S4" s="13" t="s">
        <v>78</v>
      </c>
      <c r="T4" s="13" t="s">
        <v>80</v>
      </c>
      <c r="U4" s="13" t="s">
        <v>82</v>
      </c>
      <c r="V4" s="13" t="s">
        <v>85</v>
      </c>
      <c r="W4" s="15"/>
      <c r="X4" s="15"/>
      <c r="Y4" s="15"/>
      <c r="Z4" s="15"/>
      <c r="AA4" s="14"/>
      <c r="AB4" s="14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4"/>
      <c r="BA4" s="20" t="s">
        <v>66</v>
      </c>
      <c r="BB4" s="21" t="s">
        <v>74</v>
      </c>
      <c r="BC4" s="22" t="s">
        <v>84</v>
      </c>
      <c r="BD4" s="23" t="s">
        <v>89</v>
      </c>
      <c r="BE4" s="24" t="s">
        <v>90</v>
      </c>
    </row>
    <row r="5">
      <c r="A5" s="25">
        <v>1.0</v>
      </c>
      <c r="B5" s="26" t="s">
        <v>91</v>
      </c>
      <c r="C5" s="27" t="s">
        <v>92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8" t="s">
        <v>93</v>
      </c>
      <c r="P5" s="28" t="s">
        <v>93</v>
      </c>
      <c r="Q5" s="28" t="s">
        <v>93</v>
      </c>
      <c r="R5" s="28" t="s">
        <v>93</v>
      </c>
      <c r="S5" s="28" t="s">
        <v>93</v>
      </c>
      <c r="T5" s="28" t="s">
        <v>93</v>
      </c>
      <c r="U5" s="28" t="s">
        <v>93</v>
      </c>
      <c r="V5" s="28" t="s">
        <v>93</v>
      </c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>
        <f t="shared" ref="BA5:BA16" si="1">COUNTIF(D5:AZ5,"L")</f>
        <v>0</v>
      </c>
      <c r="BB5" s="32">
        <f t="shared" ref="BB5:BB16" si="2">COUNTIF(D5:AZ5,"A")</f>
        <v>0</v>
      </c>
      <c r="BC5" s="32">
        <f t="shared" ref="BC5:BC16" si="3">COUNTIF(D5:AZ5,"p")</f>
        <v>18</v>
      </c>
      <c r="BD5" s="32">
        <f t="shared" ref="BD5:BD16" si="4">SUM(BA5:BC5)</f>
        <v>18</v>
      </c>
      <c r="BE5" s="33">
        <f t="shared" ref="BE5:BE16" si="5">SUM(BA5,BC5)/BD5*100</f>
        <v>100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8" t="s">
        <v>93</v>
      </c>
      <c r="J6" s="28" t="s">
        <v>93</v>
      </c>
      <c r="K6" s="28" t="s">
        <v>93</v>
      </c>
      <c r="L6" s="28" t="s">
        <v>93</v>
      </c>
      <c r="M6" s="28" t="s">
        <v>93</v>
      </c>
      <c r="N6" s="28" t="s">
        <v>93</v>
      </c>
      <c r="O6" s="28" t="s">
        <v>93</v>
      </c>
      <c r="P6" s="28" t="s">
        <v>93</v>
      </c>
      <c r="Q6" s="29" t="s">
        <v>74</v>
      </c>
      <c r="R6" s="28" t="s">
        <v>93</v>
      </c>
      <c r="S6" s="28" t="s">
        <v>93</v>
      </c>
      <c r="T6" s="28" t="s">
        <v>93</v>
      </c>
      <c r="U6" s="28" t="s">
        <v>93</v>
      </c>
      <c r="V6" s="28" t="s">
        <v>93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2">
        <f t="shared" si="1"/>
        <v>0</v>
      </c>
      <c r="BB6" s="32">
        <f t="shared" si="2"/>
        <v>1</v>
      </c>
      <c r="BC6" s="32">
        <f t="shared" si="3"/>
        <v>18</v>
      </c>
      <c r="BD6" s="32">
        <f t="shared" si="4"/>
        <v>19</v>
      </c>
      <c r="BE6" s="33">
        <f t="shared" si="5"/>
        <v>94.73684211</v>
      </c>
    </row>
    <row r="7">
      <c r="A7" s="25">
        <v>3.0</v>
      </c>
      <c r="B7" s="36" t="s">
        <v>96</v>
      </c>
      <c r="C7" s="37" t="s">
        <v>97</v>
      </c>
      <c r="D7" s="28" t="s">
        <v>93</v>
      </c>
      <c r="E7" s="28" t="s">
        <v>93</v>
      </c>
      <c r="F7" s="29" t="s">
        <v>74</v>
      </c>
      <c r="G7" s="28" t="s">
        <v>93</v>
      </c>
      <c r="H7" s="28" t="s">
        <v>93</v>
      </c>
      <c r="I7" s="28" t="s">
        <v>93</v>
      </c>
      <c r="J7" s="28" t="s">
        <v>93</v>
      </c>
      <c r="K7" s="29" t="s">
        <v>74</v>
      </c>
      <c r="L7" s="28" t="s">
        <v>93</v>
      </c>
      <c r="M7" s="28" t="s">
        <v>93</v>
      </c>
      <c r="N7" s="29" t="s">
        <v>74</v>
      </c>
      <c r="O7" s="28" t="s">
        <v>93</v>
      </c>
      <c r="P7" s="28" t="s">
        <v>93</v>
      </c>
      <c r="Q7" s="29" t="s">
        <v>74</v>
      </c>
      <c r="R7" s="28" t="s">
        <v>93</v>
      </c>
      <c r="S7" s="28" t="s">
        <v>93</v>
      </c>
      <c r="T7" s="28" t="s">
        <v>93</v>
      </c>
      <c r="U7" s="29" t="s">
        <v>74</v>
      </c>
      <c r="V7" s="29" t="s">
        <v>74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2">
        <f t="shared" si="1"/>
        <v>0</v>
      </c>
      <c r="BB7" s="32">
        <f t="shared" si="2"/>
        <v>6</v>
      </c>
      <c r="BC7" s="32">
        <f t="shared" si="3"/>
        <v>13</v>
      </c>
      <c r="BD7" s="32">
        <f t="shared" si="4"/>
        <v>19</v>
      </c>
      <c r="BE7" s="33">
        <f t="shared" si="5"/>
        <v>68.42105263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9" t="s">
        <v>74</v>
      </c>
      <c r="G8" s="28" t="s">
        <v>93</v>
      </c>
      <c r="H8" s="29" t="s">
        <v>74</v>
      </c>
      <c r="I8" s="28" t="s">
        <v>93</v>
      </c>
      <c r="J8" s="28" t="s">
        <v>93</v>
      </c>
      <c r="K8" s="28" t="s">
        <v>93</v>
      </c>
      <c r="L8" s="29" t="s">
        <v>74</v>
      </c>
      <c r="M8" s="28" t="s">
        <v>93</v>
      </c>
      <c r="N8" s="28" t="s">
        <v>93</v>
      </c>
      <c r="O8" s="28" t="s">
        <v>93</v>
      </c>
      <c r="P8" s="28" t="s">
        <v>93</v>
      </c>
      <c r="Q8" s="29" t="s">
        <v>74</v>
      </c>
      <c r="R8" s="28" t="s">
        <v>93</v>
      </c>
      <c r="S8" s="28" t="s">
        <v>93</v>
      </c>
      <c r="T8" s="28" t="s">
        <v>93</v>
      </c>
      <c r="U8" s="28" t="s">
        <v>93</v>
      </c>
      <c r="V8" s="28" t="s">
        <v>93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2">
        <f t="shared" si="1"/>
        <v>0</v>
      </c>
      <c r="BB8" s="32">
        <f t="shared" si="2"/>
        <v>4</v>
      </c>
      <c r="BC8" s="32">
        <f t="shared" si="3"/>
        <v>15</v>
      </c>
      <c r="BD8" s="32">
        <f t="shared" si="4"/>
        <v>19</v>
      </c>
      <c r="BE8" s="33">
        <f t="shared" si="5"/>
        <v>78.94736842</v>
      </c>
    </row>
    <row r="9">
      <c r="A9" s="25">
        <v>5.0</v>
      </c>
      <c r="B9" s="34" t="s">
        <v>100</v>
      </c>
      <c r="C9" s="35" t="s">
        <v>101</v>
      </c>
      <c r="D9" s="28" t="s">
        <v>93</v>
      </c>
      <c r="E9" s="28" t="s">
        <v>93</v>
      </c>
      <c r="F9" s="28" t="s">
        <v>93</v>
      </c>
      <c r="G9" s="28" t="s">
        <v>93</v>
      </c>
      <c r="H9" s="28" t="s">
        <v>93</v>
      </c>
      <c r="I9" s="28" t="s">
        <v>93</v>
      </c>
      <c r="J9" s="28" t="s">
        <v>93</v>
      </c>
      <c r="K9" s="28" t="s">
        <v>93</v>
      </c>
      <c r="L9" s="28" t="s">
        <v>93</v>
      </c>
      <c r="M9" s="28" t="s">
        <v>93</v>
      </c>
      <c r="N9" s="29" t="s">
        <v>74</v>
      </c>
      <c r="O9" s="29" t="s">
        <v>74</v>
      </c>
      <c r="P9" s="28" t="s">
        <v>93</v>
      </c>
      <c r="Q9" s="28" t="s">
        <v>93</v>
      </c>
      <c r="R9" s="28" t="s">
        <v>93</v>
      </c>
      <c r="S9" s="28" t="s">
        <v>93</v>
      </c>
      <c r="T9" s="28" t="s">
        <v>93</v>
      </c>
      <c r="U9" s="28" t="s">
        <v>93</v>
      </c>
      <c r="V9" s="29" t="s">
        <v>74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2">
        <f t="shared" si="1"/>
        <v>0</v>
      </c>
      <c r="BB9" s="32">
        <f t="shared" si="2"/>
        <v>3</v>
      </c>
      <c r="BC9" s="32">
        <f t="shared" si="3"/>
        <v>16</v>
      </c>
      <c r="BD9" s="32">
        <f t="shared" si="4"/>
        <v>19</v>
      </c>
      <c r="BE9" s="33">
        <f t="shared" si="5"/>
        <v>84.21052632</v>
      </c>
    </row>
    <row r="10">
      <c r="A10" s="25">
        <v>6.0</v>
      </c>
      <c r="B10" s="34" t="s">
        <v>102</v>
      </c>
      <c r="C10" s="35" t="s">
        <v>103</v>
      </c>
      <c r="D10" s="28" t="s">
        <v>93</v>
      </c>
      <c r="E10" s="28" t="s">
        <v>93</v>
      </c>
      <c r="F10" s="28" t="s">
        <v>93</v>
      </c>
      <c r="G10" s="28" t="s">
        <v>93</v>
      </c>
      <c r="H10" s="28" t="s">
        <v>93</v>
      </c>
      <c r="I10" s="28" t="s">
        <v>93</v>
      </c>
      <c r="J10" s="28" t="s">
        <v>93</v>
      </c>
      <c r="K10" s="28" t="s">
        <v>93</v>
      </c>
      <c r="L10" s="28" t="s">
        <v>93</v>
      </c>
      <c r="M10" s="28" t="s">
        <v>93</v>
      </c>
      <c r="N10" s="29" t="s">
        <v>74</v>
      </c>
      <c r="O10" s="29" t="s">
        <v>74</v>
      </c>
      <c r="P10" s="28" t="s">
        <v>93</v>
      </c>
      <c r="Q10" s="28" t="s">
        <v>93</v>
      </c>
      <c r="R10" s="28" t="s">
        <v>93</v>
      </c>
      <c r="S10" s="28" t="s">
        <v>93</v>
      </c>
      <c r="T10" s="28" t="s">
        <v>93</v>
      </c>
      <c r="U10" s="28" t="s">
        <v>93</v>
      </c>
      <c r="V10" s="29" t="s">
        <v>74</v>
      </c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2">
        <f t="shared" si="1"/>
        <v>0</v>
      </c>
      <c r="BB10" s="32">
        <f t="shared" si="2"/>
        <v>3</v>
      </c>
      <c r="BC10" s="32">
        <f t="shared" si="3"/>
        <v>16</v>
      </c>
      <c r="BD10" s="32">
        <f t="shared" si="4"/>
        <v>19</v>
      </c>
      <c r="BE10" s="33">
        <f t="shared" si="5"/>
        <v>84.21052632</v>
      </c>
    </row>
    <row r="11">
      <c r="A11" s="25">
        <v>7.0</v>
      </c>
      <c r="B11" s="34" t="s">
        <v>104</v>
      </c>
      <c r="C11" s="35" t="s">
        <v>105</v>
      </c>
      <c r="D11" s="29" t="s">
        <v>74</v>
      </c>
      <c r="E11" s="28" t="s">
        <v>93</v>
      </c>
      <c r="F11" s="28" t="s">
        <v>93</v>
      </c>
      <c r="G11" s="29" t="s">
        <v>74</v>
      </c>
      <c r="H11" s="28" t="s">
        <v>93</v>
      </c>
      <c r="I11" s="28" t="s">
        <v>93</v>
      </c>
      <c r="J11" s="28" t="s">
        <v>93</v>
      </c>
      <c r="K11" s="28" t="s">
        <v>93</v>
      </c>
      <c r="L11" s="29" t="s">
        <v>74</v>
      </c>
      <c r="M11" s="28" t="s">
        <v>93</v>
      </c>
      <c r="N11" s="28" t="s">
        <v>93</v>
      </c>
      <c r="O11" s="28" t="s">
        <v>93</v>
      </c>
      <c r="P11" s="29" t="s">
        <v>74</v>
      </c>
      <c r="Q11" s="28" t="s">
        <v>93</v>
      </c>
      <c r="R11" s="29" t="s">
        <v>74</v>
      </c>
      <c r="S11" s="28" t="s">
        <v>93</v>
      </c>
      <c r="T11" s="28" t="s">
        <v>93</v>
      </c>
      <c r="U11" s="28" t="s">
        <v>93</v>
      </c>
      <c r="V11" s="28" t="s">
        <v>93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2">
        <f t="shared" si="1"/>
        <v>0</v>
      </c>
      <c r="BB11" s="32">
        <f t="shared" si="2"/>
        <v>5</v>
      </c>
      <c r="BC11" s="32">
        <f t="shared" si="3"/>
        <v>14</v>
      </c>
      <c r="BD11" s="32">
        <f t="shared" si="4"/>
        <v>19</v>
      </c>
      <c r="BE11" s="33">
        <f t="shared" si="5"/>
        <v>73.68421053</v>
      </c>
    </row>
    <row r="12">
      <c r="A12" s="25">
        <v>8.0</v>
      </c>
      <c r="B12" s="34" t="s">
        <v>106</v>
      </c>
      <c r="C12" s="35" t="s">
        <v>107</v>
      </c>
      <c r="D12" s="28" t="s">
        <v>93</v>
      </c>
      <c r="E12" s="28" t="s">
        <v>93</v>
      </c>
      <c r="F12" s="28" t="s">
        <v>93</v>
      </c>
      <c r="G12" s="28" t="s">
        <v>93</v>
      </c>
      <c r="H12" s="28" t="s">
        <v>93</v>
      </c>
      <c r="I12" s="28" t="s">
        <v>93</v>
      </c>
      <c r="J12" s="28" t="s">
        <v>93</v>
      </c>
      <c r="K12" s="29" t="s">
        <v>74</v>
      </c>
      <c r="L12" s="28" t="s">
        <v>93</v>
      </c>
      <c r="M12" s="28" t="s">
        <v>93</v>
      </c>
      <c r="N12" s="29" t="s">
        <v>74</v>
      </c>
      <c r="O12" s="28" t="s">
        <v>93</v>
      </c>
      <c r="P12" s="28" t="s">
        <v>93</v>
      </c>
      <c r="Q12" s="28" t="s">
        <v>93</v>
      </c>
      <c r="R12" s="28" t="s">
        <v>93</v>
      </c>
      <c r="S12" s="28" t="s">
        <v>93</v>
      </c>
      <c r="T12" s="28" t="s">
        <v>93</v>
      </c>
      <c r="U12" s="29" t="s">
        <v>74</v>
      </c>
      <c r="V12" s="28" t="s">
        <v>93</v>
      </c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2">
        <f t="shared" si="1"/>
        <v>0</v>
      </c>
      <c r="BB12" s="32">
        <f t="shared" si="2"/>
        <v>3</v>
      </c>
      <c r="BC12" s="32">
        <f t="shared" si="3"/>
        <v>16</v>
      </c>
      <c r="BD12" s="32">
        <f t="shared" si="4"/>
        <v>19</v>
      </c>
      <c r="BE12" s="33">
        <f t="shared" si="5"/>
        <v>84.21052632</v>
      </c>
    </row>
    <row r="13">
      <c r="A13" s="25">
        <v>9.0</v>
      </c>
      <c r="B13" s="34" t="s">
        <v>108</v>
      </c>
      <c r="C13" s="35" t="s">
        <v>109</v>
      </c>
      <c r="D13" s="28" t="s">
        <v>93</v>
      </c>
      <c r="E13" s="28" t="s">
        <v>93</v>
      </c>
      <c r="F13" s="28" t="s">
        <v>93</v>
      </c>
      <c r="G13" s="28" t="s">
        <v>93</v>
      </c>
      <c r="H13" s="28" t="s">
        <v>93</v>
      </c>
      <c r="I13" s="28" t="s">
        <v>93</v>
      </c>
      <c r="J13" s="28" t="s">
        <v>93</v>
      </c>
      <c r="K13" s="29" t="s">
        <v>74</v>
      </c>
      <c r="L13" s="28" t="s">
        <v>93</v>
      </c>
      <c r="M13" s="29" t="s">
        <v>74</v>
      </c>
      <c r="N13" s="29" t="s">
        <v>74</v>
      </c>
      <c r="O13" s="28" t="s">
        <v>93</v>
      </c>
      <c r="P13" s="28" t="s">
        <v>93</v>
      </c>
      <c r="Q13" s="28" t="s">
        <v>93</v>
      </c>
      <c r="R13" s="28" t="s">
        <v>93</v>
      </c>
      <c r="S13" s="28" t="s">
        <v>93</v>
      </c>
      <c r="T13" s="28" t="s">
        <v>93</v>
      </c>
      <c r="U13" s="28" t="s">
        <v>93</v>
      </c>
      <c r="V13" s="28" t="s">
        <v>93</v>
      </c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2">
        <f t="shared" si="1"/>
        <v>0</v>
      </c>
      <c r="BB13" s="32">
        <f t="shared" si="2"/>
        <v>3</v>
      </c>
      <c r="BC13" s="32">
        <f t="shared" si="3"/>
        <v>16</v>
      </c>
      <c r="BD13" s="32">
        <f t="shared" si="4"/>
        <v>19</v>
      </c>
      <c r="BE13" s="33">
        <f t="shared" si="5"/>
        <v>84.21052632</v>
      </c>
    </row>
    <row r="14">
      <c r="A14" s="41">
        <v>10.0</v>
      </c>
      <c r="B14" s="42" t="s">
        <v>112</v>
      </c>
      <c r="C14" s="43" t="s">
        <v>114</v>
      </c>
      <c r="D14" s="44" t="s">
        <v>93</v>
      </c>
      <c r="E14" s="29" t="s">
        <v>74</v>
      </c>
      <c r="F14" s="44" t="s">
        <v>93</v>
      </c>
      <c r="G14" s="44" t="s">
        <v>93</v>
      </c>
      <c r="H14" s="29" t="s">
        <v>74</v>
      </c>
      <c r="I14" s="44" t="s">
        <v>93</v>
      </c>
      <c r="J14" s="44" t="s">
        <v>93</v>
      </c>
      <c r="K14" s="44" t="s">
        <v>93</v>
      </c>
      <c r="L14" s="44" t="s">
        <v>93</v>
      </c>
      <c r="M14" s="44" t="s">
        <v>93</v>
      </c>
      <c r="N14" s="29" t="s">
        <v>74</v>
      </c>
      <c r="O14" s="44" t="s">
        <v>93</v>
      </c>
      <c r="P14" s="44" t="s">
        <v>93</v>
      </c>
      <c r="Q14" s="29" t="s">
        <v>74</v>
      </c>
      <c r="R14" s="44" t="s">
        <v>93</v>
      </c>
      <c r="S14" s="29" t="s">
        <v>74</v>
      </c>
      <c r="T14" s="44"/>
      <c r="U14" s="44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8">
        <f t="shared" si="1"/>
        <v>0</v>
      </c>
      <c r="BB14" s="48">
        <f t="shared" si="2"/>
        <v>5</v>
      </c>
      <c r="BC14" s="48">
        <f t="shared" si="3"/>
        <v>11</v>
      </c>
      <c r="BD14" s="48">
        <f t="shared" si="4"/>
        <v>16</v>
      </c>
      <c r="BE14" s="49">
        <f t="shared" si="5"/>
        <v>68.75</v>
      </c>
    </row>
    <row r="15">
      <c r="A15" s="25">
        <v>11.0</v>
      </c>
      <c r="B15" s="34" t="s">
        <v>110</v>
      </c>
      <c r="C15" s="35" t="s">
        <v>111</v>
      </c>
      <c r="D15" s="28" t="s">
        <v>93</v>
      </c>
      <c r="E15" s="29" t="s">
        <v>74</v>
      </c>
      <c r="F15" s="28" t="s">
        <v>93</v>
      </c>
      <c r="G15" s="28" t="s">
        <v>93</v>
      </c>
      <c r="H15" s="28" t="s">
        <v>93</v>
      </c>
      <c r="I15" s="28" t="s">
        <v>93</v>
      </c>
      <c r="J15" s="28" t="s">
        <v>93</v>
      </c>
      <c r="K15" s="28" t="s">
        <v>93</v>
      </c>
      <c r="L15" s="28" t="s">
        <v>93</v>
      </c>
      <c r="M15" s="28" t="s">
        <v>93</v>
      </c>
      <c r="N15" s="28" t="s">
        <v>93</v>
      </c>
      <c r="O15" s="28" t="s">
        <v>93</v>
      </c>
      <c r="P15" s="28" t="s">
        <v>93</v>
      </c>
      <c r="Q15" s="28" t="s">
        <v>93</v>
      </c>
      <c r="R15" s="28" t="s">
        <v>93</v>
      </c>
      <c r="S15" s="28" t="s">
        <v>93</v>
      </c>
      <c r="T15" s="28" t="s">
        <v>93</v>
      </c>
      <c r="U15" s="28" t="s">
        <v>93</v>
      </c>
      <c r="V15" s="28" t="s">
        <v>93</v>
      </c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2">
        <f t="shared" si="1"/>
        <v>0</v>
      </c>
      <c r="BB15" s="32">
        <f t="shared" si="2"/>
        <v>1</v>
      </c>
      <c r="BC15" s="32">
        <f t="shared" si="3"/>
        <v>18</v>
      </c>
      <c r="BD15" s="32">
        <f t="shared" si="4"/>
        <v>19</v>
      </c>
      <c r="BE15" s="33">
        <f t="shared" si="5"/>
        <v>94.73684211</v>
      </c>
    </row>
    <row r="16">
      <c r="A16" s="41">
        <v>12.0</v>
      </c>
      <c r="B16" s="42" t="s">
        <v>115</v>
      </c>
      <c r="C16" s="43" t="s">
        <v>116</v>
      </c>
      <c r="D16" s="29" t="s">
        <v>74</v>
      </c>
      <c r="E16" s="44" t="s">
        <v>93</v>
      </c>
      <c r="F16" s="44" t="s">
        <v>93</v>
      </c>
      <c r="G16" s="44" t="s">
        <v>93</v>
      </c>
      <c r="H16" s="44" t="s">
        <v>93</v>
      </c>
      <c r="I16" s="44" t="s">
        <v>93</v>
      </c>
      <c r="J16" s="44" t="s">
        <v>93</v>
      </c>
      <c r="K16" s="29" t="s">
        <v>74</v>
      </c>
      <c r="L16" s="29" t="s">
        <v>74</v>
      </c>
      <c r="M16" s="29" t="s">
        <v>74</v>
      </c>
      <c r="N16" s="29" t="s">
        <v>74</v>
      </c>
      <c r="O16" s="29" t="s">
        <v>74</v>
      </c>
      <c r="P16" s="29" t="s">
        <v>74</v>
      </c>
      <c r="Q16" s="29" t="s">
        <v>74</v>
      </c>
      <c r="R16" s="44"/>
      <c r="S16" s="44"/>
      <c r="T16" s="29"/>
      <c r="U16" s="29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8">
        <f t="shared" si="1"/>
        <v>0</v>
      </c>
      <c r="BB16" s="48">
        <f t="shared" si="2"/>
        <v>8</v>
      </c>
      <c r="BC16" s="48">
        <f t="shared" si="3"/>
        <v>6</v>
      </c>
      <c r="BD16" s="48">
        <f t="shared" si="4"/>
        <v>14</v>
      </c>
      <c r="BE16" s="49">
        <f t="shared" si="5"/>
        <v>42.85714286</v>
      </c>
    </row>
    <row r="17">
      <c r="C17" s="39" t="s">
        <v>113</v>
      </c>
      <c r="D17" s="40">
        <f t="shared" ref="D17:AZ17" si="6">COUNTIF(D5:D16,"P")+COUNTIF(D5:D16,"L")</f>
        <v>9</v>
      </c>
      <c r="E17" s="40">
        <f t="shared" si="6"/>
        <v>10</v>
      </c>
      <c r="F17" s="40">
        <f t="shared" si="6"/>
        <v>10</v>
      </c>
      <c r="G17" s="40">
        <f t="shared" si="6"/>
        <v>11</v>
      </c>
      <c r="H17" s="40">
        <f t="shared" si="6"/>
        <v>10</v>
      </c>
      <c r="I17" s="40">
        <f t="shared" si="6"/>
        <v>12</v>
      </c>
      <c r="J17" s="40">
        <f t="shared" si="6"/>
        <v>12</v>
      </c>
      <c r="K17" s="40">
        <f t="shared" si="6"/>
        <v>8</v>
      </c>
      <c r="L17" s="40">
        <f t="shared" si="6"/>
        <v>9</v>
      </c>
      <c r="M17" s="40">
        <f t="shared" si="6"/>
        <v>10</v>
      </c>
      <c r="N17" s="40">
        <f t="shared" si="6"/>
        <v>5</v>
      </c>
      <c r="O17" s="40">
        <f t="shared" si="6"/>
        <v>9</v>
      </c>
      <c r="P17" s="40">
        <f t="shared" si="6"/>
        <v>10</v>
      </c>
      <c r="Q17" s="40">
        <f t="shared" si="6"/>
        <v>7</v>
      </c>
      <c r="R17" s="40">
        <f t="shared" si="6"/>
        <v>10</v>
      </c>
      <c r="S17" s="40">
        <f t="shared" si="6"/>
        <v>10</v>
      </c>
      <c r="T17" s="40">
        <f t="shared" si="6"/>
        <v>10</v>
      </c>
      <c r="U17" s="40">
        <f t="shared" si="6"/>
        <v>8</v>
      </c>
      <c r="V17" s="40">
        <f t="shared" si="6"/>
        <v>7</v>
      </c>
      <c r="W17" s="40">
        <f t="shared" si="6"/>
        <v>0</v>
      </c>
      <c r="X17" s="40">
        <f t="shared" si="6"/>
        <v>0</v>
      </c>
      <c r="Y17" s="40">
        <f t="shared" si="6"/>
        <v>0</v>
      </c>
      <c r="Z17" s="40">
        <f t="shared" si="6"/>
        <v>0</v>
      </c>
      <c r="AA17" s="40">
        <f t="shared" si="6"/>
        <v>0</v>
      </c>
      <c r="AB17" s="40">
        <f t="shared" si="6"/>
        <v>0</v>
      </c>
      <c r="AC17" s="40">
        <f t="shared" si="6"/>
        <v>0</v>
      </c>
      <c r="AD17" s="40">
        <f t="shared" si="6"/>
        <v>0</v>
      </c>
      <c r="AE17" s="40">
        <f t="shared" si="6"/>
        <v>0</v>
      </c>
      <c r="AF17" s="40">
        <f t="shared" si="6"/>
        <v>0</v>
      </c>
      <c r="AG17" s="40">
        <f t="shared" si="6"/>
        <v>0</v>
      </c>
      <c r="AH17" s="40">
        <f t="shared" si="6"/>
        <v>0</v>
      </c>
      <c r="AI17" s="40">
        <f t="shared" si="6"/>
        <v>0</v>
      </c>
      <c r="AJ17" s="40">
        <f t="shared" si="6"/>
        <v>0</v>
      </c>
      <c r="AK17" s="40">
        <f t="shared" si="6"/>
        <v>0</v>
      </c>
      <c r="AL17" s="40">
        <f t="shared" si="6"/>
        <v>0</v>
      </c>
      <c r="AM17" s="40">
        <f t="shared" si="6"/>
        <v>0</v>
      </c>
      <c r="AN17" s="40">
        <f t="shared" si="6"/>
        <v>0</v>
      </c>
      <c r="AO17" s="40">
        <f t="shared" si="6"/>
        <v>0</v>
      </c>
      <c r="AP17" s="40">
        <f t="shared" si="6"/>
        <v>0</v>
      </c>
      <c r="AQ17" s="40">
        <f t="shared" si="6"/>
        <v>0</v>
      </c>
      <c r="AR17" s="40">
        <f t="shared" si="6"/>
        <v>0</v>
      </c>
      <c r="AS17" s="40">
        <f t="shared" si="6"/>
        <v>0</v>
      </c>
      <c r="AT17" s="40">
        <f t="shared" si="6"/>
        <v>0</v>
      </c>
      <c r="AU17" s="40">
        <f t="shared" si="6"/>
        <v>0</v>
      </c>
      <c r="AV17" s="40">
        <f t="shared" si="6"/>
        <v>0</v>
      </c>
      <c r="AW17" s="40">
        <f t="shared" si="6"/>
        <v>0</v>
      </c>
      <c r="AX17" s="40">
        <f t="shared" si="6"/>
        <v>0</v>
      </c>
      <c r="AY17" s="40">
        <f t="shared" si="6"/>
        <v>0</v>
      </c>
      <c r="AZ17" s="40">
        <f t="shared" si="6"/>
        <v>0</v>
      </c>
    </row>
    <row r="18">
      <c r="C18" s="46" t="s">
        <v>117</v>
      </c>
      <c r="D18" s="47">
        <v>12.0</v>
      </c>
      <c r="E18" s="47">
        <v>12.0</v>
      </c>
      <c r="F18" s="47">
        <v>12.0</v>
      </c>
      <c r="G18" s="47">
        <v>12.0</v>
      </c>
      <c r="H18" s="47">
        <v>12.0</v>
      </c>
      <c r="I18" s="47">
        <v>12.0</v>
      </c>
      <c r="J18" s="47">
        <v>12.0</v>
      </c>
      <c r="K18" s="47">
        <v>12.0</v>
      </c>
      <c r="L18" s="47">
        <v>12.0</v>
      </c>
      <c r="M18" s="47">
        <v>12.0</v>
      </c>
      <c r="N18" s="47">
        <v>12.0</v>
      </c>
      <c r="O18" s="47">
        <v>12.0</v>
      </c>
      <c r="P18" s="47">
        <v>12.0</v>
      </c>
      <c r="Q18" s="47">
        <v>12.0</v>
      </c>
      <c r="R18" s="47">
        <v>12.0</v>
      </c>
      <c r="S18" s="47">
        <v>12.0</v>
      </c>
      <c r="T18" s="47">
        <v>12.0</v>
      </c>
      <c r="U18" s="47">
        <v>12.0</v>
      </c>
      <c r="V18" s="47">
        <v>12.0</v>
      </c>
      <c r="W18" s="47">
        <v>12.0</v>
      </c>
      <c r="X18" s="47">
        <v>12.0</v>
      </c>
      <c r="Y18" s="47">
        <v>12.0</v>
      </c>
      <c r="Z18" s="47">
        <v>12.0</v>
      </c>
      <c r="AA18" s="47">
        <v>12.0</v>
      </c>
      <c r="AB18" s="47">
        <v>12.0</v>
      </c>
      <c r="AC18" s="47">
        <v>12.0</v>
      </c>
      <c r="AD18" s="47">
        <v>12.0</v>
      </c>
      <c r="AE18" s="47">
        <v>12.0</v>
      </c>
      <c r="AF18" s="47">
        <v>12.0</v>
      </c>
      <c r="AG18" s="47">
        <v>12.0</v>
      </c>
      <c r="AH18" s="47">
        <v>12.0</v>
      </c>
      <c r="AI18" s="47">
        <v>12.0</v>
      </c>
      <c r="AJ18" s="47">
        <v>12.0</v>
      </c>
      <c r="AK18" s="47">
        <v>12.0</v>
      </c>
      <c r="AL18" s="47">
        <v>12.0</v>
      </c>
      <c r="AM18" s="47">
        <v>12.0</v>
      </c>
      <c r="AN18" s="47">
        <v>12.0</v>
      </c>
      <c r="AO18" s="47">
        <v>12.0</v>
      </c>
      <c r="AP18" s="47">
        <v>12.0</v>
      </c>
      <c r="AQ18" s="47">
        <v>12.0</v>
      </c>
      <c r="AR18" s="47">
        <v>12.0</v>
      </c>
      <c r="AS18" s="47">
        <v>12.0</v>
      </c>
      <c r="AT18" s="47">
        <v>12.0</v>
      </c>
      <c r="AU18" s="47">
        <v>12.0</v>
      </c>
      <c r="AV18" s="47">
        <v>12.0</v>
      </c>
      <c r="AW18" s="47">
        <v>12.0</v>
      </c>
      <c r="AX18" s="47">
        <v>12.0</v>
      </c>
      <c r="AY18" s="47">
        <v>12.0</v>
      </c>
      <c r="AZ18" s="47">
        <v>12.0</v>
      </c>
    </row>
    <row r="19">
      <c r="C19" s="50" t="s">
        <v>118</v>
      </c>
      <c r="D19" s="51">
        <f t="shared" ref="D19:AZ19" si="7">SUM(D17/D18)*100</f>
        <v>75</v>
      </c>
      <c r="E19" s="51">
        <f t="shared" si="7"/>
        <v>83.33333333</v>
      </c>
      <c r="F19" s="51">
        <f t="shared" si="7"/>
        <v>83.33333333</v>
      </c>
      <c r="G19" s="51">
        <f t="shared" si="7"/>
        <v>91.66666667</v>
      </c>
      <c r="H19" s="51">
        <f t="shared" si="7"/>
        <v>83.33333333</v>
      </c>
      <c r="I19" s="51">
        <f t="shared" si="7"/>
        <v>100</v>
      </c>
      <c r="J19" s="51">
        <f t="shared" si="7"/>
        <v>100</v>
      </c>
      <c r="K19" s="51">
        <f t="shared" si="7"/>
        <v>66.66666667</v>
      </c>
      <c r="L19" s="51">
        <f t="shared" si="7"/>
        <v>75</v>
      </c>
      <c r="M19" s="51">
        <f t="shared" si="7"/>
        <v>83.33333333</v>
      </c>
      <c r="N19" s="51">
        <f t="shared" si="7"/>
        <v>41.66666667</v>
      </c>
      <c r="O19" s="51">
        <f t="shared" si="7"/>
        <v>75</v>
      </c>
      <c r="P19" s="51">
        <f t="shared" si="7"/>
        <v>83.33333333</v>
      </c>
      <c r="Q19" s="51">
        <f t="shared" si="7"/>
        <v>58.33333333</v>
      </c>
      <c r="R19" s="51">
        <f t="shared" si="7"/>
        <v>83.33333333</v>
      </c>
      <c r="S19" s="51">
        <f t="shared" si="7"/>
        <v>83.33333333</v>
      </c>
      <c r="T19" s="51">
        <f t="shared" si="7"/>
        <v>83.33333333</v>
      </c>
      <c r="U19" s="51">
        <f t="shared" si="7"/>
        <v>66.66666667</v>
      </c>
      <c r="V19" s="51">
        <f t="shared" si="7"/>
        <v>58.33333333</v>
      </c>
      <c r="W19" s="51">
        <f t="shared" si="7"/>
        <v>0</v>
      </c>
      <c r="X19" s="51">
        <f t="shared" si="7"/>
        <v>0</v>
      </c>
      <c r="Y19" s="51">
        <f t="shared" si="7"/>
        <v>0</v>
      </c>
      <c r="Z19" s="51">
        <f t="shared" si="7"/>
        <v>0</v>
      </c>
      <c r="AA19" s="51">
        <f t="shared" si="7"/>
        <v>0</v>
      </c>
      <c r="AB19" s="51">
        <f t="shared" si="7"/>
        <v>0</v>
      </c>
      <c r="AC19" s="51">
        <f t="shared" si="7"/>
        <v>0</v>
      </c>
      <c r="AD19" s="51">
        <f t="shared" si="7"/>
        <v>0</v>
      </c>
      <c r="AE19" s="51">
        <f t="shared" si="7"/>
        <v>0</v>
      </c>
      <c r="AF19" s="51">
        <f t="shared" si="7"/>
        <v>0</v>
      </c>
      <c r="AG19" s="51">
        <f t="shared" si="7"/>
        <v>0</v>
      </c>
      <c r="AH19" s="51">
        <f t="shared" si="7"/>
        <v>0</v>
      </c>
      <c r="AI19" s="51">
        <f t="shared" si="7"/>
        <v>0</v>
      </c>
      <c r="AJ19" s="51">
        <f t="shared" si="7"/>
        <v>0</v>
      </c>
      <c r="AK19" s="51">
        <f t="shared" si="7"/>
        <v>0</v>
      </c>
      <c r="AL19" s="51">
        <f t="shared" si="7"/>
        <v>0</v>
      </c>
      <c r="AM19" s="51">
        <f t="shared" si="7"/>
        <v>0</v>
      </c>
      <c r="AN19" s="51">
        <f t="shared" si="7"/>
        <v>0</v>
      </c>
      <c r="AO19" s="51">
        <f t="shared" si="7"/>
        <v>0</v>
      </c>
      <c r="AP19" s="51">
        <f t="shared" si="7"/>
        <v>0</v>
      </c>
      <c r="AQ19" s="51">
        <f t="shared" si="7"/>
        <v>0</v>
      </c>
      <c r="AR19" s="51">
        <f t="shared" si="7"/>
        <v>0</v>
      </c>
      <c r="AS19" s="51">
        <f t="shared" si="7"/>
        <v>0</v>
      </c>
      <c r="AT19" s="51">
        <f t="shared" si="7"/>
        <v>0</v>
      </c>
      <c r="AU19" s="51">
        <f t="shared" si="7"/>
        <v>0</v>
      </c>
      <c r="AV19" s="51">
        <f t="shared" si="7"/>
        <v>0</v>
      </c>
      <c r="AW19" s="51">
        <f t="shared" si="7"/>
        <v>0</v>
      </c>
      <c r="AX19" s="51">
        <f t="shared" si="7"/>
        <v>0</v>
      </c>
      <c r="AY19" s="51">
        <f t="shared" si="7"/>
        <v>0</v>
      </c>
      <c r="AZ19" s="51">
        <f t="shared" si="7"/>
        <v>0</v>
      </c>
    </row>
  </sheetData>
  <mergeCells count="5">
    <mergeCell ref="A1:BE1"/>
    <mergeCell ref="A2:A4"/>
    <mergeCell ref="B2:B4"/>
    <mergeCell ref="C2:C4"/>
    <mergeCell ref="D2:BE2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56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</row>
    <row r="3" ht="73.5" customHeight="1">
      <c r="A3" s="9"/>
      <c r="B3" s="9"/>
      <c r="C3" s="9"/>
      <c r="D3" s="11" t="s">
        <v>9</v>
      </c>
      <c r="E3" s="11" t="s">
        <v>9</v>
      </c>
      <c r="F3" s="11" t="s">
        <v>9</v>
      </c>
      <c r="G3" s="11" t="s">
        <v>9</v>
      </c>
      <c r="H3" s="11" t="s">
        <v>9</v>
      </c>
      <c r="I3" s="11" t="s">
        <v>9</v>
      </c>
      <c r="J3" s="11" t="s">
        <v>9</v>
      </c>
      <c r="K3" s="11" t="s">
        <v>9</v>
      </c>
      <c r="L3" s="11" t="s">
        <v>9</v>
      </c>
      <c r="M3" s="11" t="s">
        <v>9</v>
      </c>
      <c r="N3" s="11" t="s">
        <v>9</v>
      </c>
      <c r="O3" s="11" t="s">
        <v>9</v>
      </c>
      <c r="P3" s="11" t="s">
        <v>9</v>
      </c>
      <c r="Q3" s="11" t="s">
        <v>9</v>
      </c>
      <c r="R3" s="11" t="s">
        <v>9</v>
      </c>
      <c r="S3" s="11"/>
      <c r="T3" s="11"/>
      <c r="U3" s="11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5"/>
      <c r="AX3" s="15"/>
      <c r="AY3" s="14"/>
      <c r="AZ3" s="14"/>
      <c r="BA3" s="14"/>
      <c r="BB3" s="14"/>
      <c r="BC3" s="14"/>
      <c r="BD3" s="16"/>
    </row>
    <row r="4" ht="69.75" customHeight="1">
      <c r="A4" s="17"/>
      <c r="B4" s="17"/>
      <c r="C4" s="17"/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3" t="s">
        <v>23</v>
      </c>
      <c r="J4" s="13" t="s">
        <v>24</v>
      </c>
      <c r="K4" s="13" t="s">
        <v>26</v>
      </c>
      <c r="L4" s="13" t="s">
        <v>28</v>
      </c>
      <c r="M4" s="13" t="s">
        <v>30</v>
      </c>
      <c r="N4" s="13" t="s">
        <v>32</v>
      </c>
      <c r="O4" s="13" t="s">
        <v>34</v>
      </c>
      <c r="P4" s="13" t="s">
        <v>36</v>
      </c>
      <c r="Q4" s="13" t="s">
        <v>38</v>
      </c>
      <c r="R4" s="13" t="s">
        <v>40</v>
      </c>
      <c r="S4" s="13"/>
      <c r="T4" s="13"/>
      <c r="U4" s="13"/>
      <c r="V4" s="15"/>
      <c r="W4" s="15"/>
      <c r="X4" s="15"/>
      <c r="Y4" s="15"/>
      <c r="Z4" s="14"/>
      <c r="AA4" s="14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4"/>
      <c r="AZ4" s="20" t="s">
        <v>66</v>
      </c>
      <c r="BA4" s="21" t="s">
        <v>74</v>
      </c>
      <c r="BB4" s="22" t="s">
        <v>84</v>
      </c>
      <c r="BC4" s="23" t="s">
        <v>89</v>
      </c>
      <c r="BD4" s="24" t="s">
        <v>90</v>
      </c>
    </row>
    <row r="5">
      <c r="A5" s="25">
        <v>1.0</v>
      </c>
      <c r="B5" s="26" t="s">
        <v>91</v>
      </c>
      <c r="C5" s="27" t="s">
        <v>92</v>
      </c>
      <c r="D5" s="28" t="s">
        <v>93</v>
      </c>
      <c r="E5" s="28" t="s">
        <v>93</v>
      </c>
      <c r="F5" s="28" t="s">
        <v>93</v>
      </c>
      <c r="G5" s="28" t="s">
        <v>93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8" t="s">
        <v>93</v>
      </c>
      <c r="P5" s="28" t="s">
        <v>93</v>
      </c>
      <c r="Q5" s="29" t="s">
        <v>74</v>
      </c>
      <c r="R5" s="28" t="s">
        <v>93</v>
      </c>
      <c r="S5" s="30"/>
      <c r="T5" s="30"/>
      <c r="U5" s="30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2">
        <f t="shared" ref="AZ5:AZ14" si="1">COUNTIF(D5:AY5,"L")</f>
        <v>0</v>
      </c>
      <c r="BA5" s="32">
        <f t="shared" ref="BA5:BA14" si="2">COUNTIF(D5:AY5,"A")</f>
        <v>1</v>
      </c>
      <c r="BB5" s="32">
        <f t="shared" ref="BB5:BB14" si="3">COUNTIF(D5:AY5,"p")</f>
        <v>14</v>
      </c>
      <c r="BC5" s="32">
        <f t="shared" ref="BC5:BC14" si="4">SUM(AZ5:BB5)</f>
        <v>15</v>
      </c>
      <c r="BD5" s="33">
        <f t="shared" ref="BD5:BD14" si="5">SUM(AZ5,BB5)/BC5*100</f>
        <v>93.33333333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8" t="s">
        <v>93</v>
      </c>
      <c r="G6" s="28" t="s">
        <v>93</v>
      </c>
      <c r="H6" s="28" t="s">
        <v>93</v>
      </c>
      <c r="I6" s="29" t="s">
        <v>74</v>
      </c>
      <c r="J6" s="29" t="s">
        <v>74</v>
      </c>
      <c r="K6" s="29" t="s">
        <v>74</v>
      </c>
      <c r="L6" s="28" t="s">
        <v>93</v>
      </c>
      <c r="M6" s="28" t="s">
        <v>93</v>
      </c>
      <c r="N6" s="29" t="s">
        <v>74</v>
      </c>
      <c r="O6" s="28" t="s">
        <v>93</v>
      </c>
      <c r="P6" s="28" t="s">
        <v>93</v>
      </c>
      <c r="Q6" s="28" t="s">
        <v>93</v>
      </c>
      <c r="R6" s="28" t="s">
        <v>93</v>
      </c>
      <c r="S6" s="30"/>
      <c r="T6" s="30"/>
      <c r="U6" s="30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2">
        <f t="shared" si="1"/>
        <v>0</v>
      </c>
      <c r="BA6" s="32">
        <f t="shared" si="2"/>
        <v>4</v>
      </c>
      <c r="BB6" s="32">
        <f t="shared" si="3"/>
        <v>11</v>
      </c>
      <c r="BC6" s="32">
        <f t="shared" si="4"/>
        <v>15</v>
      </c>
      <c r="BD6" s="33">
        <f t="shared" si="5"/>
        <v>73.33333333</v>
      </c>
    </row>
    <row r="7">
      <c r="A7" s="25">
        <v>3.0</v>
      </c>
      <c r="B7" s="36" t="s">
        <v>96</v>
      </c>
      <c r="C7" s="37" t="s">
        <v>97</v>
      </c>
      <c r="D7" s="28" t="s">
        <v>93</v>
      </c>
      <c r="E7" s="28" t="s">
        <v>93</v>
      </c>
      <c r="F7" s="28" t="s">
        <v>93</v>
      </c>
      <c r="G7" s="28" t="s">
        <v>93</v>
      </c>
      <c r="H7" s="28" t="s">
        <v>93</v>
      </c>
      <c r="I7" s="28" t="s">
        <v>93</v>
      </c>
      <c r="J7" s="28" t="s">
        <v>93</v>
      </c>
      <c r="K7" s="28" t="s">
        <v>93</v>
      </c>
      <c r="L7" s="28" t="s">
        <v>93</v>
      </c>
      <c r="M7" s="28" t="s">
        <v>93</v>
      </c>
      <c r="N7" s="28" t="s">
        <v>93</v>
      </c>
      <c r="O7" s="29" t="s">
        <v>74</v>
      </c>
      <c r="P7" s="29" t="s">
        <v>74</v>
      </c>
      <c r="Q7" s="29" t="s">
        <v>74</v>
      </c>
      <c r="R7" s="29" t="s">
        <v>74</v>
      </c>
      <c r="S7" s="30"/>
      <c r="T7" s="38"/>
      <c r="U7" s="38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2">
        <f t="shared" si="1"/>
        <v>0</v>
      </c>
      <c r="BA7" s="32">
        <f t="shared" si="2"/>
        <v>4</v>
      </c>
      <c r="BB7" s="32">
        <f t="shared" si="3"/>
        <v>11</v>
      </c>
      <c r="BC7" s="32">
        <f t="shared" si="4"/>
        <v>15</v>
      </c>
      <c r="BD7" s="33">
        <f t="shared" si="5"/>
        <v>73.33333333</v>
      </c>
    </row>
    <row r="8">
      <c r="A8" s="25">
        <v>4.0</v>
      </c>
      <c r="B8" s="34" t="s">
        <v>98</v>
      </c>
      <c r="C8" s="35" t="s">
        <v>99</v>
      </c>
      <c r="D8" s="28" t="s">
        <v>93</v>
      </c>
      <c r="E8" s="28" t="s">
        <v>93</v>
      </c>
      <c r="F8" s="28" t="s">
        <v>93</v>
      </c>
      <c r="G8" s="28" t="s">
        <v>93</v>
      </c>
      <c r="H8" s="28" t="s">
        <v>93</v>
      </c>
      <c r="I8" s="28" t="s">
        <v>93</v>
      </c>
      <c r="J8" s="28" t="s">
        <v>93</v>
      </c>
      <c r="K8" s="28" t="s">
        <v>93</v>
      </c>
      <c r="L8" s="29" t="s">
        <v>74</v>
      </c>
      <c r="M8" s="29" t="s">
        <v>74</v>
      </c>
      <c r="N8" s="29" t="s">
        <v>74</v>
      </c>
      <c r="O8" s="29" t="s">
        <v>74</v>
      </c>
      <c r="P8" s="28" t="s">
        <v>93</v>
      </c>
      <c r="Q8" s="29" t="s">
        <v>74</v>
      </c>
      <c r="R8" s="29" t="s">
        <v>74</v>
      </c>
      <c r="S8" s="30"/>
      <c r="T8" s="30"/>
      <c r="U8" s="30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2">
        <f t="shared" si="1"/>
        <v>0</v>
      </c>
      <c r="BA8" s="32">
        <f t="shared" si="2"/>
        <v>6</v>
      </c>
      <c r="BB8" s="32">
        <f t="shared" si="3"/>
        <v>9</v>
      </c>
      <c r="BC8" s="32">
        <f t="shared" si="4"/>
        <v>15</v>
      </c>
      <c r="BD8" s="33">
        <f t="shared" si="5"/>
        <v>60</v>
      </c>
    </row>
    <row r="9">
      <c r="A9" s="25">
        <v>5.0</v>
      </c>
      <c r="B9" s="34" t="s">
        <v>100</v>
      </c>
      <c r="C9" s="35" t="s">
        <v>101</v>
      </c>
      <c r="D9" s="29" t="s">
        <v>74</v>
      </c>
      <c r="E9" s="28" t="s">
        <v>93</v>
      </c>
      <c r="F9" s="28" t="s">
        <v>93</v>
      </c>
      <c r="G9" s="28" t="s">
        <v>93</v>
      </c>
      <c r="H9" s="28" t="s">
        <v>93</v>
      </c>
      <c r="I9" s="29" t="s">
        <v>74</v>
      </c>
      <c r="J9" s="28" t="s">
        <v>93</v>
      </c>
      <c r="K9" s="28" t="s">
        <v>93</v>
      </c>
      <c r="L9" s="28" t="s">
        <v>93</v>
      </c>
      <c r="M9" s="29" t="s">
        <v>74</v>
      </c>
      <c r="N9" s="28" t="s">
        <v>93</v>
      </c>
      <c r="O9" s="28" t="s">
        <v>93</v>
      </c>
      <c r="P9" s="28" t="s">
        <v>93</v>
      </c>
      <c r="Q9" s="28" t="s">
        <v>93</v>
      </c>
      <c r="R9" s="28" t="s">
        <v>93</v>
      </c>
      <c r="S9" s="30"/>
      <c r="T9" s="30"/>
      <c r="U9" s="38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2">
        <f t="shared" si="1"/>
        <v>0</v>
      </c>
      <c r="BA9" s="32">
        <f t="shared" si="2"/>
        <v>3</v>
      </c>
      <c r="BB9" s="32">
        <f t="shared" si="3"/>
        <v>12</v>
      </c>
      <c r="BC9" s="32">
        <f t="shared" si="4"/>
        <v>15</v>
      </c>
      <c r="BD9" s="33">
        <f t="shared" si="5"/>
        <v>80</v>
      </c>
    </row>
    <row r="10">
      <c r="A10" s="25">
        <v>6.0</v>
      </c>
      <c r="B10" s="34" t="s">
        <v>102</v>
      </c>
      <c r="C10" s="35" t="s">
        <v>103</v>
      </c>
      <c r="D10" s="29" t="s">
        <v>74</v>
      </c>
      <c r="E10" s="28" t="s">
        <v>93</v>
      </c>
      <c r="F10" s="28" t="s">
        <v>93</v>
      </c>
      <c r="G10" s="28" t="s">
        <v>93</v>
      </c>
      <c r="H10" s="28" t="s">
        <v>93</v>
      </c>
      <c r="I10" s="29" t="s">
        <v>74</v>
      </c>
      <c r="J10" s="28" t="s">
        <v>93</v>
      </c>
      <c r="K10" s="28" t="s">
        <v>93</v>
      </c>
      <c r="L10" s="29" t="s">
        <v>74</v>
      </c>
      <c r="M10" s="28" t="s">
        <v>93</v>
      </c>
      <c r="N10" s="28" t="s">
        <v>93</v>
      </c>
      <c r="O10" s="28" t="s">
        <v>93</v>
      </c>
      <c r="P10" s="28" t="s">
        <v>93</v>
      </c>
      <c r="Q10" s="28" t="s">
        <v>93</v>
      </c>
      <c r="R10" s="28" t="s">
        <v>93</v>
      </c>
      <c r="S10" s="30"/>
      <c r="T10" s="30"/>
      <c r="U10" s="38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2">
        <f t="shared" si="1"/>
        <v>0</v>
      </c>
      <c r="BA10" s="32">
        <f t="shared" si="2"/>
        <v>3</v>
      </c>
      <c r="BB10" s="32">
        <f t="shared" si="3"/>
        <v>12</v>
      </c>
      <c r="BC10" s="32">
        <f t="shared" si="4"/>
        <v>15</v>
      </c>
      <c r="BD10" s="33">
        <f t="shared" si="5"/>
        <v>80</v>
      </c>
    </row>
    <row r="11">
      <c r="A11" s="25">
        <v>7.0</v>
      </c>
      <c r="B11" s="34" t="s">
        <v>104</v>
      </c>
      <c r="C11" s="35" t="s">
        <v>105</v>
      </c>
      <c r="D11" s="28" t="s">
        <v>93</v>
      </c>
      <c r="E11" s="29" t="s">
        <v>74</v>
      </c>
      <c r="F11" s="28" t="s">
        <v>93</v>
      </c>
      <c r="G11" s="29" t="s">
        <v>74</v>
      </c>
      <c r="H11" s="28" t="s">
        <v>93</v>
      </c>
      <c r="I11" s="28" t="s">
        <v>93</v>
      </c>
      <c r="J11" s="29" t="s">
        <v>74</v>
      </c>
      <c r="K11" s="28" t="s">
        <v>93</v>
      </c>
      <c r="L11" s="29" t="s">
        <v>74</v>
      </c>
      <c r="M11" s="28" t="s">
        <v>93</v>
      </c>
      <c r="N11" s="28" t="s">
        <v>93</v>
      </c>
      <c r="O11" s="29" t="s">
        <v>74</v>
      </c>
      <c r="P11" s="29" t="s">
        <v>74</v>
      </c>
      <c r="Q11" s="29" t="s">
        <v>74</v>
      </c>
      <c r="R11" s="29" t="s">
        <v>74</v>
      </c>
      <c r="S11" s="30"/>
      <c r="T11" s="30"/>
      <c r="U11" s="30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2">
        <f t="shared" si="1"/>
        <v>0</v>
      </c>
      <c r="BA11" s="32">
        <f t="shared" si="2"/>
        <v>8</v>
      </c>
      <c r="BB11" s="32">
        <f t="shared" si="3"/>
        <v>7</v>
      </c>
      <c r="BC11" s="32">
        <f t="shared" si="4"/>
        <v>15</v>
      </c>
      <c r="BD11" s="33">
        <f t="shared" si="5"/>
        <v>46.66666667</v>
      </c>
    </row>
    <row r="12">
      <c r="A12" s="25">
        <v>8.0</v>
      </c>
      <c r="B12" s="34" t="s">
        <v>106</v>
      </c>
      <c r="C12" s="35" t="s">
        <v>107</v>
      </c>
      <c r="D12" s="29" t="s">
        <v>74</v>
      </c>
      <c r="E12" s="28" t="s">
        <v>93</v>
      </c>
      <c r="F12" s="28" t="s">
        <v>93</v>
      </c>
      <c r="G12" s="28" t="s">
        <v>93</v>
      </c>
      <c r="H12" s="28" t="s">
        <v>93</v>
      </c>
      <c r="I12" s="28" t="s">
        <v>93</v>
      </c>
      <c r="J12" s="29" t="s">
        <v>74</v>
      </c>
      <c r="K12" s="29" t="s">
        <v>74</v>
      </c>
      <c r="L12" s="28" t="s">
        <v>93</v>
      </c>
      <c r="M12" s="28" t="s">
        <v>93</v>
      </c>
      <c r="N12" s="28" t="s">
        <v>93</v>
      </c>
      <c r="O12" s="29" t="s">
        <v>74</v>
      </c>
      <c r="P12" s="28" t="s">
        <v>93</v>
      </c>
      <c r="Q12" s="28" t="s">
        <v>93</v>
      </c>
      <c r="R12" s="29" t="s">
        <v>74</v>
      </c>
      <c r="S12" s="30"/>
      <c r="T12" s="38"/>
      <c r="U12" s="30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2">
        <f t="shared" si="1"/>
        <v>0</v>
      </c>
      <c r="BA12" s="32">
        <f t="shared" si="2"/>
        <v>5</v>
      </c>
      <c r="BB12" s="32">
        <f t="shared" si="3"/>
        <v>10</v>
      </c>
      <c r="BC12" s="32">
        <f t="shared" si="4"/>
        <v>15</v>
      </c>
      <c r="BD12" s="33">
        <f t="shared" si="5"/>
        <v>66.66666667</v>
      </c>
    </row>
    <row r="13">
      <c r="A13" s="25">
        <v>9.0</v>
      </c>
      <c r="B13" s="34" t="s">
        <v>108</v>
      </c>
      <c r="C13" s="35" t="s">
        <v>109</v>
      </c>
      <c r="D13" s="28" t="s">
        <v>93</v>
      </c>
      <c r="E13" s="28" t="s">
        <v>93</v>
      </c>
      <c r="F13" s="28" t="s">
        <v>93</v>
      </c>
      <c r="G13" s="28" t="s">
        <v>93</v>
      </c>
      <c r="H13" s="28" t="s">
        <v>93</v>
      </c>
      <c r="I13" s="28" t="s">
        <v>93</v>
      </c>
      <c r="J13" s="28" t="s">
        <v>93</v>
      </c>
      <c r="K13" s="29" t="s">
        <v>74</v>
      </c>
      <c r="L13" s="28" t="s">
        <v>93</v>
      </c>
      <c r="M13" s="28" t="s">
        <v>93</v>
      </c>
      <c r="N13" s="29" t="s">
        <v>74</v>
      </c>
      <c r="O13" s="28" t="s">
        <v>93</v>
      </c>
      <c r="P13" s="28" t="s">
        <v>93</v>
      </c>
      <c r="Q13" s="28" t="s">
        <v>93</v>
      </c>
      <c r="R13" s="28" t="s">
        <v>93</v>
      </c>
      <c r="S13" s="30"/>
      <c r="T13" s="30"/>
      <c r="U13" s="30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2">
        <f t="shared" si="1"/>
        <v>0</v>
      </c>
      <c r="BA13" s="32">
        <f t="shared" si="2"/>
        <v>2</v>
      </c>
      <c r="BB13" s="32">
        <f t="shared" si="3"/>
        <v>13</v>
      </c>
      <c r="BC13" s="32">
        <f t="shared" si="4"/>
        <v>15</v>
      </c>
      <c r="BD13" s="33">
        <f t="shared" si="5"/>
        <v>86.66666667</v>
      </c>
    </row>
    <row r="14">
      <c r="A14" s="25">
        <v>10.0</v>
      </c>
      <c r="B14" s="34" t="s">
        <v>110</v>
      </c>
      <c r="C14" s="35" t="s">
        <v>111</v>
      </c>
      <c r="D14" s="28" t="s">
        <v>93</v>
      </c>
      <c r="E14" s="28" t="s">
        <v>93</v>
      </c>
      <c r="F14" s="28" t="s">
        <v>93</v>
      </c>
      <c r="G14" s="28" t="s">
        <v>93</v>
      </c>
      <c r="H14" s="28" t="s">
        <v>93</v>
      </c>
      <c r="I14" s="28" t="s">
        <v>93</v>
      </c>
      <c r="J14" s="28" t="s">
        <v>93</v>
      </c>
      <c r="K14" s="28" t="s">
        <v>93</v>
      </c>
      <c r="L14" s="28" t="s">
        <v>93</v>
      </c>
      <c r="M14" s="29" t="s">
        <v>74</v>
      </c>
      <c r="N14" s="28" t="s">
        <v>93</v>
      </c>
      <c r="O14" s="29" t="s">
        <v>74</v>
      </c>
      <c r="P14" s="28" t="s">
        <v>93</v>
      </c>
      <c r="Q14" s="29" t="s">
        <v>74</v>
      </c>
      <c r="R14" s="28" t="s">
        <v>93</v>
      </c>
      <c r="S14" s="30"/>
      <c r="T14" s="30"/>
      <c r="U14" s="30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2">
        <f t="shared" si="1"/>
        <v>0</v>
      </c>
      <c r="BA14" s="32">
        <f t="shared" si="2"/>
        <v>3</v>
      </c>
      <c r="BB14" s="32">
        <f t="shared" si="3"/>
        <v>12</v>
      </c>
      <c r="BC14" s="32">
        <f t="shared" si="4"/>
        <v>15</v>
      </c>
      <c r="BD14" s="33">
        <f t="shared" si="5"/>
        <v>80</v>
      </c>
    </row>
    <row r="15">
      <c r="C15" s="39" t="s">
        <v>113</v>
      </c>
      <c r="D15" s="40">
        <f t="shared" ref="D15:AY15" si="6">COUNTIF(D5:D14,"P")+COUNTIF(D5:D14,"L")</f>
        <v>7</v>
      </c>
      <c r="E15" s="40">
        <f t="shared" si="6"/>
        <v>9</v>
      </c>
      <c r="F15" s="40">
        <f t="shared" si="6"/>
        <v>10</v>
      </c>
      <c r="G15" s="40">
        <f t="shared" si="6"/>
        <v>9</v>
      </c>
      <c r="H15" s="40">
        <f t="shared" si="6"/>
        <v>10</v>
      </c>
      <c r="I15" s="40">
        <f t="shared" si="6"/>
        <v>7</v>
      </c>
      <c r="J15" s="40">
        <f t="shared" si="6"/>
        <v>7</v>
      </c>
      <c r="K15" s="40">
        <f t="shared" si="6"/>
        <v>7</v>
      </c>
      <c r="L15" s="40">
        <f t="shared" si="6"/>
        <v>7</v>
      </c>
      <c r="M15" s="40">
        <f t="shared" si="6"/>
        <v>7</v>
      </c>
      <c r="N15" s="40">
        <f t="shared" si="6"/>
        <v>7</v>
      </c>
      <c r="O15" s="40">
        <f t="shared" si="6"/>
        <v>5</v>
      </c>
      <c r="P15" s="40">
        <f t="shared" si="6"/>
        <v>8</v>
      </c>
      <c r="Q15" s="40">
        <f t="shared" si="6"/>
        <v>5</v>
      </c>
      <c r="R15" s="40">
        <f t="shared" si="6"/>
        <v>6</v>
      </c>
      <c r="S15" s="40">
        <f t="shared" si="6"/>
        <v>0</v>
      </c>
      <c r="T15" s="40">
        <f t="shared" si="6"/>
        <v>0</v>
      </c>
      <c r="U15" s="40">
        <f t="shared" si="6"/>
        <v>0</v>
      </c>
      <c r="V15" s="40">
        <f t="shared" si="6"/>
        <v>0</v>
      </c>
      <c r="W15" s="40">
        <f t="shared" si="6"/>
        <v>0</v>
      </c>
      <c r="X15" s="40">
        <f t="shared" si="6"/>
        <v>0</v>
      </c>
      <c r="Y15" s="40">
        <f t="shared" si="6"/>
        <v>0</v>
      </c>
      <c r="Z15" s="40">
        <f t="shared" si="6"/>
        <v>0</v>
      </c>
      <c r="AA15" s="40">
        <f t="shared" si="6"/>
        <v>0</v>
      </c>
      <c r="AB15" s="40">
        <f t="shared" si="6"/>
        <v>0</v>
      </c>
      <c r="AC15" s="40">
        <f t="shared" si="6"/>
        <v>0</v>
      </c>
      <c r="AD15" s="40">
        <f t="shared" si="6"/>
        <v>0</v>
      </c>
      <c r="AE15" s="40">
        <f t="shared" si="6"/>
        <v>0</v>
      </c>
      <c r="AF15" s="40">
        <f t="shared" si="6"/>
        <v>0</v>
      </c>
      <c r="AG15" s="40">
        <f t="shared" si="6"/>
        <v>0</v>
      </c>
      <c r="AH15" s="40">
        <f t="shared" si="6"/>
        <v>0</v>
      </c>
      <c r="AI15" s="40">
        <f t="shared" si="6"/>
        <v>0</v>
      </c>
      <c r="AJ15" s="40">
        <f t="shared" si="6"/>
        <v>0</v>
      </c>
      <c r="AK15" s="40">
        <f t="shared" si="6"/>
        <v>0</v>
      </c>
      <c r="AL15" s="40">
        <f t="shared" si="6"/>
        <v>0</v>
      </c>
      <c r="AM15" s="40">
        <f t="shared" si="6"/>
        <v>0</v>
      </c>
      <c r="AN15" s="40">
        <f t="shared" si="6"/>
        <v>0</v>
      </c>
      <c r="AO15" s="40">
        <f t="shared" si="6"/>
        <v>0</v>
      </c>
      <c r="AP15" s="40">
        <f t="shared" si="6"/>
        <v>0</v>
      </c>
      <c r="AQ15" s="40">
        <f t="shared" si="6"/>
        <v>0</v>
      </c>
      <c r="AR15" s="40">
        <f t="shared" si="6"/>
        <v>0</v>
      </c>
      <c r="AS15" s="40">
        <f t="shared" si="6"/>
        <v>0</v>
      </c>
      <c r="AT15" s="40">
        <f t="shared" si="6"/>
        <v>0</v>
      </c>
      <c r="AU15" s="40">
        <f t="shared" si="6"/>
        <v>0</v>
      </c>
      <c r="AV15" s="40">
        <f t="shared" si="6"/>
        <v>0</v>
      </c>
      <c r="AW15" s="40">
        <f t="shared" si="6"/>
        <v>0</v>
      </c>
      <c r="AX15" s="40">
        <f t="shared" si="6"/>
        <v>0</v>
      </c>
      <c r="AY15" s="40">
        <f t="shared" si="6"/>
        <v>0</v>
      </c>
    </row>
    <row r="16">
      <c r="C16" s="46" t="s">
        <v>117</v>
      </c>
      <c r="D16" s="47">
        <v>10.0</v>
      </c>
      <c r="E16" s="47">
        <v>10.0</v>
      </c>
      <c r="F16" s="47">
        <v>10.0</v>
      </c>
      <c r="G16" s="47">
        <v>10.0</v>
      </c>
      <c r="H16" s="47">
        <v>10.0</v>
      </c>
      <c r="I16" s="47">
        <v>10.0</v>
      </c>
      <c r="J16" s="47">
        <v>10.0</v>
      </c>
      <c r="K16" s="47">
        <v>10.0</v>
      </c>
      <c r="L16" s="47">
        <v>10.0</v>
      </c>
      <c r="M16" s="47">
        <v>10.0</v>
      </c>
      <c r="N16" s="47">
        <v>10.0</v>
      </c>
      <c r="O16" s="47">
        <v>10.0</v>
      </c>
      <c r="P16" s="47">
        <v>10.0</v>
      </c>
      <c r="Q16" s="47">
        <v>10.0</v>
      </c>
      <c r="R16" s="47">
        <v>10.0</v>
      </c>
      <c r="S16" s="47">
        <v>10.0</v>
      </c>
      <c r="T16" s="47">
        <v>10.0</v>
      </c>
      <c r="U16" s="47">
        <v>10.0</v>
      </c>
      <c r="V16" s="47">
        <v>10.0</v>
      </c>
      <c r="W16" s="47">
        <v>10.0</v>
      </c>
      <c r="X16" s="47">
        <v>10.0</v>
      </c>
      <c r="Y16" s="47">
        <v>10.0</v>
      </c>
      <c r="Z16" s="47">
        <v>10.0</v>
      </c>
      <c r="AA16" s="47">
        <v>10.0</v>
      </c>
      <c r="AB16" s="47">
        <v>10.0</v>
      </c>
      <c r="AC16" s="47">
        <v>10.0</v>
      </c>
      <c r="AD16" s="47">
        <v>10.0</v>
      </c>
      <c r="AE16" s="47">
        <v>10.0</v>
      </c>
      <c r="AF16" s="47">
        <v>10.0</v>
      </c>
      <c r="AG16" s="47">
        <v>10.0</v>
      </c>
      <c r="AH16" s="47">
        <v>10.0</v>
      </c>
      <c r="AI16" s="47">
        <v>10.0</v>
      </c>
      <c r="AJ16" s="47">
        <v>10.0</v>
      </c>
      <c r="AK16" s="47">
        <v>10.0</v>
      </c>
      <c r="AL16" s="47">
        <v>10.0</v>
      </c>
      <c r="AM16" s="47">
        <v>10.0</v>
      </c>
      <c r="AN16" s="47">
        <v>10.0</v>
      </c>
      <c r="AO16" s="47">
        <v>10.0</v>
      </c>
      <c r="AP16" s="47">
        <v>10.0</v>
      </c>
      <c r="AQ16" s="47">
        <v>10.0</v>
      </c>
      <c r="AR16" s="47">
        <v>10.0</v>
      </c>
      <c r="AS16" s="47">
        <v>10.0</v>
      </c>
      <c r="AT16" s="47">
        <v>10.0</v>
      </c>
      <c r="AU16" s="47">
        <v>10.0</v>
      </c>
      <c r="AV16" s="47">
        <v>10.0</v>
      </c>
      <c r="AW16" s="47">
        <v>10.0</v>
      </c>
      <c r="AX16" s="47">
        <v>10.0</v>
      </c>
      <c r="AY16" s="47">
        <v>10.0</v>
      </c>
    </row>
    <row r="17">
      <c r="C17" s="50" t="s">
        <v>118</v>
      </c>
      <c r="D17" s="51">
        <f t="shared" ref="D17:AY17" si="7">SUM(D15/D16)*100</f>
        <v>70</v>
      </c>
      <c r="E17" s="51">
        <f t="shared" si="7"/>
        <v>90</v>
      </c>
      <c r="F17" s="51">
        <f t="shared" si="7"/>
        <v>100</v>
      </c>
      <c r="G17" s="51">
        <f t="shared" si="7"/>
        <v>90</v>
      </c>
      <c r="H17" s="51">
        <f t="shared" si="7"/>
        <v>100</v>
      </c>
      <c r="I17" s="51">
        <f t="shared" si="7"/>
        <v>70</v>
      </c>
      <c r="J17" s="51">
        <f t="shared" si="7"/>
        <v>70</v>
      </c>
      <c r="K17" s="51">
        <f t="shared" si="7"/>
        <v>70</v>
      </c>
      <c r="L17" s="51">
        <f t="shared" si="7"/>
        <v>70</v>
      </c>
      <c r="M17" s="51">
        <f t="shared" si="7"/>
        <v>70</v>
      </c>
      <c r="N17" s="51">
        <f t="shared" si="7"/>
        <v>70</v>
      </c>
      <c r="O17" s="51">
        <f t="shared" si="7"/>
        <v>50</v>
      </c>
      <c r="P17" s="51">
        <f t="shared" si="7"/>
        <v>80</v>
      </c>
      <c r="Q17" s="51">
        <f t="shared" si="7"/>
        <v>50</v>
      </c>
      <c r="R17" s="51">
        <f t="shared" si="7"/>
        <v>60</v>
      </c>
      <c r="S17" s="51">
        <f t="shared" si="7"/>
        <v>0</v>
      </c>
      <c r="T17" s="51">
        <f t="shared" si="7"/>
        <v>0</v>
      </c>
      <c r="U17" s="51">
        <f t="shared" si="7"/>
        <v>0</v>
      </c>
      <c r="V17" s="51">
        <f t="shared" si="7"/>
        <v>0</v>
      </c>
      <c r="W17" s="51">
        <f t="shared" si="7"/>
        <v>0</v>
      </c>
      <c r="X17" s="51">
        <f t="shared" si="7"/>
        <v>0</v>
      </c>
      <c r="Y17" s="51">
        <f t="shared" si="7"/>
        <v>0</v>
      </c>
      <c r="Z17" s="51">
        <f t="shared" si="7"/>
        <v>0</v>
      </c>
      <c r="AA17" s="51">
        <f t="shared" si="7"/>
        <v>0</v>
      </c>
      <c r="AB17" s="51">
        <f t="shared" si="7"/>
        <v>0</v>
      </c>
      <c r="AC17" s="51">
        <f t="shared" si="7"/>
        <v>0</v>
      </c>
      <c r="AD17" s="51">
        <f t="shared" si="7"/>
        <v>0</v>
      </c>
      <c r="AE17" s="51">
        <f t="shared" si="7"/>
        <v>0</v>
      </c>
      <c r="AF17" s="51">
        <f t="shared" si="7"/>
        <v>0</v>
      </c>
      <c r="AG17" s="51">
        <f t="shared" si="7"/>
        <v>0</v>
      </c>
      <c r="AH17" s="51">
        <f t="shared" si="7"/>
        <v>0</v>
      </c>
      <c r="AI17" s="51">
        <f t="shared" si="7"/>
        <v>0</v>
      </c>
      <c r="AJ17" s="51">
        <f t="shared" si="7"/>
        <v>0</v>
      </c>
      <c r="AK17" s="51">
        <f t="shared" si="7"/>
        <v>0</v>
      </c>
      <c r="AL17" s="51">
        <f t="shared" si="7"/>
        <v>0</v>
      </c>
      <c r="AM17" s="51">
        <f t="shared" si="7"/>
        <v>0</v>
      </c>
      <c r="AN17" s="51">
        <f t="shared" si="7"/>
        <v>0</v>
      </c>
      <c r="AO17" s="51">
        <f t="shared" si="7"/>
        <v>0</v>
      </c>
      <c r="AP17" s="51">
        <f t="shared" si="7"/>
        <v>0</v>
      </c>
      <c r="AQ17" s="51">
        <f t="shared" si="7"/>
        <v>0</v>
      </c>
      <c r="AR17" s="51">
        <f t="shared" si="7"/>
        <v>0</v>
      </c>
      <c r="AS17" s="51">
        <f t="shared" si="7"/>
        <v>0</v>
      </c>
      <c r="AT17" s="51">
        <f t="shared" si="7"/>
        <v>0</v>
      </c>
      <c r="AU17" s="51">
        <f t="shared" si="7"/>
        <v>0</v>
      </c>
      <c r="AV17" s="51">
        <f t="shared" si="7"/>
        <v>0</v>
      </c>
      <c r="AW17" s="51">
        <f t="shared" si="7"/>
        <v>0</v>
      </c>
      <c r="AX17" s="51">
        <f t="shared" si="7"/>
        <v>0</v>
      </c>
      <c r="AY17" s="51">
        <f t="shared" si="7"/>
        <v>0</v>
      </c>
    </row>
  </sheetData>
  <mergeCells count="5">
    <mergeCell ref="A1:BD1"/>
    <mergeCell ref="A2:A4"/>
    <mergeCell ref="B2:B4"/>
    <mergeCell ref="C2:C4"/>
    <mergeCell ref="D2:B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14" width="4.0"/>
    <col customWidth="1" min="15" max="15" width="4.63"/>
    <col customWidth="1" min="16" max="72" width="4.0"/>
  </cols>
  <sheetData>
    <row r="1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>
      <c r="A2" s="4" t="s">
        <v>1</v>
      </c>
      <c r="B2" s="5" t="s">
        <v>2</v>
      </c>
      <c r="C2" s="6" t="s">
        <v>3</v>
      </c>
      <c r="D2" s="7" t="s">
        <v>120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</row>
    <row r="3" ht="73.5" customHeight="1">
      <c r="A3" s="9"/>
      <c r="B3" s="9"/>
      <c r="C3" s="9"/>
      <c r="D3" s="11" t="s">
        <v>9</v>
      </c>
      <c r="E3" s="11" t="s">
        <v>9</v>
      </c>
      <c r="F3" s="11" t="s">
        <v>9</v>
      </c>
      <c r="G3" s="11" t="s">
        <v>9</v>
      </c>
      <c r="H3" s="11" t="s">
        <v>9</v>
      </c>
      <c r="I3" s="11" t="s">
        <v>9</v>
      </c>
      <c r="J3" s="11" t="s">
        <v>9</v>
      </c>
      <c r="K3" s="11" t="s">
        <v>9</v>
      </c>
      <c r="L3" s="11" t="s">
        <v>9</v>
      </c>
      <c r="M3" s="11" t="s">
        <v>9</v>
      </c>
      <c r="N3" s="11" t="s">
        <v>9</v>
      </c>
      <c r="O3" s="11" t="s">
        <v>9</v>
      </c>
      <c r="P3" s="11" t="s">
        <v>9</v>
      </c>
      <c r="Q3" s="11" t="s">
        <v>9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5"/>
      <c r="BN3" s="15"/>
      <c r="BO3" s="14"/>
      <c r="BP3" s="14"/>
      <c r="BQ3" s="14"/>
      <c r="BR3" s="14"/>
      <c r="BS3" s="14"/>
      <c r="BT3" s="16"/>
    </row>
    <row r="4" ht="69.75" customHeight="1">
      <c r="A4" s="17"/>
      <c r="B4" s="17"/>
      <c r="C4" s="17"/>
      <c r="D4" s="13" t="s">
        <v>121</v>
      </c>
      <c r="E4" s="13" t="s">
        <v>122</v>
      </c>
      <c r="F4" s="13" t="s">
        <v>123</v>
      </c>
      <c r="G4" s="13" t="s">
        <v>124</v>
      </c>
      <c r="H4" s="13" t="s">
        <v>125</v>
      </c>
      <c r="I4" s="13" t="s">
        <v>126</v>
      </c>
      <c r="J4" s="13" t="s">
        <v>127</v>
      </c>
      <c r="K4" s="13" t="s">
        <v>128</v>
      </c>
      <c r="L4" s="13" t="s">
        <v>129</v>
      </c>
      <c r="M4" s="13" t="s">
        <v>130</v>
      </c>
      <c r="N4" s="13" t="s">
        <v>131</v>
      </c>
      <c r="O4" s="13" t="s">
        <v>132</v>
      </c>
      <c r="P4" s="13" t="s">
        <v>133</v>
      </c>
      <c r="Q4" s="13" t="s">
        <v>134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5"/>
      <c r="AM4" s="15"/>
      <c r="AN4" s="15"/>
      <c r="AO4" s="15"/>
      <c r="AP4" s="14"/>
      <c r="AQ4" s="14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4"/>
      <c r="BP4" s="20" t="s">
        <v>66</v>
      </c>
      <c r="BQ4" s="21" t="s">
        <v>74</v>
      </c>
      <c r="BR4" s="22" t="s">
        <v>84</v>
      </c>
      <c r="BS4" s="23" t="s">
        <v>89</v>
      </c>
      <c r="BT4" s="24" t="s">
        <v>90</v>
      </c>
    </row>
    <row r="5">
      <c r="A5" s="25">
        <v>1.0</v>
      </c>
      <c r="B5" s="26" t="s">
        <v>91</v>
      </c>
      <c r="C5" s="27" t="s">
        <v>92</v>
      </c>
      <c r="D5" s="28" t="s">
        <v>93</v>
      </c>
      <c r="E5" s="28" t="s">
        <v>93</v>
      </c>
      <c r="F5" s="28" t="s">
        <v>93</v>
      </c>
      <c r="G5" s="29" t="s">
        <v>74</v>
      </c>
      <c r="H5" s="28" t="s">
        <v>93</v>
      </c>
      <c r="I5" s="28" t="s">
        <v>93</v>
      </c>
      <c r="J5" s="28" t="s">
        <v>93</v>
      </c>
      <c r="K5" s="28" t="s">
        <v>93</v>
      </c>
      <c r="L5" s="28" t="s">
        <v>93</v>
      </c>
      <c r="M5" s="28" t="s">
        <v>93</v>
      </c>
      <c r="N5" s="28" t="s">
        <v>93</v>
      </c>
      <c r="O5" s="28" t="s">
        <v>93</v>
      </c>
      <c r="P5" s="28" t="s">
        <v>93</v>
      </c>
      <c r="Q5" s="28" t="s">
        <v>93</v>
      </c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30"/>
      <c r="AI5" s="30"/>
      <c r="AJ5" s="30"/>
      <c r="AK5" s="30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2">
        <f t="shared" ref="BP5:BP14" si="1">COUNTIF(D5:BO5,"L")</f>
        <v>0</v>
      </c>
      <c r="BQ5" s="32">
        <f t="shared" ref="BQ5:BQ14" si="2">COUNTIF(D5:BO5,"A")</f>
        <v>1</v>
      </c>
      <c r="BR5" s="32">
        <f t="shared" ref="BR5:BR14" si="3">COUNTIF(D5:BO5,"p")</f>
        <v>13</v>
      </c>
      <c r="BS5" s="32">
        <f t="shared" ref="BS5:BS14" si="4">SUM(BP5:BR5)</f>
        <v>14</v>
      </c>
      <c r="BT5" s="33">
        <f t="shared" ref="BT5:BT14" si="5">SUM(BP5,BR5)/BS5*100</f>
        <v>92.85714286</v>
      </c>
    </row>
    <row r="6">
      <c r="A6" s="25">
        <v>2.0</v>
      </c>
      <c r="B6" s="34" t="s">
        <v>94</v>
      </c>
      <c r="C6" s="35" t="s">
        <v>95</v>
      </c>
      <c r="D6" s="28" t="s">
        <v>93</v>
      </c>
      <c r="E6" s="28" t="s">
        <v>93</v>
      </c>
      <c r="F6" s="29" t="s">
        <v>74</v>
      </c>
      <c r="G6" s="28" t="s">
        <v>93</v>
      </c>
      <c r="H6" s="29" t="s">
        <v>74</v>
      </c>
      <c r="I6" s="28" t="s">
        <v>93</v>
      </c>
      <c r="J6" s="28" t="s">
        <v>93</v>
      </c>
      <c r="K6" s="28" t="s">
        <v>93</v>
      </c>
      <c r="L6" s="28" t="s">
        <v>93</v>
      </c>
      <c r="M6" s="28" t="s">
        <v>93</v>
      </c>
      <c r="N6" s="28" t="s">
        <v>93</v>
      </c>
      <c r="O6" s="28" t="s">
        <v>93</v>
      </c>
      <c r="P6" s="28" t="s">
        <v>93</v>
      </c>
      <c r="Q6" s="28" t="s">
        <v>93</v>
      </c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30"/>
      <c r="AI6" s="30"/>
      <c r="AJ6" s="30"/>
      <c r="AK6" s="30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2">
        <f t="shared" si="1"/>
        <v>0</v>
      </c>
      <c r="BQ6" s="32">
        <f t="shared" si="2"/>
        <v>2</v>
      </c>
      <c r="BR6" s="32">
        <f t="shared" si="3"/>
        <v>12</v>
      </c>
      <c r="BS6" s="32">
        <f t="shared" si="4"/>
        <v>14</v>
      </c>
      <c r="BT6" s="33">
        <f t="shared" si="5"/>
        <v>85.71428571</v>
      </c>
    </row>
    <row r="7">
      <c r="A7" s="25">
        <v>3.0</v>
      </c>
      <c r="B7" s="36" t="s">
        <v>96</v>
      </c>
      <c r="C7" s="37" t="s">
        <v>97</v>
      </c>
      <c r="D7" s="29" t="s">
        <v>74</v>
      </c>
      <c r="E7" s="29" t="s">
        <v>74</v>
      </c>
      <c r="F7" s="28" t="s">
        <v>93</v>
      </c>
      <c r="G7" s="28" t="s">
        <v>93</v>
      </c>
      <c r="H7" s="28" t="s">
        <v>93</v>
      </c>
      <c r="I7" s="28" t="s">
        <v>93</v>
      </c>
      <c r="J7" s="29" t="s">
        <v>74</v>
      </c>
      <c r="K7" s="29" t="s">
        <v>74</v>
      </c>
      <c r="L7" s="29" t="s">
        <v>74</v>
      </c>
      <c r="M7" s="28" t="s">
        <v>93</v>
      </c>
      <c r="N7" s="28" t="s">
        <v>93</v>
      </c>
      <c r="O7" s="28" t="s">
        <v>93</v>
      </c>
      <c r="P7" s="28" t="s">
        <v>93</v>
      </c>
      <c r="Q7" s="28" t="s">
        <v>93</v>
      </c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38"/>
      <c r="AI7" s="30"/>
      <c r="AJ7" s="38"/>
      <c r="AK7" s="3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2">
        <f t="shared" si="1"/>
        <v>0</v>
      </c>
      <c r="BQ7" s="32">
        <f t="shared" si="2"/>
        <v>5</v>
      </c>
      <c r="BR7" s="32">
        <f t="shared" si="3"/>
        <v>9</v>
      </c>
      <c r="BS7" s="32">
        <f t="shared" si="4"/>
        <v>14</v>
      </c>
      <c r="BT7" s="33">
        <f t="shared" si="5"/>
        <v>64.28571429</v>
      </c>
    </row>
    <row r="8">
      <c r="A8" s="41">
        <v>4.0</v>
      </c>
      <c r="B8" s="42" t="s">
        <v>98</v>
      </c>
      <c r="C8" s="43" t="s">
        <v>99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29"/>
      <c r="AI8" s="44"/>
      <c r="AJ8" s="44"/>
      <c r="AK8" s="44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8">
        <f t="shared" si="1"/>
        <v>0</v>
      </c>
      <c r="BQ8" s="48">
        <f t="shared" si="2"/>
        <v>0</v>
      </c>
      <c r="BR8" s="48">
        <f t="shared" si="3"/>
        <v>0</v>
      </c>
      <c r="BS8" s="48">
        <f t="shared" si="4"/>
        <v>0</v>
      </c>
      <c r="BT8" s="49" t="str">
        <f t="shared" si="5"/>
        <v>#DIV/0!</v>
      </c>
    </row>
    <row r="9">
      <c r="A9" s="25">
        <v>5.0</v>
      </c>
      <c r="B9" s="34" t="s">
        <v>100</v>
      </c>
      <c r="C9" s="35" t="s">
        <v>101</v>
      </c>
      <c r="D9" s="44" t="s">
        <v>93</v>
      </c>
      <c r="E9" s="44" t="s">
        <v>93</v>
      </c>
      <c r="F9" s="28" t="s">
        <v>93</v>
      </c>
      <c r="G9" s="28" t="s">
        <v>93</v>
      </c>
      <c r="H9" s="28" t="s">
        <v>93</v>
      </c>
      <c r="I9" s="44" t="s">
        <v>93</v>
      </c>
      <c r="J9" s="44" t="s">
        <v>93</v>
      </c>
      <c r="K9" s="28" t="s">
        <v>93</v>
      </c>
      <c r="L9" s="28" t="s">
        <v>93</v>
      </c>
      <c r="M9" s="28" t="s">
        <v>93</v>
      </c>
      <c r="N9" s="28" t="s">
        <v>93</v>
      </c>
      <c r="O9" s="28" t="s">
        <v>93</v>
      </c>
      <c r="P9" s="28" t="s">
        <v>93</v>
      </c>
      <c r="Q9" s="28" t="s">
        <v>93</v>
      </c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30"/>
      <c r="AI9" s="30"/>
      <c r="AJ9" s="30"/>
      <c r="AK9" s="3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2">
        <f t="shared" si="1"/>
        <v>0</v>
      </c>
      <c r="BQ9" s="32">
        <f t="shared" si="2"/>
        <v>0</v>
      </c>
      <c r="BR9" s="32">
        <f t="shared" si="3"/>
        <v>14</v>
      </c>
      <c r="BS9" s="32">
        <f t="shared" si="4"/>
        <v>14</v>
      </c>
      <c r="BT9" s="33">
        <f t="shared" si="5"/>
        <v>100</v>
      </c>
    </row>
    <row r="10">
      <c r="A10" s="25">
        <v>6.0</v>
      </c>
      <c r="B10" s="34" t="s">
        <v>102</v>
      </c>
      <c r="C10" s="35" t="s">
        <v>103</v>
      </c>
      <c r="D10" s="44" t="s">
        <v>93</v>
      </c>
      <c r="E10" s="44" t="s">
        <v>93</v>
      </c>
      <c r="F10" s="28" t="s">
        <v>93</v>
      </c>
      <c r="G10" s="28" t="s">
        <v>93</v>
      </c>
      <c r="H10" s="28" t="s">
        <v>93</v>
      </c>
      <c r="I10" s="44" t="s">
        <v>93</v>
      </c>
      <c r="J10" s="44" t="s">
        <v>93</v>
      </c>
      <c r="K10" s="28" t="s">
        <v>93</v>
      </c>
      <c r="L10" s="28" t="s">
        <v>93</v>
      </c>
      <c r="M10" s="28" t="s">
        <v>93</v>
      </c>
      <c r="N10" s="28" t="s">
        <v>93</v>
      </c>
      <c r="O10" s="28" t="s">
        <v>93</v>
      </c>
      <c r="P10" s="28" t="s">
        <v>93</v>
      </c>
      <c r="Q10" s="28" t="s">
        <v>93</v>
      </c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30"/>
      <c r="AI10" s="30"/>
      <c r="AJ10" s="30"/>
      <c r="AK10" s="3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2">
        <f t="shared" si="1"/>
        <v>0</v>
      </c>
      <c r="BQ10" s="32">
        <f t="shared" si="2"/>
        <v>0</v>
      </c>
      <c r="BR10" s="32">
        <f t="shared" si="3"/>
        <v>14</v>
      </c>
      <c r="BS10" s="32">
        <f t="shared" si="4"/>
        <v>14</v>
      </c>
      <c r="BT10" s="33">
        <f t="shared" si="5"/>
        <v>100</v>
      </c>
    </row>
    <row r="11">
      <c r="A11" s="25">
        <v>7.0</v>
      </c>
      <c r="B11" s="34" t="s">
        <v>104</v>
      </c>
      <c r="C11" s="35" t="s">
        <v>105</v>
      </c>
      <c r="D11" s="44" t="s">
        <v>93</v>
      </c>
      <c r="E11" s="28" t="s">
        <v>93</v>
      </c>
      <c r="F11" s="28" t="s">
        <v>93</v>
      </c>
      <c r="G11" s="28" t="s">
        <v>93</v>
      </c>
      <c r="H11" s="28" t="s">
        <v>93</v>
      </c>
      <c r="I11" s="28" t="s">
        <v>93</v>
      </c>
      <c r="J11" s="28" t="s">
        <v>93</v>
      </c>
      <c r="K11" s="28" t="s">
        <v>93</v>
      </c>
      <c r="L11" s="28" t="s">
        <v>93</v>
      </c>
      <c r="M11" s="28" t="s">
        <v>93</v>
      </c>
      <c r="N11" s="28" t="s">
        <v>93</v>
      </c>
      <c r="O11" s="28" t="s">
        <v>93</v>
      </c>
      <c r="P11" s="29" t="s">
        <v>74</v>
      </c>
      <c r="Q11" s="28" t="s">
        <v>93</v>
      </c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38"/>
      <c r="AI11" s="30"/>
      <c r="AJ11" s="30"/>
      <c r="AK11" s="3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2">
        <f t="shared" si="1"/>
        <v>0</v>
      </c>
      <c r="BQ11" s="32">
        <f t="shared" si="2"/>
        <v>1</v>
      </c>
      <c r="BR11" s="32">
        <f t="shared" si="3"/>
        <v>13</v>
      </c>
      <c r="BS11" s="32">
        <f t="shared" si="4"/>
        <v>14</v>
      </c>
      <c r="BT11" s="33">
        <f t="shared" si="5"/>
        <v>92.85714286</v>
      </c>
    </row>
    <row r="12">
      <c r="A12" s="25">
        <v>8.0</v>
      </c>
      <c r="B12" s="34" t="s">
        <v>106</v>
      </c>
      <c r="C12" s="35" t="s">
        <v>107</v>
      </c>
      <c r="D12" s="28" t="s">
        <v>93</v>
      </c>
      <c r="E12" s="28" t="s">
        <v>93</v>
      </c>
      <c r="F12" s="28" t="s">
        <v>93</v>
      </c>
      <c r="G12" s="28" t="s">
        <v>93</v>
      </c>
      <c r="H12" s="28" t="s">
        <v>93</v>
      </c>
      <c r="I12" s="28" t="s">
        <v>93</v>
      </c>
      <c r="J12" s="28" t="s">
        <v>93</v>
      </c>
      <c r="K12" s="28" t="s">
        <v>93</v>
      </c>
      <c r="L12" s="28" t="s">
        <v>93</v>
      </c>
      <c r="M12" s="28" t="s">
        <v>93</v>
      </c>
      <c r="N12" s="28" t="s">
        <v>93</v>
      </c>
      <c r="O12" s="28" t="s">
        <v>93</v>
      </c>
      <c r="P12" s="28" t="s">
        <v>93</v>
      </c>
      <c r="Q12" s="28" t="s">
        <v>93</v>
      </c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38"/>
      <c r="AI12" s="30"/>
      <c r="AJ12" s="38"/>
      <c r="AK12" s="3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2">
        <f t="shared" si="1"/>
        <v>0</v>
      </c>
      <c r="BQ12" s="32">
        <f t="shared" si="2"/>
        <v>0</v>
      </c>
      <c r="BR12" s="32">
        <f t="shared" si="3"/>
        <v>14</v>
      </c>
      <c r="BS12" s="32">
        <f t="shared" si="4"/>
        <v>14</v>
      </c>
      <c r="BT12" s="33">
        <f t="shared" si="5"/>
        <v>100</v>
      </c>
    </row>
    <row r="13">
      <c r="A13" s="25">
        <v>9.0</v>
      </c>
      <c r="B13" s="34" t="s">
        <v>108</v>
      </c>
      <c r="C13" s="35" t="s">
        <v>109</v>
      </c>
      <c r="D13" s="28" t="s">
        <v>93</v>
      </c>
      <c r="E13" s="28" t="s">
        <v>93</v>
      </c>
      <c r="F13" s="28" t="s">
        <v>93</v>
      </c>
      <c r="G13" s="28" t="s">
        <v>93</v>
      </c>
      <c r="H13" s="28" t="s">
        <v>93</v>
      </c>
      <c r="I13" s="28" t="s">
        <v>93</v>
      </c>
      <c r="J13" s="28" t="s">
        <v>93</v>
      </c>
      <c r="K13" s="28" t="s">
        <v>93</v>
      </c>
      <c r="L13" s="28" t="s">
        <v>93</v>
      </c>
      <c r="M13" s="28" t="s">
        <v>93</v>
      </c>
      <c r="N13" s="28" t="s">
        <v>93</v>
      </c>
      <c r="O13" s="28" t="s">
        <v>93</v>
      </c>
      <c r="P13" s="28" t="s">
        <v>93</v>
      </c>
      <c r="Q13" s="28" t="s">
        <v>93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30"/>
      <c r="AI13" s="30"/>
      <c r="AJ13" s="30"/>
      <c r="AK13" s="3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2">
        <f t="shared" si="1"/>
        <v>0</v>
      </c>
      <c r="BQ13" s="32">
        <f t="shared" si="2"/>
        <v>0</v>
      </c>
      <c r="BR13" s="32">
        <f t="shared" si="3"/>
        <v>14</v>
      </c>
      <c r="BS13" s="32">
        <f t="shared" si="4"/>
        <v>14</v>
      </c>
      <c r="BT13" s="33">
        <f t="shared" si="5"/>
        <v>100</v>
      </c>
    </row>
    <row r="14">
      <c r="A14" s="25">
        <v>10.0</v>
      </c>
      <c r="B14" s="34" t="s">
        <v>110</v>
      </c>
      <c r="C14" s="35" t="s">
        <v>111</v>
      </c>
      <c r="D14" s="28" t="s">
        <v>93</v>
      </c>
      <c r="E14" s="28" t="s">
        <v>93</v>
      </c>
      <c r="F14" s="28" t="s">
        <v>93</v>
      </c>
      <c r="G14" s="28" t="s">
        <v>93</v>
      </c>
      <c r="H14" s="28" t="s">
        <v>93</v>
      </c>
      <c r="I14" s="28" t="s">
        <v>93</v>
      </c>
      <c r="J14" s="28" t="s">
        <v>93</v>
      </c>
      <c r="K14" s="44" t="s">
        <v>93</v>
      </c>
      <c r="L14" s="44" t="s">
        <v>93</v>
      </c>
      <c r="M14" s="28" t="s">
        <v>93</v>
      </c>
      <c r="N14" s="28" t="s">
        <v>93</v>
      </c>
      <c r="O14" s="28" t="s">
        <v>93</v>
      </c>
      <c r="P14" s="28" t="s">
        <v>93</v>
      </c>
      <c r="Q14" s="28" t="s">
        <v>93</v>
      </c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30"/>
      <c r="AI14" s="30"/>
      <c r="AJ14" s="30"/>
      <c r="AK14" s="30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2">
        <f t="shared" si="1"/>
        <v>0</v>
      </c>
      <c r="BQ14" s="32">
        <f t="shared" si="2"/>
        <v>0</v>
      </c>
      <c r="BR14" s="32">
        <f t="shared" si="3"/>
        <v>14</v>
      </c>
      <c r="BS14" s="32">
        <f t="shared" si="4"/>
        <v>14</v>
      </c>
      <c r="BT14" s="33">
        <f t="shared" si="5"/>
        <v>100</v>
      </c>
    </row>
    <row r="15">
      <c r="C15" s="39" t="s">
        <v>113</v>
      </c>
      <c r="D15" s="40">
        <f t="shared" ref="D15:Q15" si="6">COUNTIF(D5:D14,"P")+COUNTIF(D5:D14,"L")</f>
        <v>8</v>
      </c>
      <c r="E15" s="40">
        <f t="shared" si="6"/>
        <v>8</v>
      </c>
      <c r="F15" s="40">
        <f t="shared" si="6"/>
        <v>8</v>
      </c>
      <c r="G15" s="40">
        <f t="shared" si="6"/>
        <v>8</v>
      </c>
      <c r="H15" s="40">
        <f t="shared" si="6"/>
        <v>8</v>
      </c>
      <c r="I15" s="40">
        <f t="shared" si="6"/>
        <v>9</v>
      </c>
      <c r="J15" s="40">
        <f t="shared" si="6"/>
        <v>8</v>
      </c>
      <c r="K15" s="40">
        <f t="shared" si="6"/>
        <v>8</v>
      </c>
      <c r="L15" s="40">
        <f t="shared" si="6"/>
        <v>8</v>
      </c>
      <c r="M15" s="40">
        <f t="shared" si="6"/>
        <v>9</v>
      </c>
      <c r="N15" s="40">
        <f t="shared" si="6"/>
        <v>9</v>
      </c>
      <c r="O15" s="40">
        <f t="shared" si="6"/>
        <v>9</v>
      </c>
      <c r="P15" s="40">
        <f t="shared" si="6"/>
        <v>8</v>
      </c>
      <c r="Q15" s="40">
        <f t="shared" si="6"/>
        <v>9</v>
      </c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>
        <f t="shared" ref="AH15:BO15" si="7">COUNTIF(AH5:AH14,"P")+COUNTIF(AH5:AH14,"L")</f>
        <v>0</v>
      </c>
      <c r="AI15" s="40">
        <f t="shared" si="7"/>
        <v>0</v>
      </c>
      <c r="AJ15" s="40">
        <f t="shared" si="7"/>
        <v>0</v>
      </c>
      <c r="AK15" s="40">
        <f t="shared" si="7"/>
        <v>0</v>
      </c>
      <c r="AL15" s="40">
        <f t="shared" si="7"/>
        <v>0</v>
      </c>
      <c r="AM15" s="40">
        <f t="shared" si="7"/>
        <v>0</v>
      </c>
      <c r="AN15" s="40">
        <f t="shared" si="7"/>
        <v>0</v>
      </c>
      <c r="AO15" s="40">
        <f t="shared" si="7"/>
        <v>0</v>
      </c>
      <c r="AP15" s="40">
        <f t="shared" si="7"/>
        <v>0</v>
      </c>
      <c r="AQ15" s="40">
        <f t="shared" si="7"/>
        <v>0</v>
      </c>
      <c r="AR15" s="40">
        <f t="shared" si="7"/>
        <v>0</v>
      </c>
      <c r="AS15" s="40">
        <f t="shared" si="7"/>
        <v>0</v>
      </c>
      <c r="AT15" s="40">
        <f t="shared" si="7"/>
        <v>0</v>
      </c>
      <c r="AU15" s="40">
        <f t="shared" si="7"/>
        <v>0</v>
      </c>
      <c r="AV15" s="40">
        <f t="shared" si="7"/>
        <v>0</v>
      </c>
      <c r="AW15" s="40">
        <f t="shared" si="7"/>
        <v>0</v>
      </c>
      <c r="AX15" s="40">
        <f t="shared" si="7"/>
        <v>0</v>
      </c>
      <c r="AY15" s="40">
        <f t="shared" si="7"/>
        <v>0</v>
      </c>
      <c r="AZ15" s="40">
        <f t="shared" si="7"/>
        <v>0</v>
      </c>
      <c r="BA15" s="40">
        <f t="shared" si="7"/>
        <v>0</v>
      </c>
      <c r="BB15" s="40">
        <f t="shared" si="7"/>
        <v>0</v>
      </c>
      <c r="BC15" s="40">
        <f t="shared" si="7"/>
        <v>0</v>
      </c>
      <c r="BD15" s="40">
        <f t="shared" si="7"/>
        <v>0</v>
      </c>
      <c r="BE15" s="40">
        <f t="shared" si="7"/>
        <v>0</v>
      </c>
      <c r="BF15" s="40">
        <f t="shared" si="7"/>
        <v>0</v>
      </c>
      <c r="BG15" s="40">
        <f t="shared" si="7"/>
        <v>0</v>
      </c>
      <c r="BH15" s="40">
        <f t="shared" si="7"/>
        <v>0</v>
      </c>
      <c r="BI15" s="40">
        <f t="shared" si="7"/>
        <v>0</v>
      </c>
      <c r="BJ15" s="40">
        <f t="shared" si="7"/>
        <v>0</v>
      </c>
      <c r="BK15" s="40">
        <f t="shared" si="7"/>
        <v>0</v>
      </c>
      <c r="BL15" s="40">
        <f t="shared" si="7"/>
        <v>0</v>
      </c>
      <c r="BM15" s="40">
        <f t="shared" si="7"/>
        <v>0</v>
      </c>
      <c r="BN15" s="40">
        <f t="shared" si="7"/>
        <v>0</v>
      </c>
      <c r="BO15" s="40">
        <f t="shared" si="7"/>
        <v>0</v>
      </c>
    </row>
    <row r="16">
      <c r="C16" s="46" t="s">
        <v>117</v>
      </c>
      <c r="D16" s="47">
        <v>10.0</v>
      </c>
      <c r="E16" s="47">
        <v>10.0</v>
      </c>
      <c r="F16" s="47">
        <v>10.0</v>
      </c>
      <c r="G16" s="47">
        <v>10.0</v>
      </c>
      <c r="H16" s="47">
        <v>10.0</v>
      </c>
      <c r="I16" s="47">
        <v>10.0</v>
      </c>
      <c r="J16" s="47">
        <v>10.0</v>
      </c>
      <c r="K16" s="47">
        <v>10.0</v>
      </c>
      <c r="L16" s="47">
        <v>10.0</v>
      </c>
      <c r="M16" s="47">
        <v>10.0</v>
      </c>
      <c r="N16" s="47">
        <v>10.0</v>
      </c>
      <c r="O16" s="47">
        <v>10.0</v>
      </c>
      <c r="P16" s="47">
        <v>10.0</v>
      </c>
      <c r="Q16" s="47">
        <v>10.0</v>
      </c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>
        <v>10.0</v>
      </c>
      <c r="AI16" s="47">
        <v>10.0</v>
      </c>
      <c r="AJ16" s="47">
        <v>10.0</v>
      </c>
      <c r="AK16" s="47">
        <v>10.0</v>
      </c>
      <c r="AL16" s="47">
        <v>10.0</v>
      </c>
      <c r="AM16" s="47">
        <v>10.0</v>
      </c>
      <c r="AN16" s="47">
        <v>10.0</v>
      </c>
      <c r="AO16" s="47">
        <v>10.0</v>
      </c>
      <c r="AP16" s="47">
        <v>10.0</v>
      </c>
      <c r="AQ16" s="47">
        <v>10.0</v>
      </c>
      <c r="AR16" s="47">
        <v>10.0</v>
      </c>
      <c r="AS16" s="47">
        <v>10.0</v>
      </c>
      <c r="AT16" s="47">
        <v>10.0</v>
      </c>
      <c r="AU16" s="47">
        <v>10.0</v>
      </c>
      <c r="AV16" s="47">
        <v>10.0</v>
      </c>
      <c r="AW16" s="47">
        <v>10.0</v>
      </c>
      <c r="AX16" s="47">
        <v>10.0</v>
      </c>
      <c r="AY16" s="47">
        <v>10.0</v>
      </c>
      <c r="AZ16" s="47">
        <v>10.0</v>
      </c>
      <c r="BA16" s="47">
        <v>10.0</v>
      </c>
      <c r="BB16" s="47">
        <v>10.0</v>
      </c>
      <c r="BC16" s="47">
        <v>10.0</v>
      </c>
      <c r="BD16" s="47">
        <v>10.0</v>
      </c>
      <c r="BE16" s="47">
        <v>10.0</v>
      </c>
      <c r="BF16" s="47">
        <v>10.0</v>
      </c>
      <c r="BG16" s="47">
        <v>10.0</v>
      </c>
      <c r="BH16" s="47">
        <v>10.0</v>
      </c>
      <c r="BI16" s="47">
        <v>10.0</v>
      </c>
      <c r="BJ16" s="47">
        <v>10.0</v>
      </c>
      <c r="BK16" s="47">
        <v>10.0</v>
      </c>
      <c r="BL16" s="47">
        <v>10.0</v>
      </c>
      <c r="BM16" s="47">
        <v>10.0</v>
      </c>
      <c r="BN16" s="47">
        <v>10.0</v>
      </c>
      <c r="BO16" s="47">
        <v>10.0</v>
      </c>
    </row>
  </sheetData>
  <mergeCells count="5">
    <mergeCell ref="A1:BT1"/>
    <mergeCell ref="A2:A4"/>
    <mergeCell ref="B2:B4"/>
    <mergeCell ref="C2:C4"/>
    <mergeCell ref="D2:BT2"/>
  </mergeCells>
  <drawing r:id="rId1"/>
</worksheet>
</file>